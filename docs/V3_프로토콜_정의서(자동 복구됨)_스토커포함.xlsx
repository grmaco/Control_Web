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2001_{69CD4295-DC1B-44B0-ADB7-78757266F159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개요" sheetId="1" r:id="rId1"/>
    <sheet name="메시지 목록" sheetId="2" r:id="rId2"/>
    <sheet name="필드 정의" sheetId="3" r:id="rId3"/>
    <sheet name="예시 JSON" sheetId="4" r:id="rId4"/>
    <sheet name="SS-One BIT Communication" sheetId="5" r:id="rId5"/>
    <sheet name="SS-One Word Communication" sheetId="6" r:id="rId6"/>
    <sheet name="Port Bit" sheetId="7" r:id="rId7"/>
    <sheet name="Port Word" sheetId="8" r:id="rId8"/>
  </sheets>
  <externalReferences>
    <externalReference r:id="rId9"/>
    <externalReference r:id="rId10"/>
    <externalReference r:id="rId11"/>
  </externalReferences>
  <definedNames>
    <definedName name="__HWP14" localSheetId="6">'[1]0-ハード（その他)'!#REF!</definedName>
    <definedName name="__HWP14" localSheetId="7">'[1]0-ハード（その他)'!#REF!</definedName>
    <definedName name="__HWP14" localSheetId="5">'[1]0-ハード（その他)'!#REF!</definedName>
    <definedName name="__HWP14">'[1]0-ハード（その他)'!#REF!</definedName>
    <definedName name="_HWP13">'[1]0-ハード（その他)'!#REF!</definedName>
    <definedName name="ABC" localSheetId="6">#REF!</definedName>
    <definedName name="ABC" localSheetId="7">#REF!</definedName>
    <definedName name="ABC" localSheetId="5">#REF!</definedName>
    <definedName name="ABC">#REF!</definedName>
    <definedName name="ABCDEFF">'[1]0-ハード（その他)'!#REF!</definedName>
    <definedName name="ABCDEFG" localSheetId="6">'[1]0-ハード（その他)'!#REF!</definedName>
    <definedName name="ABCDEFG" localSheetId="7">'[1]0-ハード（その他)'!#REF!</definedName>
    <definedName name="ABCDEFG" localSheetId="5">'[1]0-ハード（その他)'!#REF!</definedName>
    <definedName name="ABCDEFG">'[1]0-ハード（その他)'!#REF!</definedName>
    <definedName name="ACC">#REF!</definedName>
    <definedName name="dasd" localSheetId="6">#REF!</definedName>
    <definedName name="dasd" localSheetId="7">#REF!</definedName>
    <definedName name="dasd" localSheetId="5">#REF!</definedName>
    <definedName name="dasd">#REF!</definedName>
    <definedName name="_xlnm.Database" localSheetId="6">#REF!</definedName>
    <definedName name="_xlnm.Database" localSheetId="7">#REF!</definedName>
    <definedName name="_xlnm.Database" localSheetId="5">#REF!</definedName>
    <definedName name="_xlnm.Database">#REF!</definedName>
    <definedName name="DD" localSheetId="6">#REF!</definedName>
    <definedName name="DD" localSheetId="7">#REF!</definedName>
    <definedName name="DD" localSheetId="5">#REF!</definedName>
    <definedName name="DD">#REF!</definedName>
    <definedName name="DELIVALY_AUO_REQ" localSheetId="6">#REF!</definedName>
    <definedName name="DELIVALY_AUO_REQ" localSheetId="7">#REF!</definedName>
    <definedName name="DELIVALY_AUO_REQ" localSheetId="5">#REF!</definedName>
    <definedName name="DELIVALY_AUO_REQ">#REF!</definedName>
    <definedName name="DURATION" localSheetId="6">#REF!</definedName>
    <definedName name="DURATION" localSheetId="7">#REF!</definedName>
    <definedName name="DURATION" localSheetId="5">#REF!</definedName>
    <definedName name="DURATION">#REF!</definedName>
    <definedName name="EQ_Table" localSheetId="6">#REF!</definedName>
    <definedName name="EQ_Table" localSheetId="7">#REF!</definedName>
    <definedName name="EQ_Table" localSheetId="5">#REF!</definedName>
    <definedName name="EQ_Table">#REF!</definedName>
    <definedName name="EQPORT304" localSheetId="6">#REF!</definedName>
    <definedName name="EQPORT304" localSheetId="7">#REF!</definedName>
    <definedName name="EQPORT304" localSheetId="5">#REF!</definedName>
    <definedName name="EQPORT304">#REF!</definedName>
    <definedName name="EQPORT305" localSheetId="6">#REF!</definedName>
    <definedName name="EQPORT305" localSheetId="7">#REF!</definedName>
    <definedName name="EQPORT305" localSheetId="5">#REF!</definedName>
    <definedName name="EQPORT305">#REF!</definedName>
    <definedName name="EQPORT306" localSheetId="6">#REF!</definedName>
    <definedName name="EQPORT306" localSheetId="7">#REF!</definedName>
    <definedName name="EQPORT306" localSheetId="5">#REF!</definedName>
    <definedName name="EQPORT306">#REF!</definedName>
    <definedName name="EQPORT307" localSheetId="6">#REF!</definedName>
    <definedName name="EQPORT307" localSheetId="7">#REF!</definedName>
    <definedName name="EQPORT307" localSheetId="5">#REF!</definedName>
    <definedName name="EQPORT307">#REF!</definedName>
    <definedName name="HWPP14" localSheetId="6">'[1]0-ハード（その他)'!#REF!</definedName>
    <definedName name="HWPP14" localSheetId="7">'[1]0-ハード（その他)'!#REF!</definedName>
    <definedName name="HWPP14" localSheetId="5">'[1]0-ハード（その他)'!#REF!</definedName>
    <definedName name="HWPP14">'[1]0-ハード（その他)'!#REF!</definedName>
    <definedName name="MOVEMENT" localSheetId="6">#REF!</definedName>
    <definedName name="MOVEMENT" localSheetId="7">#REF!</definedName>
    <definedName name="MOVEMENT" localSheetId="5">#REF!</definedName>
    <definedName name="MOVEMENT">#REF!</definedName>
    <definedName name="REWORK" localSheetId="6">#REF!</definedName>
    <definedName name="REWORK" localSheetId="7">#REF!</definedName>
    <definedName name="REWORK" localSheetId="5">#REF!</definedName>
    <definedName name="REWORK">#REF!</definedName>
    <definedName name="S_Button" localSheetId="6">#REF!</definedName>
    <definedName name="S_Button" localSheetId="7">#REF!</definedName>
    <definedName name="S_Button" localSheetId="5">#REF!</definedName>
    <definedName name="S_Button">#REF!</definedName>
    <definedName name="S_DB登録" localSheetId="6">#REF!</definedName>
    <definedName name="S_DB登録" localSheetId="7">#REF!</definedName>
    <definedName name="S_DB登録" localSheetId="5">#REF!</definedName>
    <definedName name="S_DB登録">#REF!</definedName>
    <definedName name="S_PF登録" localSheetId="6">#REF!</definedName>
    <definedName name="S_PF登録" localSheetId="7">#REF!</definedName>
    <definedName name="S_PF登録" localSheetId="5">#REF!</definedName>
    <definedName name="S_PF登録">#REF!</definedName>
    <definedName name="S_リピート区分" localSheetId="6">#REF!</definedName>
    <definedName name="S_リピート区分" localSheetId="7">#REF!</definedName>
    <definedName name="S_リピート区分" localSheetId="5">#REF!</definedName>
    <definedName name="S_リピート区分">#REF!</definedName>
    <definedName name="S_リピート区分_表示" localSheetId="6">#REF!</definedName>
    <definedName name="S_リピート区分_表示" localSheetId="7">#REF!</definedName>
    <definedName name="S_リピート区分_表示" localSheetId="5">#REF!</definedName>
    <definedName name="S_リピート区分_表示">#REF!</definedName>
    <definedName name="S_見積価格" localSheetId="6">#REF!</definedName>
    <definedName name="S_見積価格" localSheetId="7">#REF!</definedName>
    <definedName name="S_見積価格" localSheetId="5">#REF!</definedName>
    <definedName name="S_見積価格">#REF!</definedName>
    <definedName name="S_見積期限_表示" localSheetId="6">#REF!</definedName>
    <definedName name="S_見積期限_表示" localSheetId="7">#REF!</definedName>
    <definedName name="S_見積期限_表示" localSheetId="5">#REF!</definedName>
    <definedName name="S_見積期限_表示">#REF!</definedName>
    <definedName name="S_見積期限年" localSheetId="6">#REF!</definedName>
    <definedName name="S_見積期限年" localSheetId="7">#REF!</definedName>
    <definedName name="S_見積期限年" localSheetId="5">#REF!</definedName>
    <definedName name="S_見積期限年">#REF!</definedName>
    <definedName name="S_見積期限月" localSheetId="6">#REF!</definedName>
    <definedName name="S_見積期限月" localSheetId="7">#REF!</definedName>
    <definedName name="S_見積期限月" localSheetId="5">#REF!</definedName>
    <definedName name="S_見積期限月">#REF!</definedName>
    <definedName name="S_見積期限日" localSheetId="6">#REF!</definedName>
    <definedName name="S_見積期限日" localSheetId="7">#REF!</definedName>
    <definedName name="S_見積期限日" localSheetId="5">#REF!</definedName>
    <definedName name="S_見積期限日">#REF!</definedName>
    <definedName name="S_見積原価" localSheetId="6">#REF!</definedName>
    <definedName name="S_見積原価" localSheetId="7">#REF!</definedName>
    <definedName name="S_見積原価" localSheetId="5">#REF!</definedName>
    <definedName name="S_見積原価">#REF!</definedName>
    <definedName name="S_見積伝票No" localSheetId="6">#REF!</definedName>
    <definedName name="S_見積伝票No" localSheetId="7">#REF!</definedName>
    <definedName name="S_見積伝票No" localSheetId="5">#REF!</definedName>
    <definedName name="S_見積伝票No">#REF!</definedName>
    <definedName name="S_見積精度" localSheetId="6">#REF!</definedName>
    <definedName name="S_見積精度" localSheetId="7">#REF!</definedName>
    <definedName name="S_見積精度" localSheetId="5">#REF!</definedName>
    <definedName name="S_見積精度">#REF!</definedName>
    <definedName name="S_見積精度_表示" localSheetId="6">#REF!</definedName>
    <definedName name="S_見積精度_表示" localSheetId="7">#REF!</definedName>
    <definedName name="S_見積精度_表示" localSheetId="5">#REF!</definedName>
    <definedName name="S_見積精度_表示">#REF!</definedName>
    <definedName name="S_見積照会No" localSheetId="6">#REF!</definedName>
    <definedName name="S_見積照会No" localSheetId="7">#REF!</definedName>
    <definedName name="S_見積照会No" localSheetId="5">#REF!</definedName>
    <definedName name="S_見積照会No">#REF!</definedName>
    <definedName name="S_結果" localSheetId="6">#REF!</definedName>
    <definedName name="S_結果" localSheetId="7">#REF!</definedName>
    <definedName name="S_結果" localSheetId="5">#REF!</definedName>
    <definedName name="S_結果">#REF!</definedName>
    <definedName name="S_競合区分" localSheetId="6">#REF!</definedName>
    <definedName name="S_競合区分" localSheetId="7">#REF!</definedName>
    <definedName name="S_競合区分" localSheetId="5">#REF!</definedName>
    <definedName name="S_競合区分">#REF!</definedName>
    <definedName name="S_競合区分_表示" localSheetId="6">#REF!</definedName>
    <definedName name="S_競合区分_表示" localSheetId="7">#REF!</definedName>
    <definedName name="S_競合区分_表示" localSheetId="5">#REF!</definedName>
    <definedName name="S_競合区分_表示">#REF!</definedName>
    <definedName name="S_競合先名" localSheetId="6">#REF!</definedName>
    <definedName name="S_競合先名" localSheetId="7">#REF!</definedName>
    <definedName name="S_競合先名" localSheetId="5">#REF!</definedName>
    <definedName name="S_競合先名">#REF!</definedName>
    <definedName name="S_公開禁止区分" localSheetId="6">#REF!</definedName>
    <definedName name="S_公開禁止区分" localSheetId="7">#REF!</definedName>
    <definedName name="S_公開禁止区分" localSheetId="5">#REF!</definedName>
    <definedName name="S_公開禁止区分">#REF!</definedName>
    <definedName name="S_公開禁止区分_表示" localSheetId="6">#REF!</definedName>
    <definedName name="S_公開禁止区分_表示" localSheetId="7">#REF!</definedName>
    <definedName name="S_公開禁止区分_表示" localSheetId="5">#REF!</definedName>
    <definedName name="S_公開禁止区分_表示">#REF!</definedName>
    <definedName name="S_管理表" localSheetId="6">#REF!</definedName>
    <definedName name="S_管理表" localSheetId="7">#REF!</definedName>
    <definedName name="S_管理表" localSheetId="5">#REF!</definedName>
    <definedName name="S_管理表">#REF!</definedName>
    <definedName name="S_管理表_表示" localSheetId="6">#REF!</definedName>
    <definedName name="S_管理表_表示" localSheetId="7">#REF!</definedName>
    <definedName name="S_管理表_表示" localSheetId="5">#REF!</definedName>
    <definedName name="S_管理表_表示">#REF!</definedName>
    <definedName name="S_記事1" localSheetId="6">#REF!</definedName>
    <definedName name="S_記事1" localSheetId="7">#REF!</definedName>
    <definedName name="S_記事1" localSheetId="5">#REF!</definedName>
    <definedName name="S_記事1">#REF!</definedName>
    <definedName name="S_記事2" localSheetId="6">#REF!</definedName>
    <definedName name="S_記事2" localSheetId="7">#REF!</definedName>
    <definedName name="S_記事2" localSheetId="5">#REF!</definedName>
    <definedName name="S_記事2">#REF!</definedName>
    <definedName name="S_年度" localSheetId="6">#REF!</definedName>
    <definedName name="S_年度" localSheetId="7">#REF!</definedName>
    <definedName name="S_年度" localSheetId="5">#REF!</definedName>
    <definedName name="S_年度">#REF!</definedName>
    <definedName name="S_担当" localSheetId="6">#REF!</definedName>
    <definedName name="S_担当" localSheetId="7">#REF!</definedName>
    <definedName name="S_担当" localSheetId="5">#REF!</definedName>
    <definedName name="S_担当">#REF!</definedName>
    <definedName name="S_担当氏名" localSheetId="6">#REF!</definedName>
    <definedName name="S_担当氏名" localSheetId="7">#REF!</definedName>
    <definedName name="S_担当氏名" localSheetId="5">#REF!</definedName>
    <definedName name="S_担当氏名">#REF!</definedName>
    <definedName name="S_担当営業" localSheetId="6">#REF!</definedName>
    <definedName name="S_担当営業" localSheetId="7">#REF!</definedName>
    <definedName name="S_担当営業" localSheetId="5">#REF!</definedName>
    <definedName name="S_担当営業">#REF!</definedName>
    <definedName name="S_代表機種コード" localSheetId="6">#REF!</definedName>
    <definedName name="S_代表機種コード" localSheetId="7">#REF!</definedName>
    <definedName name="S_代表機種コード" localSheetId="5">#REF!</definedName>
    <definedName name="S_代表機種コード">#REF!</definedName>
    <definedName name="S_部所" localSheetId="6">#REF!</definedName>
    <definedName name="S_部所" localSheetId="7">#REF!</definedName>
    <definedName name="S_部所" localSheetId="5">#REF!</definedName>
    <definedName name="S_部所">#REF!</definedName>
    <definedName name="S_備考" localSheetId="6">#REF!</definedName>
    <definedName name="S_備考" localSheetId="7">#REF!</definedName>
    <definedName name="S_備考" localSheetId="5">#REF!</definedName>
    <definedName name="S_備考">#REF!</definedName>
    <definedName name="S_写し_1" localSheetId="6">#REF!</definedName>
    <definedName name="S_写し_1" localSheetId="7">#REF!</definedName>
    <definedName name="S_写し_1" localSheetId="5">#REF!</definedName>
    <definedName name="S_写し_1">#REF!</definedName>
    <definedName name="S_写し_2" localSheetId="6">#REF!</definedName>
    <definedName name="S_写し_2" localSheetId="7">#REF!</definedName>
    <definedName name="S_写し_2" localSheetId="5">#REF!</definedName>
    <definedName name="S_写し_2">#REF!</definedName>
    <definedName name="S_送付先" localSheetId="6">#REF!</definedName>
    <definedName name="S_送付先" localSheetId="7">#REF!</definedName>
    <definedName name="S_送付先" localSheetId="5">#REF!</definedName>
    <definedName name="S_送付先">#REF!</definedName>
    <definedName name="S_受領" localSheetId="6">#REF!</definedName>
    <definedName name="S_受領" localSheetId="7">#REF!</definedName>
    <definedName name="S_受領" localSheetId="5">#REF!</definedName>
    <definedName name="S_受領">#REF!</definedName>
    <definedName name="S_受領区分" localSheetId="6">#REF!</definedName>
    <definedName name="S_受領区分" localSheetId="7">#REF!</definedName>
    <definedName name="S_受領区分" localSheetId="5">#REF!</definedName>
    <definedName name="S_受領区分">#REF!</definedName>
    <definedName name="S_受領済" localSheetId="6">#REF!</definedName>
    <definedName name="S_受領済" localSheetId="7">#REF!</definedName>
    <definedName name="S_受領済" localSheetId="5">#REF!</definedName>
    <definedName name="S_受領済">#REF!</definedName>
    <definedName name="S_需要家コード" localSheetId="6">#REF!</definedName>
    <definedName name="S_需要家コード" localSheetId="7">#REF!</definedName>
    <definedName name="S_需要家コード" localSheetId="5">#REF!</definedName>
    <definedName name="S_需要家コード">#REF!</definedName>
    <definedName name="S_需要家名" localSheetId="6">#REF!</definedName>
    <definedName name="S_需要家名" localSheetId="7">#REF!</definedName>
    <definedName name="S_需要家名" localSheetId="5">#REF!</definedName>
    <definedName name="S_需要家名">#REF!</definedName>
    <definedName name="S_受注予定金額" localSheetId="6">#REF!</definedName>
    <definedName name="S_受注予定金額" localSheetId="7">#REF!</definedName>
    <definedName name="S_受注予定金額" localSheetId="5">#REF!</definedName>
    <definedName name="S_受注予定金額">#REF!</definedName>
    <definedName name="S_受注予定金額_表示" localSheetId="6">#REF!</definedName>
    <definedName name="S_受注予定金額_表示" localSheetId="7">#REF!</definedName>
    <definedName name="S_受注予定金額_表示" localSheetId="5">#REF!</definedName>
    <definedName name="S_受注予定金額_表示">#REF!</definedName>
    <definedName name="S_受注予定年" localSheetId="6">#REF!</definedName>
    <definedName name="S_受注予定年" localSheetId="7">#REF!</definedName>
    <definedName name="S_受注予定年" localSheetId="5">#REF!</definedName>
    <definedName name="S_受注予定年">#REF!</definedName>
    <definedName name="S_受注予定年月_表示" localSheetId="6">#REF!</definedName>
    <definedName name="S_受注予定年月_表示" localSheetId="7">#REF!</definedName>
    <definedName name="S_受注予定年月_表示" localSheetId="5">#REF!</definedName>
    <definedName name="S_受注予定年月_表示">#REF!</definedName>
    <definedName name="S_受注予定数量" localSheetId="6">#REF!</definedName>
    <definedName name="S_受注予定数量" localSheetId="7">#REF!</definedName>
    <definedName name="S_受注予定数量" localSheetId="5">#REF!</definedName>
    <definedName name="S_受注予定数量">#REF!</definedName>
    <definedName name="S_受注予定数量_表示" localSheetId="6">#REF!</definedName>
    <definedName name="S_受注予定数量_表示" localSheetId="7">#REF!</definedName>
    <definedName name="S_受注予定数量_表示" localSheetId="5">#REF!</definedName>
    <definedName name="S_受注予定数量_表示">#REF!</definedName>
    <definedName name="S_受注予定原価" localSheetId="6">#REF!</definedName>
    <definedName name="S_受注予定原価" localSheetId="7">#REF!</definedName>
    <definedName name="S_受注予定原価" localSheetId="5">#REF!</definedName>
    <definedName name="S_受注予定原価">#REF!</definedName>
    <definedName name="S_受注予定原価_表示" localSheetId="6">#REF!</definedName>
    <definedName name="S_受注予定原価_表示" localSheetId="7">#REF!</definedName>
    <definedName name="S_受注予定原価_表示" localSheetId="5">#REF!</definedName>
    <definedName name="S_受注予定原価_表示">#REF!</definedName>
    <definedName name="S_受注予定月" localSheetId="6">#REF!</definedName>
    <definedName name="S_受注予定月" localSheetId="7">#REF!</definedName>
    <definedName name="S_受注予定月" localSheetId="5">#REF!</definedName>
    <definedName name="S_受注予定月">#REF!</definedName>
    <definedName name="S_受注確度" localSheetId="6">#REF!</definedName>
    <definedName name="S_受注確度" localSheetId="7">#REF!</definedName>
    <definedName name="S_受注確度" localSheetId="5">#REF!</definedName>
    <definedName name="S_受注確度">#REF!</definedName>
    <definedName name="S_受注確度_表示" localSheetId="6">#REF!</definedName>
    <definedName name="S_受注確度_表示" localSheetId="7">#REF!</definedName>
    <definedName name="S_受注確度_表示" localSheetId="5">#REF!</definedName>
    <definedName name="S_受注確度_表示">#REF!</definedName>
    <definedName name="S_新規変更区分" localSheetId="6">#REF!</definedName>
    <definedName name="S_新規変更区分" localSheetId="7">#REF!</definedName>
    <definedName name="S_新規変更区分" localSheetId="5">#REF!</definedName>
    <definedName name="S_新規変更区分">#REF!</definedName>
    <definedName name="S_新規変更区分_表示" localSheetId="6">#REF!</definedName>
    <definedName name="S_新規変更区分_表示" localSheetId="7">#REF!</definedName>
    <definedName name="S_新規変更区分_表示" localSheetId="5">#REF!</definedName>
    <definedName name="S_新規変更区分_表示">#REF!</definedName>
    <definedName name="S_案件名" localSheetId="6">#REF!</definedName>
    <definedName name="S_案件名" localSheetId="7">#REF!</definedName>
    <definedName name="S_案件名" localSheetId="5">#REF!</definedName>
    <definedName name="S_案件名">#REF!</definedName>
    <definedName name="S_予想計上" localSheetId="6">#REF!</definedName>
    <definedName name="S_予想計上" localSheetId="7">#REF!</definedName>
    <definedName name="S_予想計上" localSheetId="5">#REF!</definedName>
    <definedName name="S_予想計上">#REF!</definedName>
    <definedName name="S_予定納期_表示" localSheetId="6">#REF!</definedName>
    <definedName name="S_予定納期_表示" localSheetId="7">#REF!</definedName>
    <definedName name="S_予定納期_表示" localSheetId="5">#REF!</definedName>
    <definedName name="S_予定納期_表示">#REF!</definedName>
    <definedName name="S_予定納期年" localSheetId="6">#REF!</definedName>
    <definedName name="S_予定納期年" localSheetId="7">#REF!</definedName>
    <definedName name="S_予定納期年" localSheetId="5">#REF!</definedName>
    <definedName name="S_予定納期年">#REF!</definedName>
    <definedName name="S_予定納期月" localSheetId="6">#REF!</definedName>
    <definedName name="S_予定納期月" localSheetId="7">#REF!</definedName>
    <definedName name="S_予定納期月" localSheetId="5">#REF!</definedName>
    <definedName name="S_予定納期月">#REF!</definedName>
    <definedName name="S_用途コード" localSheetId="6">#REF!</definedName>
    <definedName name="S_用途コード" localSheetId="7">#REF!</definedName>
    <definedName name="S_用途コード" localSheetId="5">#REF!</definedName>
    <definedName name="S_用途コード">#REF!</definedName>
    <definedName name="S_引渡場所" localSheetId="6">#REF!</definedName>
    <definedName name="S_引渡場所" localSheetId="7">#REF!</definedName>
    <definedName name="S_引渡場所" localSheetId="5">#REF!</definedName>
    <definedName name="S_引渡場所">#REF!</definedName>
    <definedName name="S_引合管理No" localSheetId="6">#REF!</definedName>
    <definedName name="S_引合管理No" localSheetId="7">#REF!</definedName>
    <definedName name="S_引合管理No" localSheetId="5">#REF!</definedName>
    <definedName name="S_引合管理No">#REF!</definedName>
    <definedName name="S_引合管理No_2" localSheetId="6">#REF!</definedName>
    <definedName name="S_引合管理No_2" localSheetId="7">#REF!</definedName>
    <definedName name="S_引合管理No_2" localSheetId="5">#REF!</definedName>
    <definedName name="S_引合管理No_2">#REF!</definedName>
    <definedName name="S_引合区分" localSheetId="6">#REF!</definedName>
    <definedName name="S_引合区分" localSheetId="7">#REF!</definedName>
    <definedName name="S_引合区分" localSheetId="5">#REF!</definedName>
    <definedName name="S_引合区分">#REF!</definedName>
    <definedName name="S_引合区分_表示" localSheetId="6">#REF!</definedName>
    <definedName name="S_引合区分_表示" localSheetId="7">#REF!</definedName>
    <definedName name="S_引合区分_表示" localSheetId="5">#REF!</definedName>
    <definedName name="S_引合区分_表示">#REF!</definedName>
    <definedName name="S_引合先コード" localSheetId="6">#REF!</definedName>
    <definedName name="S_引合先コード" localSheetId="7">#REF!</definedName>
    <definedName name="S_引合先コード" localSheetId="5">#REF!</definedName>
    <definedName name="S_引合先コード">#REF!</definedName>
    <definedName name="S_引合先名" localSheetId="6">#REF!</definedName>
    <definedName name="S_引合先名" localSheetId="7">#REF!</definedName>
    <definedName name="S_引合先名" localSheetId="5">#REF!</definedName>
    <definedName name="S_引合先名">#REF!</definedName>
    <definedName name="S_製作マトメ部門" localSheetId="6">#REF!</definedName>
    <definedName name="S_製作マトメ部門" localSheetId="7">#REF!</definedName>
    <definedName name="S_製作マトメ部門" localSheetId="5">#REF!</definedName>
    <definedName name="S_製作マトメ部門">#REF!</definedName>
    <definedName name="S_提出FAX" localSheetId="6">#REF!</definedName>
    <definedName name="S_提出FAX" localSheetId="7">#REF!</definedName>
    <definedName name="S_提出FAX" localSheetId="5">#REF!</definedName>
    <definedName name="S_提出FAX">#REF!</definedName>
    <definedName name="S_提出FAX区分" localSheetId="6">#REF!</definedName>
    <definedName name="S_提出FAX区分" localSheetId="7">#REF!</definedName>
    <definedName name="S_提出FAX区分" localSheetId="5">#REF!</definedName>
    <definedName name="S_提出FAX区分">#REF!</definedName>
    <definedName name="S_提出FAX済" localSheetId="6">#REF!</definedName>
    <definedName name="S_提出FAX済" localSheetId="7">#REF!</definedName>
    <definedName name="S_提出FAX済" localSheetId="5">#REF!</definedName>
    <definedName name="S_提出FAX済">#REF!</definedName>
    <definedName name="S_提出郵送" localSheetId="6">#REF!</definedName>
    <definedName name="S_提出郵送" localSheetId="7">#REF!</definedName>
    <definedName name="S_提出郵送" localSheetId="5">#REF!</definedName>
    <definedName name="S_提出郵送">#REF!</definedName>
    <definedName name="S_提出郵送区分" localSheetId="6">#REF!</definedName>
    <definedName name="S_提出郵送区分" localSheetId="7">#REF!</definedName>
    <definedName name="S_提出郵送区分" localSheetId="5">#REF!</definedName>
    <definedName name="S_提出郵送区分">#REF!</definedName>
    <definedName name="S_提出郵送済" localSheetId="6">#REF!</definedName>
    <definedName name="S_提出郵送済" localSheetId="7">#REF!</definedName>
    <definedName name="S_提出郵送済" localSheetId="5">#REF!</definedName>
    <definedName name="S_提出郵送済">#REF!</definedName>
    <definedName name="S_照会年月" localSheetId="6">#REF!</definedName>
    <definedName name="S_照会年月" localSheetId="7">#REF!</definedName>
    <definedName name="S_照会年月" localSheetId="5">#REF!</definedName>
    <definedName name="S_照会年月">#REF!</definedName>
    <definedName name="S_種別" localSheetId="6">#REF!</definedName>
    <definedName name="S_種別" localSheetId="7">#REF!</definedName>
    <definedName name="S_種別" localSheetId="5">#REF!</definedName>
    <definedName name="S_種別">#REF!</definedName>
    <definedName name="S_注文決定No" localSheetId="6">#REF!</definedName>
    <definedName name="S_注文決定No" localSheetId="7">#REF!</definedName>
    <definedName name="S_注文決定No" localSheetId="5">#REF!</definedName>
    <definedName name="S_注文決定No">#REF!</definedName>
    <definedName name="SSSSSS" localSheetId="6">#REF!</definedName>
    <definedName name="SSSSSS" localSheetId="7">#REF!</definedName>
    <definedName name="SSSSSS" localSheetId="5">#REF!</definedName>
    <definedName name="SSSSSS">#REF!</definedName>
    <definedName name="STKTable_ARRAY_FEOL_CF" localSheetId="6">#REF!</definedName>
    <definedName name="STKTable_ARRAY_FEOL_CF" localSheetId="7">#REF!</definedName>
    <definedName name="STKTable_ARRAY_FEOL_CF" localSheetId="5">#REF!</definedName>
    <definedName name="STKTable_ARRAY_FEOL_CF">#REF!</definedName>
    <definedName name="X값" localSheetId="6">#REF!</definedName>
    <definedName name="X값" localSheetId="7">#REF!</definedName>
    <definedName name="X값" localSheetId="5">#REF!</definedName>
    <definedName name="X값">#REF!</definedName>
    <definedName name="기준정보304L" localSheetId="6">#REF!</definedName>
    <definedName name="기준정보304L" localSheetId="7">#REF!</definedName>
    <definedName name="기준정보304L" localSheetId="5">#REF!</definedName>
    <definedName name="기준정보304L">#REF!</definedName>
    <definedName name="기준정보304R" localSheetId="6">#REF!</definedName>
    <definedName name="기준정보304R" localSheetId="7">#REF!</definedName>
    <definedName name="기준정보304R" localSheetId="5">#REF!</definedName>
    <definedName name="기준정보304R">#REF!</definedName>
    <definedName name="기준정보305L" localSheetId="6">#REF!</definedName>
    <definedName name="기준정보305L" localSheetId="7">#REF!</definedName>
    <definedName name="기준정보305L" localSheetId="5">#REF!</definedName>
    <definedName name="기준정보305L">#REF!</definedName>
    <definedName name="기준정보305R" localSheetId="6">#REF!</definedName>
    <definedName name="기준정보305R" localSheetId="7">#REF!</definedName>
    <definedName name="기준정보305R" localSheetId="5">#REF!</definedName>
    <definedName name="기준정보305R">#REF!</definedName>
    <definedName name="기준정보306L" localSheetId="6">#REF!</definedName>
    <definedName name="기준정보306L" localSheetId="7">#REF!</definedName>
    <definedName name="기준정보306L" localSheetId="5">#REF!</definedName>
    <definedName name="기준정보306L">#REF!</definedName>
    <definedName name="기준정보306R" localSheetId="6">#REF!</definedName>
    <definedName name="기준정보306R" localSheetId="7">#REF!</definedName>
    <definedName name="기준정보306R" localSheetId="5">#REF!</definedName>
    <definedName name="기준정보306R">#REF!</definedName>
    <definedName name="기준정보307L" localSheetId="6">#REF!</definedName>
    <definedName name="기준정보307L" localSheetId="7">#REF!</definedName>
    <definedName name="기준정보307L" localSheetId="5">#REF!</definedName>
    <definedName name="기준정보307L">#REF!</definedName>
    <definedName name="기준정보307R" localSheetId="6">#REF!</definedName>
    <definedName name="기준정보307R" localSheetId="7">#REF!</definedName>
    <definedName name="기준정보307R" localSheetId="5">#REF!</definedName>
    <definedName name="기준정보307R">#REF!</definedName>
    <definedName name="사급LIST">[3]기번기준!$D$5:$AG$76</definedName>
    <definedName name="연결물류304" localSheetId="6">#REF!</definedName>
    <definedName name="연결물류304" localSheetId="7">#REF!</definedName>
    <definedName name="연결물류304" localSheetId="5">#REF!</definedName>
    <definedName name="연결물류304">#REF!</definedName>
    <definedName name="연결물류305" localSheetId="6">#REF!</definedName>
    <definedName name="연결물류305" localSheetId="7">#REF!</definedName>
    <definedName name="연결물류305" localSheetId="5">#REF!</definedName>
    <definedName name="연결물류305">#REF!</definedName>
    <definedName name="연결물류306" localSheetId="6">#REF!</definedName>
    <definedName name="연결물류306" localSheetId="7">#REF!</definedName>
    <definedName name="연결물류306" localSheetId="5">#REF!</definedName>
    <definedName name="연결물류306">#REF!</definedName>
    <definedName name="연결물류307" localSheetId="6">#REF!</definedName>
    <definedName name="연결물류307" localSheetId="7">#REF!</definedName>
    <definedName name="연결물류307" localSheetId="5">#REF!</definedName>
    <definedName name="연결물류307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M153" i="8"/>
  <c r="N142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W99" i="8"/>
  <c r="V99" i="8"/>
  <c r="U99" i="8"/>
  <c r="T99" i="8"/>
  <c r="S99" i="8"/>
  <c r="R99" i="8"/>
  <c r="Q99" i="8"/>
  <c r="P99" i="8"/>
  <c r="O99" i="8"/>
  <c r="N99" i="8"/>
  <c r="M99" i="8"/>
  <c r="L99" i="8"/>
  <c r="W98" i="8"/>
  <c r="V98" i="8"/>
  <c r="U98" i="8"/>
  <c r="T98" i="8"/>
  <c r="S98" i="8"/>
  <c r="R98" i="8"/>
  <c r="Q98" i="8"/>
  <c r="P98" i="8"/>
  <c r="O98" i="8"/>
  <c r="N98" i="8"/>
  <c r="M98" i="8"/>
  <c r="L98" i="8"/>
  <c r="W97" i="8"/>
  <c r="V97" i="8"/>
  <c r="U97" i="8"/>
  <c r="T97" i="8"/>
  <c r="S97" i="8"/>
  <c r="R97" i="8"/>
  <c r="Q97" i="8"/>
  <c r="P97" i="8"/>
  <c r="O97" i="8"/>
  <c r="N97" i="8"/>
  <c r="M97" i="8"/>
  <c r="L97" i="8"/>
  <c r="W96" i="8"/>
  <c r="V96" i="8"/>
  <c r="U96" i="8"/>
  <c r="T96" i="8"/>
  <c r="S96" i="8"/>
  <c r="R96" i="8"/>
  <c r="Q96" i="8"/>
  <c r="P96" i="8"/>
  <c r="O96" i="8"/>
  <c r="N96" i="8"/>
  <c r="M96" i="8"/>
  <c r="L96" i="8"/>
  <c r="W95" i="8"/>
  <c r="V95" i="8"/>
  <c r="U95" i="8"/>
  <c r="T95" i="8"/>
  <c r="S95" i="8"/>
  <c r="R95" i="8"/>
  <c r="Q95" i="8"/>
  <c r="P95" i="8"/>
  <c r="O95" i="8"/>
  <c r="N95" i="8"/>
  <c r="M95" i="8"/>
  <c r="L95" i="8"/>
  <c r="W94" i="8"/>
  <c r="V94" i="8"/>
  <c r="U94" i="8"/>
  <c r="T94" i="8"/>
  <c r="S94" i="8"/>
  <c r="R94" i="8"/>
  <c r="Q94" i="8"/>
  <c r="P94" i="8"/>
  <c r="O94" i="8"/>
  <c r="N94" i="8"/>
  <c r="M94" i="8"/>
  <c r="L94" i="8"/>
  <c r="W93" i="8"/>
  <c r="V93" i="8"/>
  <c r="U93" i="8"/>
  <c r="T93" i="8"/>
  <c r="S93" i="8"/>
  <c r="R93" i="8"/>
  <c r="Q93" i="8"/>
  <c r="P93" i="8"/>
  <c r="O93" i="8"/>
  <c r="N93" i="8"/>
  <c r="M93" i="8"/>
  <c r="L93" i="8"/>
  <c r="W92" i="8"/>
  <c r="V92" i="8"/>
  <c r="U92" i="8"/>
  <c r="T92" i="8"/>
  <c r="S92" i="8"/>
  <c r="R92" i="8"/>
  <c r="Q92" i="8"/>
  <c r="P92" i="8"/>
  <c r="O92" i="8"/>
  <c r="N92" i="8"/>
  <c r="M92" i="8"/>
  <c r="L92" i="8"/>
  <c r="W91" i="8"/>
  <c r="V91" i="8"/>
  <c r="U91" i="8"/>
  <c r="T91" i="8"/>
  <c r="S91" i="8"/>
  <c r="R91" i="8"/>
  <c r="Q91" i="8"/>
  <c r="P91" i="8"/>
  <c r="O91" i="8"/>
  <c r="N91" i="8"/>
  <c r="M91" i="8"/>
  <c r="L91" i="8"/>
  <c r="W90" i="8"/>
  <c r="V90" i="8"/>
  <c r="U90" i="8"/>
  <c r="T90" i="8"/>
  <c r="S90" i="8"/>
  <c r="R90" i="8"/>
  <c r="Q90" i="8"/>
  <c r="P90" i="8"/>
  <c r="O90" i="8"/>
  <c r="N90" i="8"/>
  <c r="M90" i="8"/>
  <c r="L90" i="8"/>
  <c r="W89" i="8"/>
  <c r="V89" i="8"/>
  <c r="U89" i="8"/>
  <c r="T89" i="8"/>
  <c r="S89" i="8"/>
  <c r="R89" i="8"/>
  <c r="Q89" i="8"/>
  <c r="P89" i="8"/>
  <c r="O89" i="8"/>
  <c r="N89" i="8"/>
  <c r="M89" i="8"/>
  <c r="L89" i="8"/>
  <c r="W88" i="8"/>
  <c r="V88" i="8"/>
  <c r="U88" i="8"/>
  <c r="T88" i="8"/>
  <c r="S88" i="8"/>
  <c r="R88" i="8"/>
  <c r="Q88" i="8"/>
  <c r="P88" i="8"/>
  <c r="O88" i="8"/>
  <c r="N88" i="8"/>
  <c r="M88" i="8"/>
  <c r="L88" i="8"/>
  <c r="W87" i="8"/>
  <c r="V87" i="8"/>
  <c r="U87" i="8"/>
  <c r="T87" i="8"/>
  <c r="S87" i="8"/>
  <c r="R87" i="8"/>
  <c r="Q87" i="8"/>
  <c r="P87" i="8"/>
  <c r="O87" i="8"/>
  <c r="N87" i="8"/>
  <c r="M87" i="8"/>
  <c r="L87" i="8"/>
  <c r="W86" i="8"/>
  <c r="V86" i="8"/>
  <c r="U86" i="8"/>
  <c r="T86" i="8"/>
  <c r="S86" i="8"/>
  <c r="R86" i="8"/>
  <c r="Q86" i="8"/>
  <c r="P86" i="8"/>
  <c r="O86" i="8"/>
  <c r="N86" i="8"/>
  <c r="M86" i="8"/>
  <c r="L86" i="8"/>
  <c r="W85" i="8"/>
  <c r="V85" i="8"/>
  <c r="U85" i="8"/>
  <c r="T85" i="8"/>
  <c r="S85" i="8"/>
  <c r="R85" i="8"/>
  <c r="Q85" i="8"/>
  <c r="P85" i="8"/>
  <c r="O85" i="8"/>
  <c r="N85" i="8"/>
  <c r="M85" i="8"/>
  <c r="L85" i="8"/>
  <c r="W84" i="8"/>
  <c r="V84" i="8"/>
  <c r="U84" i="8"/>
  <c r="T84" i="8"/>
  <c r="S84" i="8"/>
  <c r="R84" i="8"/>
  <c r="Q84" i="8"/>
  <c r="P84" i="8"/>
  <c r="O84" i="8"/>
  <c r="N84" i="8"/>
  <c r="M84" i="8"/>
  <c r="L84" i="8"/>
  <c r="W83" i="8"/>
  <c r="V83" i="8"/>
  <c r="U83" i="8"/>
  <c r="T83" i="8"/>
  <c r="S83" i="8"/>
  <c r="R83" i="8"/>
  <c r="Q83" i="8"/>
  <c r="P83" i="8"/>
  <c r="O83" i="8"/>
  <c r="N83" i="8"/>
  <c r="M83" i="8"/>
  <c r="L83" i="8"/>
  <c r="W82" i="8"/>
  <c r="V82" i="8"/>
  <c r="U82" i="8"/>
  <c r="T82" i="8"/>
  <c r="S82" i="8"/>
  <c r="R82" i="8"/>
  <c r="Q82" i="8"/>
  <c r="P82" i="8"/>
  <c r="O82" i="8"/>
  <c r="N82" i="8"/>
  <c r="M82" i="8"/>
  <c r="L82" i="8"/>
  <c r="W81" i="8"/>
  <c r="V81" i="8"/>
  <c r="U81" i="8"/>
  <c r="T81" i="8"/>
  <c r="S81" i="8"/>
  <c r="R81" i="8"/>
  <c r="Q81" i="8"/>
  <c r="P81" i="8"/>
  <c r="O81" i="8"/>
  <c r="N81" i="8"/>
  <c r="M81" i="8"/>
  <c r="L81" i="8"/>
  <c r="W80" i="8"/>
  <c r="V80" i="8"/>
  <c r="U80" i="8"/>
  <c r="T80" i="8"/>
  <c r="S80" i="8"/>
  <c r="R80" i="8"/>
  <c r="Q80" i="8"/>
  <c r="P80" i="8"/>
  <c r="O80" i="8"/>
  <c r="N80" i="8"/>
  <c r="M80" i="8"/>
  <c r="L80" i="8"/>
  <c r="W79" i="8"/>
  <c r="V79" i="8"/>
  <c r="U79" i="8"/>
  <c r="T79" i="8"/>
  <c r="S79" i="8"/>
  <c r="R79" i="8"/>
  <c r="Q79" i="8"/>
  <c r="P79" i="8"/>
  <c r="O79" i="8"/>
  <c r="N79" i="8"/>
  <c r="M79" i="8"/>
  <c r="L79" i="8"/>
  <c r="W78" i="8"/>
  <c r="V78" i="8"/>
  <c r="U78" i="8"/>
  <c r="T78" i="8"/>
  <c r="S78" i="8"/>
  <c r="R78" i="8"/>
  <c r="Q78" i="8"/>
  <c r="P78" i="8"/>
  <c r="O78" i="8"/>
  <c r="N78" i="8"/>
  <c r="M78" i="8"/>
  <c r="L78" i="8"/>
  <c r="W77" i="8"/>
  <c r="V77" i="8"/>
  <c r="U77" i="8"/>
  <c r="T77" i="8"/>
  <c r="S77" i="8"/>
  <c r="R77" i="8"/>
  <c r="Q77" i="8"/>
  <c r="P77" i="8"/>
  <c r="O77" i="8"/>
  <c r="N77" i="8"/>
  <c r="M77" i="8"/>
  <c r="L77" i="8"/>
  <c r="W76" i="8"/>
  <c r="V76" i="8"/>
  <c r="U76" i="8"/>
  <c r="T76" i="8"/>
  <c r="S76" i="8"/>
  <c r="R76" i="8"/>
  <c r="Q76" i="8"/>
  <c r="P76" i="8"/>
  <c r="O76" i="8"/>
  <c r="N76" i="8"/>
  <c r="M76" i="8"/>
  <c r="L76" i="8"/>
  <c r="W75" i="8"/>
  <c r="V75" i="8"/>
  <c r="U75" i="8"/>
  <c r="T75" i="8"/>
  <c r="S75" i="8"/>
  <c r="R75" i="8"/>
  <c r="Q75" i="8"/>
  <c r="P75" i="8"/>
  <c r="O75" i="8"/>
  <c r="N75" i="8"/>
  <c r="M75" i="8"/>
  <c r="L75" i="8"/>
  <c r="W74" i="8"/>
  <c r="V74" i="8"/>
  <c r="U74" i="8"/>
  <c r="T74" i="8"/>
  <c r="S74" i="8"/>
  <c r="R74" i="8"/>
  <c r="Q74" i="8"/>
  <c r="P74" i="8"/>
  <c r="O74" i="8"/>
  <c r="N74" i="8"/>
  <c r="M74" i="8"/>
  <c r="L74" i="8"/>
  <c r="W73" i="8"/>
  <c r="V73" i="8"/>
  <c r="U73" i="8"/>
  <c r="T73" i="8"/>
  <c r="S73" i="8"/>
  <c r="R73" i="8"/>
  <c r="Q73" i="8"/>
  <c r="P73" i="8"/>
  <c r="O73" i="8"/>
  <c r="N73" i="8"/>
  <c r="M73" i="8"/>
  <c r="L73" i="8"/>
  <c r="W72" i="8"/>
  <c r="V72" i="8"/>
  <c r="U72" i="8"/>
  <c r="T72" i="8"/>
  <c r="S72" i="8"/>
  <c r="R72" i="8"/>
  <c r="Q72" i="8"/>
  <c r="P72" i="8"/>
  <c r="O72" i="8"/>
  <c r="N72" i="8"/>
  <c r="M72" i="8"/>
  <c r="L72" i="8"/>
  <c r="W71" i="8"/>
  <c r="V71" i="8"/>
  <c r="U71" i="8"/>
  <c r="T71" i="8"/>
  <c r="S71" i="8"/>
  <c r="R71" i="8"/>
  <c r="Q71" i="8"/>
  <c r="P71" i="8"/>
  <c r="O71" i="8"/>
  <c r="N71" i="8"/>
  <c r="M71" i="8"/>
  <c r="L71" i="8"/>
  <c r="W70" i="8"/>
  <c r="V70" i="8"/>
  <c r="U70" i="8"/>
  <c r="T70" i="8"/>
  <c r="S70" i="8"/>
  <c r="R70" i="8"/>
  <c r="Q70" i="8"/>
  <c r="P70" i="8"/>
  <c r="O70" i="8"/>
  <c r="N70" i="8"/>
  <c r="M70" i="8"/>
  <c r="L70" i="8"/>
  <c r="W69" i="8"/>
  <c r="V69" i="8"/>
  <c r="U69" i="8"/>
  <c r="T69" i="8"/>
  <c r="S69" i="8"/>
  <c r="R69" i="8"/>
  <c r="Q69" i="8"/>
  <c r="P69" i="8"/>
  <c r="O69" i="8"/>
  <c r="N69" i="8"/>
  <c r="M69" i="8"/>
  <c r="L69" i="8"/>
  <c r="W68" i="8"/>
  <c r="V68" i="8"/>
  <c r="U68" i="8"/>
  <c r="T68" i="8"/>
  <c r="S68" i="8"/>
  <c r="R68" i="8"/>
  <c r="Q68" i="8"/>
  <c r="P68" i="8"/>
  <c r="O68" i="8"/>
  <c r="N68" i="8"/>
  <c r="M68" i="8"/>
  <c r="L68" i="8"/>
  <c r="W67" i="8"/>
  <c r="V67" i="8"/>
  <c r="U67" i="8"/>
  <c r="T67" i="8"/>
  <c r="S67" i="8"/>
  <c r="R67" i="8"/>
  <c r="Q67" i="8"/>
  <c r="P67" i="8"/>
  <c r="O67" i="8"/>
  <c r="N67" i="8"/>
  <c r="M67" i="8"/>
  <c r="L67" i="8"/>
  <c r="W66" i="8"/>
  <c r="V66" i="8"/>
  <c r="U66" i="8"/>
  <c r="T66" i="8"/>
  <c r="S66" i="8"/>
  <c r="R66" i="8"/>
  <c r="Q66" i="8"/>
  <c r="P66" i="8"/>
  <c r="O66" i="8"/>
  <c r="N66" i="8"/>
  <c r="M66" i="8"/>
  <c r="L66" i="8"/>
  <c r="W65" i="8"/>
  <c r="V65" i="8"/>
  <c r="U65" i="8"/>
  <c r="T65" i="8"/>
  <c r="S65" i="8"/>
  <c r="R65" i="8"/>
  <c r="Q65" i="8"/>
  <c r="P65" i="8"/>
  <c r="O65" i="8"/>
  <c r="N65" i="8"/>
  <c r="M65" i="8"/>
  <c r="L65" i="8"/>
  <c r="W64" i="8"/>
  <c r="V64" i="8"/>
  <c r="U64" i="8"/>
  <c r="T64" i="8"/>
  <c r="S64" i="8"/>
  <c r="R64" i="8"/>
  <c r="Q64" i="8"/>
  <c r="P64" i="8"/>
  <c r="O64" i="8"/>
  <c r="N64" i="8"/>
  <c r="M64" i="8"/>
  <c r="L64" i="8"/>
  <c r="W63" i="8"/>
  <c r="V63" i="8"/>
  <c r="U63" i="8"/>
  <c r="T63" i="8"/>
  <c r="S63" i="8"/>
  <c r="R63" i="8"/>
  <c r="Q63" i="8"/>
  <c r="P63" i="8"/>
  <c r="O63" i="8"/>
  <c r="N63" i="8"/>
  <c r="M63" i="8"/>
  <c r="L63" i="8"/>
  <c r="W62" i="8"/>
  <c r="V62" i="8"/>
  <c r="U62" i="8"/>
  <c r="T62" i="8"/>
  <c r="S62" i="8"/>
  <c r="R62" i="8"/>
  <c r="Q62" i="8"/>
  <c r="P62" i="8"/>
  <c r="O62" i="8"/>
  <c r="N62" i="8"/>
  <c r="M62" i="8"/>
  <c r="L62" i="8"/>
  <c r="W61" i="8"/>
  <c r="V61" i="8"/>
  <c r="U61" i="8"/>
  <c r="T61" i="8"/>
  <c r="S61" i="8"/>
  <c r="R61" i="8"/>
  <c r="Q61" i="8"/>
  <c r="P61" i="8"/>
  <c r="O61" i="8"/>
  <c r="N61" i="8"/>
  <c r="M61" i="8"/>
  <c r="L61" i="8"/>
  <c r="W60" i="8"/>
  <c r="V60" i="8"/>
  <c r="U60" i="8"/>
  <c r="T60" i="8"/>
  <c r="S60" i="8"/>
  <c r="R60" i="8"/>
  <c r="Q60" i="8"/>
  <c r="P60" i="8"/>
  <c r="O60" i="8"/>
  <c r="N60" i="8"/>
  <c r="M60" i="8"/>
  <c r="L60" i="8"/>
  <c r="W59" i="8"/>
  <c r="V59" i="8"/>
  <c r="U59" i="8"/>
  <c r="T59" i="8"/>
  <c r="S59" i="8"/>
  <c r="R59" i="8"/>
  <c r="Q59" i="8"/>
  <c r="P59" i="8"/>
  <c r="O59" i="8"/>
  <c r="N59" i="8"/>
  <c r="M59" i="8"/>
  <c r="L59" i="8"/>
  <c r="W58" i="8"/>
  <c r="V58" i="8"/>
  <c r="U58" i="8"/>
  <c r="T58" i="8"/>
  <c r="S58" i="8"/>
  <c r="R58" i="8"/>
  <c r="Q58" i="8"/>
  <c r="P58" i="8"/>
  <c r="O58" i="8"/>
  <c r="N58" i="8"/>
  <c r="M58" i="8"/>
  <c r="L58" i="8"/>
  <c r="W57" i="8"/>
  <c r="V57" i="8"/>
  <c r="U57" i="8"/>
  <c r="T57" i="8"/>
  <c r="S57" i="8"/>
  <c r="R57" i="8"/>
  <c r="Q57" i="8"/>
  <c r="P57" i="8"/>
  <c r="O57" i="8"/>
  <c r="N57" i="8"/>
  <c r="M57" i="8"/>
  <c r="L57" i="8"/>
  <c r="W56" i="8"/>
  <c r="V56" i="8"/>
  <c r="U56" i="8"/>
  <c r="T56" i="8"/>
  <c r="S56" i="8"/>
  <c r="R56" i="8"/>
  <c r="Q56" i="8"/>
  <c r="P56" i="8"/>
  <c r="O56" i="8"/>
  <c r="N56" i="8"/>
  <c r="M56" i="8"/>
  <c r="L56" i="8"/>
  <c r="W55" i="8"/>
  <c r="V55" i="8"/>
  <c r="U55" i="8"/>
  <c r="T55" i="8"/>
  <c r="S55" i="8"/>
  <c r="R55" i="8"/>
  <c r="Q55" i="8"/>
  <c r="P55" i="8"/>
  <c r="O55" i="8"/>
  <c r="N55" i="8"/>
  <c r="M55" i="8"/>
  <c r="L55" i="8"/>
  <c r="W54" i="8"/>
  <c r="V54" i="8"/>
  <c r="U54" i="8"/>
  <c r="T54" i="8"/>
  <c r="S54" i="8"/>
  <c r="R54" i="8"/>
  <c r="Q54" i="8"/>
  <c r="P54" i="8"/>
  <c r="O54" i="8"/>
  <c r="N54" i="8"/>
  <c r="M54" i="8"/>
  <c r="L54" i="8"/>
  <c r="W53" i="8"/>
  <c r="V53" i="8"/>
  <c r="U53" i="8"/>
  <c r="T53" i="8"/>
  <c r="S53" i="8"/>
  <c r="R53" i="8"/>
  <c r="Q53" i="8"/>
  <c r="P53" i="8"/>
  <c r="O53" i="8"/>
  <c r="N53" i="8"/>
  <c r="M53" i="8"/>
  <c r="L53" i="8"/>
  <c r="W52" i="8"/>
  <c r="V52" i="8"/>
  <c r="U52" i="8"/>
  <c r="T52" i="8"/>
  <c r="S52" i="8"/>
  <c r="R52" i="8"/>
  <c r="Q52" i="8"/>
  <c r="P52" i="8"/>
  <c r="O52" i="8"/>
  <c r="N52" i="8"/>
  <c r="M52" i="8"/>
  <c r="L52" i="8"/>
  <c r="W51" i="8"/>
  <c r="V51" i="8"/>
  <c r="U51" i="8"/>
  <c r="T51" i="8"/>
  <c r="S51" i="8"/>
  <c r="R51" i="8"/>
  <c r="Q51" i="8"/>
  <c r="P51" i="8"/>
  <c r="O51" i="8"/>
  <c r="N51" i="8"/>
  <c r="M51" i="8"/>
  <c r="L51" i="8"/>
  <c r="W50" i="8"/>
  <c r="V50" i="8"/>
  <c r="U50" i="8"/>
  <c r="T50" i="8"/>
  <c r="S50" i="8"/>
  <c r="R50" i="8"/>
  <c r="Q50" i="8"/>
  <c r="P50" i="8"/>
  <c r="O50" i="8"/>
  <c r="N50" i="8"/>
  <c r="M50" i="8"/>
  <c r="L50" i="8"/>
  <c r="W49" i="8"/>
  <c r="V49" i="8"/>
  <c r="U49" i="8"/>
  <c r="T49" i="8"/>
  <c r="S49" i="8"/>
  <c r="R49" i="8"/>
  <c r="Q49" i="8"/>
  <c r="P49" i="8"/>
  <c r="O49" i="8"/>
  <c r="N49" i="8"/>
  <c r="M49" i="8"/>
  <c r="L49" i="8"/>
  <c r="W48" i="8"/>
  <c r="V48" i="8"/>
  <c r="U48" i="8"/>
  <c r="T48" i="8"/>
  <c r="S48" i="8"/>
  <c r="R48" i="8"/>
  <c r="Q48" i="8"/>
  <c r="P48" i="8"/>
  <c r="O48" i="8"/>
  <c r="N48" i="8"/>
  <c r="M48" i="8"/>
  <c r="L48" i="8"/>
  <c r="W47" i="8"/>
  <c r="V47" i="8"/>
  <c r="U47" i="8"/>
  <c r="T47" i="8"/>
  <c r="S47" i="8"/>
  <c r="R47" i="8"/>
  <c r="Q47" i="8"/>
  <c r="P47" i="8"/>
  <c r="O47" i="8"/>
  <c r="N47" i="8"/>
  <c r="M47" i="8"/>
  <c r="L47" i="8"/>
  <c r="W46" i="8"/>
  <c r="V46" i="8"/>
  <c r="U46" i="8"/>
  <c r="T46" i="8"/>
  <c r="S46" i="8"/>
  <c r="R46" i="8"/>
  <c r="Q46" i="8"/>
  <c r="P46" i="8"/>
  <c r="O46" i="8"/>
  <c r="N46" i="8"/>
  <c r="M46" i="8"/>
  <c r="L46" i="8"/>
  <c r="W45" i="8"/>
  <c r="V45" i="8"/>
  <c r="U45" i="8"/>
  <c r="T45" i="8"/>
  <c r="S45" i="8"/>
  <c r="R45" i="8"/>
  <c r="Q45" i="8"/>
  <c r="P45" i="8"/>
  <c r="O45" i="8"/>
  <c r="N45" i="8"/>
  <c r="M45" i="8"/>
  <c r="L45" i="8"/>
  <c r="W44" i="8"/>
  <c r="V44" i="8"/>
  <c r="U44" i="8"/>
  <c r="T44" i="8"/>
  <c r="S44" i="8"/>
  <c r="R44" i="8"/>
  <c r="Q44" i="8"/>
  <c r="P44" i="8"/>
  <c r="O44" i="8"/>
  <c r="N44" i="8"/>
  <c r="M44" i="8"/>
  <c r="L44" i="8"/>
  <c r="W43" i="8"/>
  <c r="V43" i="8"/>
  <c r="U43" i="8"/>
  <c r="T43" i="8"/>
  <c r="S43" i="8"/>
  <c r="R43" i="8"/>
  <c r="Q43" i="8"/>
  <c r="P43" i="8"/>
  <c r="O43" i="8"/>
  <c r="N43" i="8"/>
  <c r="M43" i="8"/>
  <c r="L43" i="8"/>
  <c r="W42" i="8"/>
  <c r="V42" i="8"/>
  <c r="U42" i="8"/>
  <c r="T42" i="8"/>
  <c r="S42" i="8"/>
  <c r="R42" i="8"/>
  <c r="Q42" i="8"/>
  <c r="P42" i="8"/>
  <c r="O42" i="8"/>
  <c r="N42" i="8"/>
  <c r="M42" i="8"/>
  <c r="L42" i="8"/>
  <c r="W41" i="8"/>
  <c r="V41" i="8"/>
  <c r="U41" i="8"/>
  <c r="T41" i="8"/>
  <c r="S41" i="8"/>
  <c r="R41" i="8"/>
  <c r="Q41" i="8"/>
  <c r="P41" i="8"/>
  <c r="O41" i="8"/>
  <c r="N41" i="8"/>
  <c r="M41" i="8"/>
  <c r="L41" i="8"/>
  <c r="W40" i="8"/>
  <c r="V40" i="8"/>
  <c r="U40" i="8"/>
  <c r="T40" i="8"/>
  <c r="S40" i="8"/>
  <c r="R40" i="8"/>
  <c r="Q40" i="8"/>
  <c r="P40" i="8"/>
  <c r="O40" i="8"/>
  <c r="N40" i="8"/>
  <c r="M40" i="8"/>
  <c r="L40" i="8"/>
  <c r="W39" i="8"/>
  <c r="V39" i="8"/>
  <c r="U39" i="8"/>
  <c r="T39" i="8"/>
  <c r="S39" i="8"/>
  <c r="R39" i="8"/>
  <c r="Q39" i="8"/>
  <c r="P39" i="8"/>
  <c r="O39" i="8"/>
  <c r="N39" i="8"/>
  <c r="M39" i="8"/>
  <c r="L39" i="8"/>
  <c r="W38" i="8"/>
  <c r="V38" i="8"/>
  <c r="U38" i="8"/>
  <c r="T38" i="8"/>
  <c r="S38" i="8"/>
  <c r="R38" i="8"/>
  <c r="Q38" i="8"/>
  <c r="P38" i="8"/>
  <c r="O38" i="8"/>
  <c r="N38" i="8"/>
  <c r="M38" i="8"/>
  <c r="L38" i="8"/>
  <c r="W37" i="8"/>
  <c r="V37" i="8"/>
  <c r="U37" i="8"/>
  <c r="T37" i="8"/>
  <c r="S37" i="8"/>
  <c r="R37" i="8"/>
  <c r="Q37" i="8"/>
  <c r="P37" i="8"/>
  <c r="O37" i="8"/>
  <c r="N37" i="8"/>
  <c r="M37" i="8"/>
  <c r="L37" i="8"/>
  <c r="W36" i="8"/>
  <c r="V36" i="8"/>
  <c r="U36" i="8"/>
  <c r="T36" i="8"/>
  <c r="S36" i="8"/>
  <c r="R36" i="8"/>
  <c r="Q36" i="8"/>
  <c r="P36" i="8"/>
  <c r="O36" i="8"/>
  <c r="N36" i="8"/>
  <c r="M36" i="8"/>
  <c r="L36" i="8"/>
  <c r="W35" i="8"/>
  <c r="V35" i="8"/>
  <c r="U35" i="8"/>
  <c r="T35" i="8"/>
  <c r="S35" i="8"/>
  <c r="R35" i="8"/>
  <c r="Q35" i="8"/>
  <c r="P35" i="8"/>
  <c r="O35" i="8"/>
  <c r="N35" i="8"/>
  <c r="M35" i="8"/>
  <c r="L35" i="8"/>
  <c r="W34" i="8"/>
  <c r="V34" i="8"/>
  <c r="U34" i="8"/>
  <c r="T34" i="8"/>
  <c r="S34" i="8"/>
  <c r="R34" i="8"/>
  <c r="Q34" i="8"/>
  <c r="P34" i="8"/>
  <c r="O34" i="8"/>
  <c r="N34" i="8"/>
  <c r="M34" i="8"/>
  <c r="L34" i="8"/>
  <c r="W33" i="8"/>
  <c r="V33" i="8"/>
  <c r="U33" i="8"/>
  <c r="T33" i="8"/>
  <c r="S33" i="8"/>
  <c r="R33" i="8"/>
  <c r="Q33" i="8"/>
  <c r="P33" i="8"/>
  <c r="O33" i="8"/>
  <c r="N33" i="8"/>
  <c r="M33" i="8"/>
  <c r="L33" i="8"/>
  <c r="W32" i="8"/>
  <c r="V32" i="8"/>
  <c r="U32" i="8"/>
  <c r="T32" i="8"/>
  <c r="S32" i="8"/>
  <c r="R32" i="8"/>
  <c r="Q32" i="8"/>
  <c r="P32" i="8"/>
  <c r="O32" i="8"/>
  <c r="N32" i="8"/>
  <c r="M32" i="8"/>
  <c r="L32" i="8"/>
  <c r="W31" i="8"/>
  <c r="V31" i="8"/>
  <c r="U31" i="8"/>
  <c r="T31" i="8"/>
  <c r="S31" i="8"/>
  <c r="R31" i="8"/>
  <c r="Q31" i="8"/>
  <c r="P31" i="8"/>
  <c r="O31" i="8"/>
  <c r="N31" i="8"/>
  <c r="M31" i="8"/>
  <c r="L31" i="8"/>
  <c r="W30" i="8"/>
  <c r="V30" i="8"/>
  <c r="U30" i="8"/>
  <c r="T30" i="8"/>
  <c r="S30" i="8"/>
  <c r="R30" i="8"/>
  <c r="Q30" i="8"/>
  <c r="P30" i="8"/>
  <c r="O30" i="8"/>
  <c r="N30" i="8"/>
  <c r="M30" i="8"/>
  <c r="L30" i="8"/>
  <c r="W29" i="8"/>
  <c r="V29" i="8"/>
  <c r="U29" i="8"/>
  <c r="T29" i="8"/>
  <c r="S29" i="8"/>
  <c r="R29" i="8"/>
  <c r="Q29" i="8"/>
  <c r="P29" i="8"/>
  <c r="O29" i="8"/>
  <c r="N29" i="8"/>
  <c r="M29" i="8"/>
  <c r="L29" i="8"/>
  <c r="W28" i="8"/>
  <c r="V28" i="8"/>
  <c r="U28" i="8"/>
  <c r="T28" i="8"/>
  <c r="S28" i="8"/>
  <c r="R28" i="8"/>
  <c r="Q28" i="8"/>
  <c r="P28" i="8"/>
  <c r="O28" i="8"/>
  <c r="N28" i="8"/>
  <c r="M28" i="8"/>
  <c r="L28" i="8"/>
  <c r="W27" i="8"/>
  <c r="V27" i="8"/>
  <c r="U27" i="8"/>
  <c r="T27" i="8"/>
  <c r="S27" i="8"/>
  <c r="R27" i="8"/>
  <c r="Q27" i="8"/>
  <c r="P27" i="8"/>
  <c r="O27" i="8"/>
  <c r="N27" i="8"/>
  <c r="M27" i="8"/>
  <c r="L27" i="8"/>
  <c r="W26" i="8"/>
  <c r="V26" i="8"/>
  <c r="U26" i="8"/>
  <c r="T26" i="8"/>
  <c r="S26" i="8"/>
  <c r="R26" i="8"/>
  <c r="Q26" i="8"/>
  <c r="P26" i="8"/>
  <c r="O26" i="8"/>
  <c r="N26" i="8"/>
  <c r="M26" i="8"/>
  <c r="L26" i="8"/>
  <c r="W25" i="8"/>
  <c r="V25" i="8"/>
  <c r="U25" i="8"/>
  <c r="T25" i="8"/>
  <c r="S25" i="8"/>
  <c r="R25" i="8"/>
  <c r="Q25" i="8"/>
  <c r="P25" i="8"/>
  <c r="O25" i="8"/>
  <c r="N25" i="8"/>
  <c r="M25" i="8"/>
  <c r="L25" i="8"/>
  <c r="W24" i="8"/>
  <c r="V24" i="8"/>
  <c r="U24" i="8"/>
  <c r="T24" i="8"/>
  <c r="S24" i="8"/>
  <c r="R24" i="8"/>
  <c r="Q24" i="8"/>
  <c r="P24" i="8"/>
  <c r="O24" i="8"/>
  <c r="N24" i="8"/>
  <c r="M24" i="8"/>
  <c r="L24" i="8"/>
  <c r="W23" i="8"/>
  <c r="V23" i="8"/>
  <c r="U23" i="8"/>
  <c r="T23" i="8"/>
  <c r="S23" i="8"/>
  <c r="R23" i="8"/>
  <c r="Q23" i="8"/>
  <c r="P23" i="8"/>
  <c r="O23" i="8"/>
  <c r="N23" i="8"/>
  <c r="M23" i="8"/>
  <c r="L23" i="8"/>
  <c r="W22" i="8"/>
  <c r="V22" i="8"/>
  <c r="U22" i="8"/>
  <c r="T22" i="8"/>
  <c r="S22" i="8"/>
  <c r="R22" i="8"/>
  <c r="Q22" i="8"/>
  <c r="P22" i="8"/>
  <c r="O22" i="8"/>
  <c r="N22" i="8"/>
  <c r="M22" i="8"/>
  <c r="L22" i="8"/>
  <c r="W21" i="8"/>
  <c r="V21" i="8"/>
  <c r="U21" i="8"/>
  <c r="T21" i="8"/>
  <c r="S21" i="8"/>
  <c r="R21" i="8"/>
  <c r="Q21" i="8"/>
  <c r="P21" i="8"/>
  <c r="O21" i="8"/>
  <c r="N21" i="8"/>
  <c r="M21" i="8"/>
  <c r="L21" i="8"/>
  <c r="W20" i="8"/>
  <c r="V20" i="8"/>
  <c r="U20" i="8"/>
  <c r="T20" i="8"/>
  <c r="S20" i="8"/>
  <c r="R20" i="8"/>
  <c r="Q20" i="8"/>
  <c r="P20" i="8"/>
  <c r="O20" i="8"/>
  <c r="N20" i="8"/>
  <c r="M20" i="8"/>
  <c r="L20" i="8"/>
  <c r="W19" i="8"/>
  <c r="V19" i="8"/>
  <c r="U19" i="8"/>
  <c r="T19" i="8"/>
  <c r="S19" i="8"/>
  <c r="R19" i="8"/>
  <c r="Q19" i="8"/>
  <c r="P19" i="8"/>
  <c r="O19" i="8"/>
  <c r="N19" i="8"/>
  <c r="M19" i="8"/>
  <c r="L19" i="8"/>
  <c r="W18" i="8"/>
  <c r="V18" i="8"/>
  <c r="U18" i="8"/>
  <c r="T18" i="8"/>
  <c r="S18" i="8"/>
  <c r="R18" i="8"/>
  <c r="Q18" i="8"/>
  <c r="P18" i="8"/>
  <c r="O18" i="8"/>
  <c r="N18" i="8"/>
  <c r="M18" i="8"/>
  <c r="L18" i="8"/>
  <c r="W17" i="8"/>
  <c r="V17" i="8"/>
  <c r="U17" i="8"/>
  <c r="T17" i="8"/>
  <c r="S17" i="8"/>
  <c r="R17" i="8"/>
  <c r="Q17" i="8"/>
  <c r="P17" i="8"/>
  <c r="O17" i="8"/>
  <c r="N17" i="8"/>
  <c r="M17" i="8"/>
  <c r="L17" i="8"/>
  <c r="W16" i="8"/>
  <c r="V16" i="8"/>
  <c r="U16" i="8"/>
  <c r="T16" i="8"/>
  <c r="S16" i="8"/>
  <c r="R16" i="8"/>
  <c r="Q16" i="8"/>
  <c r="P16" i="8"/>
  <c r="O16" i="8"/>
  <c r="N16" i="8"/>
  <c r="M16" i="8"/>
  <c r="L16" i="8"/>
  <c r="W15" i="8"/>
  <c r="V15" i="8"/>
  <c r="U15" i="8"/>
  <c r="T15" i="8"/>
  <c r="S15" i="8"/>
  <c r="R15" i="8"/>
  <c r="Q15" i="8"/>
  <c r="P15" i="8"/>
  <c r="O15" i="8"/>
  <c r="N15" i="8"/>
  <c r="M15" i="8"/>
  <c r="L15" i="8"/>
  <c r="W14" i="8"/>
  <c r="V14" i="8"/>
  <c r="U14" i="8"/>
  <c r="T14" i="8"/>
  <c r="S14" i="8"/>
  <c r="R14" i="8"/>
  <c r="Q14" i="8"/>
  <c r="P14" i="8"/>
  <c r="O14" i="8"/>
  <c r="N14" i="8"/>
  <c r="M14" i="8"/>
  <c r="L14" i="8"/>
  <c r="W13" i="8"/>
  <c r="V13" i="8"/>
  <c r="U13" i="8"/>
  <c r="T13" i="8"/>
  <c r="S13" i="8"/>
  <c r="R13" i="8"/>
  <c r="Q13" i="8"/>
  <c r="P13" i="8"/>
  <c r="O13" i="8"/>
  <c r="N13" i="8"/>
  <c r="M13" i="8"/>
  <c r="L13" i="8"/>
  <c r="W12" i="8"/>
  <c r="V12" i="8"/>
  <c r="U12" i="8"/>
  <c r="T12" i="8"/>
  <c r="S12" i="8"/>
  <c r="R12" i="8"/>
  <c r="Q12" i="8"/>
  <c r="P12" i="8"/>
  <c r="O12" i="8"/>
  <c r="N12" i="8"/>
  <c r="M12" i="8"/>
  <c r="L12" i="8"/>
  <c r="N1" i="8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H78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H1" i="7"/>
  <c r="O360" i="6"/>
  <c r="E360" i="6"/>
  <c r="O359" i="6"/>
  <c r="E359" i="6"/>
  <c r="O358" i="6"/>
  <c r="E358" i="6"/>
  <c r="O357" i="6"/>
  <c r="E357" i="6"/>
  <c r="O356" i="6"/>
  <c r="E356" i="6"/>
  <c r="O355" i="6"/>
  <c r="E355" i="6"/>
  <c r="O354" i="6"/>
  <c r="E354" i="6"/>
  <c r="O353" i="6"/>
  <c r="E353" i="6"/>
  <c r="O352" i="6"/>
  <c r="E352" i="6"/>
  <c r="O351" i="6"/>
  <c r="E351" i="6"/>
  <c r="O350" i="6"/>
  <c r="E350" i="6"/>
  <c r="O349" i="6"/>
  <c r="E349" i="6"/>
  <c r="O348" i="6"/>
  <c r="E348" i="6"/>
  <c r="O347" i="6"/>
  <c r="E347" i="6"/>
  <c r="O346" i="6"/>
  <c r="E346" i="6"/>
  <c r="O345" i="6"/>
  <c r="E345" i="6"/>
  <c r="O344" i="6"/>
  <c r="E344" i="6"/>
  <c r="O343" i="6"/>
  <c r="E343" i="6"/>
  <c r="O342" i="6"/>
  <c r="E342" i="6"/>
  <c r="O341" i="6"/>
  <c r="E341" i="6"/>
  <c r="O340" i="6"/>
  <c r="E340" i="6"/>
  <c r="O339" i="6"/>
  <c r="E339" i="6"/>
  <c r="O338" i="6"/>
  <c r="E338" i="6"/>
  <c r="O337" i="6"/>
  <c r="E337" i="6"/>
  <c r="O336" i="6"/>
  <c r="E336" i="6"/>
  <c r="O335" i="6"/>
  <c r="E335" i="6"/>
  <c r="O334" i="6"/>
  <c r="E334" i="6"/>
  <c r="O333" i="6"/>
  <c r="E333" i="6"/>
  <c r="O332" i="6"/>
  <c r="E332" i="6"/>
  <c r="O331" i="6"/>
  <c r="E331" i="6"/>
  <c r="O330" i="6"/>
  <c r="E330" i="6"/>
  <c r="O329" i="6"/>
  <c r="E329" i="6"/>
  <c r="O328" i="6"/>
  <c r="E328" i="6"/>
  <c r="O327" i="6"/>
  <c r="E327" i="6"/>
  <c r="O326" i="6"/>
  <c r="E326" i="6"/>
  <c r="O325" i="6"/>
  <c r="E325" i="6"/>
  <c r="O324" i="6"/>
  <c r="E324" i="6"/>
  <c r="O323" i="6"/>
  <c r="E323" i="6"/>
  <c r="O322" i="6"/>
  <c r="E322" i="6"/>
  <c r="O321" i="6"/>
  <c r="E321" i="6"/>
  <c r="O320" i="6"/>
  <c r="E320" i="6"/>
  <c r="O319" i="6"/>
  <c r="E319" i="6"/>
  <c r="O318" i="6"/>
  <c r="E318" i="6"/>
  <c r="O317" i="6"/>
  <c r="E317" i="6"/>
  <c r="O316" i="6"/>
  <c r="E316" i="6"/>
  <c r="O315" i="6"/>
  <c r="E315" i="6"/>
  <c r="O314" i="6"/>
  <c r="E314" i="6"/>
  <c r="O313" i="6"/>
  <c r="E313" i="6"/>
  <c r="O312" i="6"/>
  <c r="E312" i="6"/>
  <c r="O311" i="6"/>
  <c r="E311" i="6"/>
  <c r="O310" i="6"/>
  <c r="E310" i="6"/>
  <c r="O309" i="6"/>
  <c r="E309" i="6"/>
  <c r="O308" i="6"/>
  <c r="E308" i="6"/>
  <c r="O307" i="6"/>
  <c r="E307" i="6"/>
  <c r="O306" i="6"/>
  <c r="E306" i="6"/>
  <c r="O305" i="6"/>
  <c r="E305" i="6"/>
  <c r="O304" i="6"/>
  <c r="E304" i="6"/>
  <c r="O303" i="6"/>
  <c r="E303" i="6"/>
  <c r="O302" i="6"/>
  <c r="E302" i="6"/>
  <c r="O301" i="6"/>
  <c r="E301" i="6"/>
  <c r="O300" i="6"/>
  <c r="E300" i="6"/>
  <c r="O299" i="6"/>
  <c r="E299" i="6"/>
  <c r="O298" i="6"/>
  <c r="E298" i="6"/>
  <c r="O297" i="6"/>
  <c r="E297" i="6"/>
  <c r="O296" i="6"/>
  <c r="E296" i="6"/>
  <c r="O295" i="6"/>
  <c r="E295" i="6"/>
  <c r="O294" i="6"/>
  <c r="E294" i="6"/>
  <c r="O293" i="6"/>
  <c r="E293" i="6"/>
  <c r="O292" i="6"/>
  <c r="E292" i="6"/>
  <c r="O291" i="6"/>
  <c r="E291" i="6"/>
  <c r="O290" i="6"/>
  <c r="E290" i="6"/>
  <c r="O289" i="6"/>
  <c r="E289" i="6"/>
  <c r="O288" i="6"/>
  <c r="E288" i="6"/>
  <c r="O287" i="6"/>
  <c r="E287" i="6"/>
  <c r="O286" i="6"/>
  <c r="E286" i="6"/>
  <c r="O285" i="6"/>
  <c r="E285" i="6"/>
  <c r="O284" i="6"/>
  <c r="E284" i="6"/>
  <c r="O283" i="6"/>
  <c r="E283" i="6"/>
  <c r="O282" i="6"/>
  <c r="E282" i="6"/>
  <c r="O281" i="6"/>
  <c r="E281" i="6"/>
  <c r="O280" i="6"/>
  <c r="E280" i="6"/>
  <c r="O279" i="6"/>
  <c r="E279" i="6"/>
  <c r="O278" i="6"/>
  <c r="E278" i="6"/>
  <c r="O277" i="6"/>
  <c r="E277" i="6"/>
  <c r="O276" i="6"/>
  <c r="E276" i="6"/>
  <c r="O275" i="6"/>
  <c r="E275" i="6"/>
  <c r="O274" i="6"/>
  <c r="E274" i="6"/>
  <c r="O273" i="6"/>
  <c r="E273" i="6"/>
  <c r="O272" i="6"/>
  <c r="E272" i="6"/>
  <c r="O271" i="6"/>
  <c r="E271" i="6"/>
  <c r="O270" i="6"/>
  <c r="E270" i="6"/>
  <c r="O269" i="6"/>
  <c r="E269" i="6"/>
  <c r="O268" i="6"/>
  <c r="E268" i="6"/>
  <c r="O267" i="6"/>
  <c r="E267" i="6"/>
  <c r="O266" i="6"/>
  <c r="E266" i="6"/>
  <c r="O265" i="6"/>
  <c r="E265" i="6"/>
  <c r="O264" i="6"/>
  <c r="E264" i="6"/>
  <c r="O263" i="6"/>
  <c r="E263" i="6"/>
  <c r="O262" i="6"/>
  <c r="E262" i="6"/>
  <c r="O261" i="6"/>
  <c r="E261" i="6"/>
  <c r="O260" i="6"/>
  <c r="E260" i="6"/>
  <c r="O259" i="6"/>
  <c r="E259" i="6"/>
  <c r="O258" i="6"/>
  <c r="E258" i="6"/>
  <c r="O257" i="6"/>
  <c r="E257" i="6"/>
  <c r="O256" i="6"/>
  <c r="E256" i="6"/>
  <c r="O255" i="6"/>
  <c r="E255" i="6"/>
  <c r="O254" i="6"/>
  <c r="E254" i="6"/>
  <c r="O253" i="6"/>
  <c r="E253" i="6"/>
  <c r="O252" i="6"/>
  <c r="E252" i="6"/>
  <c r="O251" i="6"/>
  <c r="E251" i="6"/>
  <c r="O250" i="6"/>
  <c r="E250" i="6"/>
  <c r="O249" i="6"/>
  <c r="E249" i="6"/>
  <c r="O248" i="6"/>
  <c r="E248" i="6"/>
  <c r="O247" i="6"/>
  <c r="E247" i="6"/>
  <c r="O246" i="6"/>
  <c r="E246" i="6"/>
  <c r="O245" i="6"/>
  <c r="E245" i="6"/>
  <c r="O244" i="6"/>
  <c r="E244" i="6"/>
  <c r="O243" i="6"/>
  <c r="E243" i="6"/>
  <c r="O242" i="6"/>
  <c r="E242" i="6"/>
  <c r="O241" i="6"/>
  <c r="E241" i="6"/>
  <c r="O240" i="6"/>
  <c r="E240" i="6"/>
  <c r="O239" i="6"/>
  <c r="E239" i="6"/>
  <c r="O238" i="6"/>
  <c r="E238" i="6"/>
  <c r="O237" i="6"/>
  <c r="E237" i="6"/>
  <c r="O236" i="6"/>
  <c r="E236" i="6"/>
  <c r="O235" i="6"/>
  <c r="E235" i="6"/>
  <c r="O234" i="6"/>
  <c r="E234" i="6"/>
  <c r="O233" i="6"/>
  <c r="E233" i="6"/>
  <c r="O232" i="6"/>
  <c r="E232" i="6"/>
  <c r="O231" i="6"/>
  <c r="E231" i="6"/>
  <c r="O230" i="6"/>
  <c r="E230" i="6"/>
  <c r="O229" i="6"/>
  <c r="E229" i="6"/>
  <c r="O228" i="6"/>
  <c r="E228" i="6"/>
  <c r="O227" i="6"/>
  <c r="E227" i="6"/>
  <c r="O226" i="6"/>
  <c r="E226" i="6"/>
  <c r="O225" i="6"/>
  <c r="E225" i="6"/>
  <c r="O224" i="6"/>
  <c r="E224" i="6"/>
  <c r="O223" i="6"/>
  <c r="E223" i="6"/>
  <c r="O222" i="6"/>
  <c r="E222" i="6"/>
  <c r="O221" i="6"/>
  <c r="E221" i="6"/>
  <c r="O220" i="6"/>
  <c r="E220" i="6"/>
  <c r="O219" i="6"/>
  <c r="E219" i="6"/>
  <c r="O218" i="6"/>
  <c r="E218" i="6"/>
  <c r="O217" i="6"/>
  <c r="E217" i="6"/>
  <c r="O216" i="6"/>
  <c r="E216" i="6"/>
  <c r="O215" i="6"/>
  <c r="E215" i="6"/>
  <c r="O214" i="6"/>
  <c r="E214" i="6"/>
  <c r="O213" i="6"/>
  <c r="E213" i="6"/>
  <c r="O212" i="6"/>
  <c r="E212" i="6"/>
  <c r="O211" i="6"/>
  <c r="E211" i="6"/>
  <c r="O210" i="6"/>
  <c r="E210" i="6"/>
  <c r="O209" i="6"/>
  <c r="E209" i="6"/>
  <c r="O208" i="6"/>
  <c r="E208" i="6"/>
  <c r="O207" i="6"/>
  <c r="E207" i="6"/>
  <c r="O206" i="6"/>
  <c r="E206" i="6"/>
  <c r="O205" i="6"/>
  <c r="E205" i="6"/>
  <c r="O204" i="6"/>
  <c r="E204" i="6"/>
  <c r="O203" i="6"/>
  <c r="E203" i="6"/>
  <c r="O202" i="6"/>
  <c r="E202" i="6"/>
  <c r="O201" i="6"/>
  <c r="E201" i="6"/>
  <c r="O200" i="6"/>
  <c r="E200" i="6"/>
  <c r="O199" i="6"/>
  <c r="E199" i="6"/>
  <c r="O198" i="6"/>
  <c r="E198" i="6"/>
  <c r="O197" i="6"/>
  <c r="E197" i="6"/>
  <c r="O196" i="6"/>
  <c r="E196" i="6"/>
  <c r="O195" i="6"/>
  <c r="E195" i="6"/>
  <c r="O194" i="6"/>
  <c r="E194" i="6"/>
  <c r="O193" i="6"/>
  <c r="E193" i="6"/>
  <c r="O192" i="6"/>
  <c r="E192" i="6"/>
  <c r="O191" i="6"/>
  <c r="E191" i="6"/>
  <c r="O190" i="6"/>
  <c r="E190" i="6"/>
  <c r="O189" i="6"/>
  <c r="E189" i="6"/>
  <c r="O188" i="6"/>
  <c r="E188" i="6"/>
  <c r="O187" i="6"/>
  <c r="E187" i="6"/>
  <c r="O186" i="6"/>
  <c r="E186" i="6"/>
  <c r="O185" i="6"/>
  <c r="E185" i="6"/>
  <c r="O184" i="6"/>
  <c r="E184" i="6"/>
  <c r="O183" i="6"/>
  <c r="E183" i="6"/>
  <c r="O182" i="6"/>
  <c r="E182" i="6"/>
  <c r="O181" i="6"/>
  <c r="E181" i="6"/>
  <c r="O180" i="6"/>
  <c r="E180" i="6"/>
  <c r="O179" i="6"/>
  <c r="E179" i="6"/>
  <c r="O178" i="6"/>
  <c r="E178" i="6"/>
  <c r="O177" i="6"/>
  <c r="E177" i="6"/>
  <c r="O176" i="6"/>
  <c r="E176" i="6"/>
  <c r="O175" i="6"/>
  <c r="E175" i="6"/>
  <c r="O174" i="6"/>
  <c r="E174" i="6"/>
  <c r="O173" i="6"/>
  <c r="E173" i="6"/>
  <c r="O172" i="6"/>
  <c r="E172" i="6"/>
  <c r="O171" i="6"/>
  <c r="E171" i="6"/>
  <c r="O170" i="6"/>
  <c r="E170" i="6"/>
  <c r="O169" i="6"/>
  <c r="E169" i="6"/>
  <c r="O168" i="6"/>
  <c r="E168" i="6"/>
  <c r="O167" i="6"/>
  <c r="E167" i="6"/>
  <c r="O166" i="6"/>
  <c r="E166" i="6"/>
  <c r="O165" i="6"/>
  <c r="E165" i="6"/>
  <c r="O164" i="6"/>
  <c r="E164" i="6"/>
  <c r="O163" i="6"/>
  <c r="E163" i="6"/>
  <c r="O162" i="6"/>
  <c r="E162" i="6"/>
  <c r="O161" i="6"/>
  <c r="E161" i="6"/>
  <c r="O160" i="6"/>
  <c r="E160" i="6"/>
  <c r="O159" i="6"/>
  <c r="E159" i="6"/>
  <c r="O158" i="6"/>
  <c r="E158" i="6"/>
  <c r="O157" i="6"/>
  <c r="E157" i="6"/>
  <c r="O156" i="6"/>
  <c r="E156" i="6"/>
  <c r="O155" i="6"/>
  <c r="E155" i="6"/>
  <c r="O154" i="6"/>
  <c r="E154" i="6"/>
  <c r="O153" i="6"/>
  <c r="E153" i="6"/>
  <c r="O152" i="6"/>
  <c r="E152" i="6"/>
  <c r="O151" i="6"/>
  <c r="E151" i="6"/>
  <c r="O150" i="6"/>
  <c r="E150" i="6"/>
  <c r="O149" i="6"/>
  <c r="E149" i="6"/>
  <c r="O148" i="6"/>
  <c r="E148" i="6"/>
  <c r="O147" i="6"/>
  <c r="E147" i="6"/>
  <c r="O146" i="6"/>
  <c r="E146" i="6"/>
  <c r="O145" i="6"/>
  <c r="E145" i="6"/>
  <c r="O144" i="6"/>
  <c r="E144" i="6"/>
  <c r="O143" i="6"/>
  <c r="E143" i="6"/>
  <c r="O142" i="6"/>
  <c r="E142" i="6"/>
  <c r="O141" i="6"/>
  <c r="E141" i="6"/>
  <c r="O140" i="6"/>
  <c r="E140" i="6"/>
  <c r="O139" i="6"/>
  <c r="E139" i="6"/>
  <c r="O138" i="6"/>
  <c r="E138" i="6"/>
  <c r="O137" i="6"/>
  <c r="E137" i="6"/>
  <c r="O136" i="6"/>
  <c r="E136" i="6"/>
  <c r="O135" i="6"/>
  <c r="E135" i="6"/>
  <c r="O134" i="6"/>
  <c r="E134" i="6"/>
  <c r="O133" i="6"/>
  <c r="E133" i="6"/>
  <c r="O132" i="6"/>
  <c r="E132" i="6"/>
  <c r="O131" i="6"/>
  <c r="E131" i="6"/>
  <c r="O130" i="6"/>
  <c r="E130" i="6"/>
  <c r="O129" i="6"/>
  <c r="E129" i="6"/>
  <c r="O128" i="6"/>
  <c r="E128" i="6"/>
  <c r="O127" i="6"/>
  <c r="E127" i="6"/>
  <c r="O126" i="6"/>
  <c r="E126" i="6"/>
  <c r="O125" i="6"/>
  <c r="E125" i="6"/>
  <c r="O124" i="6"/>
  <c r="E124" i="6"/>
  <c r="O123" i="6"/>
  <c r="E123" i="6"/>
  <c r="O122" i="6"/>
  <c r="E122" i="6"/>
  <c r="O121" i="6"/>
  <c r="E121" i="6"/>
  <c r="O120" i="6"/>
  <c r="E120" i="6"/>
  <c r="O119" i="6"/>
  <c r="E119" i="6"/>
  <c r="O118" i="6"/>
  <c r="E118" i="6"/>
  <c r="O117" i="6"/>
  <c r="E117" i="6"/>
  <c r="O116" i="6"/>
  <c r="E116" i="6"/>
  <c r="O115" i="6"/>
  <c r="E115" i="6"/>
  <c r="O114" i="6"/>
  <c r="E114" i="6"/>
  <c r="O113" i="6"/>
  <c r="E113" i="6"/>
  <c r="O112" i="6"/>
  <c r="E112" i="6"/>
  <c r="O111" i="6"/>
  <c r="E111" i="6"/>
  <c r="O110" i="6"/>
  <c r="E110" i="6"/>
  <c r="O109" i="6"/>
  <c r="E109" i="6"/>
  <c r="O108" i="6"/>
  <c r="E108" i="6"/>
  <c r="O107" i="6"/>
  <c r="E107" i="6"/>
  <c r="O106" i="6"/>
  <c r="E106" i="6"/>
  <c r="O105" i="6"/>
  <c r="E105" i="6"/>
  <c r="O99" i="6"/>
  <c r="E99" i="6"/>
  <c r="O98" i="6"/>
  <c r="E98" i="6"/>
  <c r="O97" i="6"/>
  <c r="E97" i="6"/>
  <c r="O96" i="6"/>
  <c r="E96" i="6"/>
  <c r="O95" i="6"/>
  <c r="E95" i="6"/>
  <c r="O94" i="6"/>
  <c r="E94" i="6"/>
  <c r="O93" i="6"/>
  <c r="E93" i="6"/>
  <c r="O92" i="6"/>
  <c r="E92" i="6"/>
  <c r="O91" i="6"/>
  <c r="E91" i="6"/>
  <c r="O90" i="6"/>
  <c r="E90" i="6"/>
  <c r="O89" i="6"/>
  <c r="E89" i="6"/>
  <c r="O88" i="6"/>
  <c r="E88" i="6"/>
  <c r="O87" i="6"/>
  <c r="E87" i="6"/>
  <c r="O86" i="6"/>
  <c r="E86" i="6"/>
  <c r="O85" i="6"/>
  <c r="E85" i="6"/>
  <c r="O84" i="6"/>
  <c r="E84" i="6"/>
  <c r="O83" i="6"/>
  <c r="E83" i="6"/>
  <c r="O82" i="6"/>
  <c r="E82" i="6"/>
  <c r="O81" i="6"/>
  <c r="E81" i="6"/>
  <c r="O80" i="6"/>
  <c r="E80" i="6"/>
  <c r="O79" i="6"/>
  <c r="E79" i="6"/>
  <c r="O78" i="6"/>
  <c r="E78" i="6"/>
  <c r="O77" i="6"/>
  <c r="E77" i="6"/>
  <c r="O76" i="6"/>
  <c r="E76" i="6"/>
  <c r="O75" i="6"/>
  <c r="E75" i="6"/>
  <c r="O74" i="6"/>
  <c r="E74" i="6"/>
  <c r="O73" i="6"/>
  <c r="E73" i="6"/>
  <c r="O72" i="6"/>
  <c r="E72" i="6"/>
  <c r="O71" i="6"/>
  <c r="E71" i="6"/>
  <c r="O70" i="6"/>
  <c r="E70" i="6"/>
  <c r="O69" i="6"/>
  <c r="E69" i="6"/>
  <c r="O68" i="6"/>
  <c r="E68" i="6"/>
  <c r="O67" i="6"/>
  <c r="E67" i="6"/>
  <c r="O66" i="6"/>
  <c r="E66" i="6"/>
  <c r="O65" i="6"/>
  <c r="E65" i="6"/>
  <c r="O64" i="6"/>
  <c r="E64" i="6"/>
  <c r="O63" i="6"/>
  <c r="E63" i="6"/>
  <c r="O62" i="6"/>
  <c r="E62" i="6"/>
  <c r="O61" i="6"/>
  <c r="E61" i="6"/>
  <c r="O60" i="6"/>
  <c r="E60" i="6"/>
  <c r="O59" i="6"/>
  <c r="E59" i="6"/>
  <c r="O58" i="6"/>
  <c r="E58" i="6"/>
  <c r="O57" i="6"/>
  <c r="E57" i="6"/>
  <c r="O56" i="6"/>
  <c r="E56" i="6"/>
  <c r="O55" i="6"/>
  <c r="E55" i="6"/>
  <c r="O54" i="6"/>
  <c r="E54" i="6"/>
  <c r="O53" i="6"/>
  <c r="E53" i="6"/>
  <c r="O52" i="6"/>
  <c r="E52" i="6"/>
  <c r="O51" i="6"/>
  <c r="E51" i="6"/>
  <c r="O50" i="6"/>
  <c r="E50" i="6"/>
  <c r="O49" i="6"/>
  <c r="E49" i="6"/>
  <c r="O48" i="6"/>
  <c r="E48" i="6"/>
  <c r="O47" i="6"/>
  <c r="E47" i="6"/>
  <c r="O46" i="6"/>
  <c r="E46" i="6"/>
  <c r="O45" i="6"/>
  <c r="E45" i="6"/>
  <c r="O44" i="6"/>
  <c r="E44" i="6"/>
  <c r="O43" i="6"/>
  <c r="E43" i="6"/>
  <c r="O42" i="6"/>
  <c r="E42" i="6"/>
  <c r="O41" i="6"/>
  <c r="E41" i="6"/>
  <c r="O40" i="6"/>
  <c r="E40" i="6"/>
  <c r="O39" i="6"/>
  <c r="E39" i="6"/>
  <c r="O38" i="6"/>
  <c r="E38" i="6"/>
  <c r="O37" i="6"/>
  <c r="E37" i="6"/>
  <c r="O36" i="6"/>
  <c r="E36" i="6"/>
  <c r="O35" i="6"/>
  <c r="E35" i="6"/>
  <c r="O34" i="6"/>
  <c r="E34" i="6"/>
  <c r="O33" i="6"/>
  <c r="E33" i="6"/>
  <c r="O32" i="6"/>
  <c r="E32" i="6"/>
  <c r="O31" i="6"/>
  <c r="E31" i="6"/>
  <c r="O30" i="6"/>
  <c r="E30" i="6"/>
  <c r="O29" i="6"/>
  <c r="E29" i="6"/>
  <c r="O28" i="6"/>
  <c r="E28" i="6"/>
  <c r="O27" i="6"/>
  <c r="E27" i="6"/>
  <c r="O26" i="6"/>
  <c r="E26" i="6"/>
  <c r="O25" i="6"/>
  <c r="E25" i="6"/>
  <c r="O24" i="6"/>
  <c r="E24" i="6"/>
  <c r="O23" i="6"/>
  <c r="E23" i="6"/>
  <c r="O22" i="6"/>
  <c r="E22" i="6"/>
  <c r="O21" i="6"/>
  <c r="E21" i="6"/>
  <c r="O20" i="6"/>
  <c r="E20" i="6"/>
  <c r="O19" i="6"/>
  <c r="E19" i="6"/>
  <c r="O18" i="6"/>
  <c r="E18" i="6"/>
  <c r="O17" i="6"/>
  <c r="E17" i="6"/>
  <c r="O16" i="6"/>
  <c r="E16" i="6"/>
  <c r="O15" i="6"/>
  <c r="E15" i="6"/>
  <c r="O14" i="6"/>
  <c r="E14" i="6"/>
  <c r="O13" i="6"/>
  <c r="E13" i="6"/>
  <c r="O12" i="6"/>
  <c r="E12" i="6"/>
  <c r="O11" i="6"/>
  <c r="E11" i="6"/>
  <c r="O10" i="6"/>
  <c r="E10" i="6"/>
  <c r="O9" i="6"/>
  <c r="E9" i="6"/>
  <c r="O8" i="6"/>
  <c r="E8" i="6"/>
  <c r="O7" i="6"/>
  <c r="E7" i="6"/>
  <c r="O6" i="6"/>
  <c r="E6" i="6"/>
  <c r="O5" i="6"/>
  <c r="E5" i="6"/>
  <c r="O4" i="6"/>
  <c r="E4" i="6"/>
  <c r="N360" i="5"/>
  <c r="D360" i="5"/>
  <c r="N359" i="5"/>
  <c r="D359" i="5"/>
  <c r="N358" i="5"/>
  <c r="D358" i="5"/>
  <c r="N357" i="5"/>
  <c r="D357" i="5"/>
  <c r="N356" i="5"/>
  <c r="D356" i="5"/>
  <c r="N355" i="5"/>
  <c r="D355" i="5"/>
  <c r="N354" i="5"/>
  <c r="D354" i="5"/>
  <c r="N353" i="5"/>
  <c r="D353" i="5"/>
  <c r="N352" i="5"/>
  <c r="D352" i="5"/>
  <c r="N351" i="5"/>
  <c r="D351" i="5"/>
  <c r="N350" i="5"/>
  <c r="D350" i="5"/>
  <c r="N349" i="5"/>
  <c r="D349" i="5"/>
  <c r="N348" i="5"/>
  <c r="D348" i="5"/>
  <c r="N347" i="5"/>
  <c r="D347" i="5"/>
  <c r="N346" i="5"/>
  <c r="D346" i="5"/>
  <c r="N345" i="5"/>
  <c r="D345" i="5"/>
  <c r="N344" i="5"/>
  <c r="D344" i="5"/>
  <c r="N343" i="5"/>
  <c r="D343" i="5"/>
  <c r="N342" i="5"/>
  <c r="D342" i="5"/>
  <c r="N341" i="5"/>
  <c r="D341" i="5"/>
  <c r="N340" i="5"/>
  <c r="D340" i="5"/>
  <c r="N339" i="5"/>
  <c r="D339" i="5"/>
  <c r="N338" i="5"/>
  <c r="D338" i="5"/>
  <c r="N337" i="5"/>
  <c r="D337" i="5"/>
  <c r="N336" i="5"/>
  <c r="D336" i="5"/>
  <c r="N335" i="5"/>
  <c r="D335" i="5"/>
  <c r="N334" i="5"/>
  <c r="D334" i="5"/>
  <c r="N333" i="5"/>
  <c r="D333" i="5"/>
  <c r="N332" i="5"/>
  <c r="D332" i="5"/>
  <c r="N331" i="5"/>
  <c r="D331" i="5"/>
  <c r="N330" i="5"/>
  <c r="D330" i="5"/>
  <c r="N329" i="5"/>
  <c r="D329" i="5"/>
  <c r="N328" i="5"/>
  <c r="D328" i="5"/>
  <c r="N327" i="5"/>
  <c r="D327" i="5"/>
  <c r="N326" i="5"/>
  <c r="D326" i="5"/>
  <c r="N325" i="5"/>
  <c r="D325" i="5"/>
  <c r="N324" i="5"/>
  <c r="D324" i="5"/>
  <c r="N323" i="5"/>
  <c r="D323" i="5"/>
  <c r="N322" i="5"/>
  <c r="D322" i="5"/>
  <c r="N321" i="5"/>
  <c r="D321" i="5"/>
  <c r="N320" i="5"/>
  <c r="D320" i="5"/>
  <c r="N319" i="5"/>
  <c r="D319" i="5"/>
  <c r="N318" i="5"/>
  <c r="D318" i="5"/>
  <c r="N317" i="5"/>
  <c r="D317" i="5"/>
  <c r="N316" i="5"/>
  <c r="D316" i="5"/>
  <c r="N315" i="5"/>
  <c r="D315" i="5"/>
  <c r="N314" i="5"/>
  <c r="D314" i="5"/>
  <c r="N313" i="5"/>
  <c r="D313" i="5"/>
  <c r="N312" i="5"/>
  <c r="D312" i="5"/>
  <c r="N311" i="5"/>
  <c r="D311" i="5"/>
  <c r="N310" i="5"/>
  <c r="D310" i="5"/>
  <c r="N309" i="5"/>
  <c r="D309" i="5"/>
  <c r="N308" i="5"/>
  <c r="D308" i="5"/>
  <c r="N307" i="5"/>
  <c r="D307" i="5"/>
  <c r="N306" i="5"/>
  <c r="D306" i="5"/>
  <c r="N305" i="5"/>
  <c r="D305" i="5"/>
  <c r="N304" i="5"/>
  <c r="D304" i="5"/>
  <c r="N303" i="5"/>
  <c r="D303" i="5"/>
  <c r="N302" i="5"/>
  <c r="D302" i="5"/>
  <c r="N301" i="5"/>
  <c r="D301" i="5"/>
  <c r="N300" i="5"/>
  <c r="D300" i="5"/>
  <c r="N299" i="5"/>
  <c r="D299" i="5"/>
  <c r="N298" i="5"/>
  <c r="D298" i="5"/>
  <c r="N297" i="5"/>
  <c r="D297" i="5"/>
  <c r="N296" i="5"/>
  <c r="D296" i="5"/>
  <c r="N295" i="5"/>
  <c r="D295" i="5"/>
  <c r="N294" i="5"/>
  <c r="D294" i="5"/>
  <c r="N293" i="5"/>
  <c r="D293" i="5"/>
  <c r="N292" i="5"/>
  <c r="D292" i="5"/>
  <c r="N291" i="5"/>
  <c r="D291" i="5"/>
  <c r="N290" i="5"/>
  <c r="D290" i="5"/>
  <c r="N289" i="5"/>
  <c r="D289" i="5"/>
  <c r="N288" i="5"/>
  <c r="D288" i="5"/>
  <c r="N287" i="5"/>
  <c r="D287" i="5"/>
  <c r="N286" i="5"/>
  <c r="D286" i="5"/>
  <c r="N285" i="5"/>
  <c r="D285" i="5"/>
  <c r="N284" i="5"/>
  <c r="D284" i="5"/>
  <c r="N283" i="5"/>
  <c r="D283" i="5"/>
  <c r="N282" i="5"/>
  <c r="D282" i="5"/>
  <c r="N281" i="5"/>
  <c r="D281" i="5"/>
  <c r="N280" i="5"/>
  <c r="D280" i="5"/>
  <c r="N279" i="5"/>
  <c r="D279" i="5"/>
  <c r="N278" i="5"/>
  <c r="D278" i="5"/>
  <c r="N277" i="5"/>
  <c r="D277" i="5"/>
  <c r="N276" i="5"/>
  <c r="D276" i="5"/>
  <c r="N275" i="5"/>
  <c r="D275" i="5"/>
  <c r="N274" i="5"/>
  <c r="D274" i="5"/>
  <c r="N273" i="5"/>
  <c r="D273" i="5"/>
  <c r="N272" i="5"/>
  <c r="D272" i="5"/>
  <c r="N271" i="5"/>
  <c r="D271" i="5"/>
  <c r="N270" i="5"/>
  <c r="D270" i="5"/>
  <c r="N269" i="5"/>
  <c r="D269" i="5"/>
  <c r="N268" i="5"/>
  <c r="D268" i="5"/>
  <c r="N267" i="5"/>
  <c r="D267" i="5"/>
  <c r="N266" i="5"/>
  <c r="D266" i="5"/>
  <c r="N265" i="5"/>
  <c r="D265" i="5"/>
  <c r="N264" i="5"/>
  <c r="D264" i="5"/>
  <c r="N263" i="5"/>
  <c r="D263" i="5"/>
  <c r="N262" i="5"/>
  <c r="D262" i="5"/>
  <c r="N261" i="5"/>
  <c r="D261" i="5"/>
  <c r="N260" i="5"/>
  <c r="D260" i="5"/>
  <c r="N259" i="5"/>
  <c r="D259" i="5"/>
  <c r="N258" i="5"/>
  <c r="D258" i="5"/>
  <c r="N257" i="5"/>
  <c r="D257" i="5"/>
  <c r="N256" i="5"/>
  <c r="D256" i="5"/>
  <c r="N255" i="5"/>
  <c r="D255" i="5"/>
  <c r="N254" i="5"/>
  <c r="D254" i="5"/>
  <c r="N253" i="5"/>
  <c r="D253" i="5"/>
  <c r="N252" i="5"/>
  <c r="D252" i="5"/>
  <c r="N251" i="5"/>
  <c r="D251" i="5"/>
  <c r="N250" i="5"/>
  <c r="D250" i="5"/>
  <c r="N249" i="5"/>
  <c r="D249" i="5"/>
  <c r="N248" i="5"/>
  <c r="D248" i="5"/>
  <c r="N247" i="5"/>
  <c r="D247" i="5"/>
  <c r="N246" i="5"/>
  <c r="D246" i="5"/>
  <c r="N245" i="5"/>
  <c r="D245" i="5"/>
  <c r="N244" i="5"/>
  <c r="D244" i="5"/>
  <c r="N243" i="5"/>
  <c r="D243" i="5"/>
  <c r="N242" i="5"/>
  <c r="D242" i="5"/>
  <c r="N241" i="5"/>
  <c r="D241" i="5"/>
  <c r="N240" i="5"/>
  <c r="D240" i="5"/>
  <c r="N239" i="5"/>
  <c r="D239" i="5"/>
  <c r="N238" i="5"/>
  <c r="D238" i="5"/>
  <c r="N237" i="5"/>
  <c r="D237" i="5"/>
  <c r="N236" i="5"/>
  <c r="D236" i="5"/>
  <c r="N235" i="5"/>
  <c r="D235" i="5"/>
  <c r="N234" i="5"/>
  <c r="D234" i="5"/>
  <c r="N233" i="5"/>
  <c r="D233" i="5"/>
  <c r="N232" i="5"/>
  <c r="D232" i="5"/>
  <c r="N231" i="5"/>
  <c r="D231" i="5"/>
  <c r="N230" i="5"/>
  <c r="D230" i="5"/>
  <c r="N229" i="5"/>
  <c r="D229" i="5"/>
  <c r="N228" i="5"/>
  <c r="D228" i="5"/>
  <c r="N227" i="5"/>
  <c r="D227" i="5"/>
  <c r="N226" i="5"/>
  <c r="D226" i="5"/>
  <c r="N225" i="5"/>
  <c r="D225" i="5"/>
  <c r="N224" i="5"/>
  <c r="D224" i="5"/>
  <c r="N223" i="5"/>
  <c r="D223" i="5"/>
  <c r="N222" i="5"/>
  <c r="D222" i="5"/>
  <c r="N221" i="5"/>
  <c r="D221" i="5"/>
  <c r="N220" i="5"/>
  <c r="D220" i="5"/>
  <c r="N219" i="5"/>
  <c r="D219" i="5"/>
  <c r="N218" i="5"/>
  <c r="D218" i="5"/>
  <c r="N217" i="5"/>
  <c r="D217" i="5"/>
  <c r="N216" i="5"/>
  <c r="D216" i="5"/>
  <c r="N215" i="5"/>
  <c r="D215" i="5"/>
  <c r="N214" i="5"/>
  <c r="D214" i="5"/>
  <c r="N213" i="5"/>
  <c r="D213" i="5"/>
  <c r="N212" i="5"/>
  <c r="D212" i="5"/>
  <c r="N211" i="5"/>
  <c r="D211" i="5"/>
  <c r="N210" i="5"/>
  <c r="D210" i="5"/>
  <c r="N209" i="5"/>
  <c r="D209" i="5"/>
  <c r="N208" i="5"/>
  <c r="D208" i="5"/>
  <c r="N207" i="5"/>
  <c r="D207" i="5"/>
  <c r="N206" i="5"/>
  <c r="D206" i="5"/>
  <c r="N205" i="5"/>
  <c r="D205" i="5"/>
  <c r="N204" i="5"/>
  <c r="D204" i="5"/>
  <c r="N203" i="5"/>
  <c r="D203" i="5"/>
  <c r="N202" i="5"/>
  <c r="D202" i="5"/>
  <c r="N201" i="5"/>
  <c r="D201" i="5"/>
  <c r="N200" i="5"/>
  <c r="D200" i="5"/>
  <c r="N199" i="5"/>
  <c r="D199" i="5"/>
  <c r="N198" i="5"/>
  <c r="D198" i="5"/>
  <c r="N197" i="5"/>
  <c r="D197" i="5"/>
  <c r="N196" i="5"/>
  <c r="D196" i="5"/>
  <c r="N195" i="5"/>
  <c r="D195" i="5"/>
  <c r="N194" i="5"/>
  <c r="D194" i="5"/>
  <c r="N193" i="5"/>
  <c r="D193" i="5"/>
  <c r="N192" i="5"/>
  <c r="D192" i="5"/>
  <c r="N191" i="5"/>
  <c r="D191" i="5"/>
  <c r="N190" i="5"/>
  <c r="D190" i="5"/>
  <c r="N189" i="5"/>
  <c r="D189" i="5"/>
  <c r="N188" i="5"/>
  <c r="D188" i="5"/>
  <c r="N187" i="5"/>
  <c r="D187" i="5"/>
  <c r="N186" i="5"/>
  <c r="D186" i="5"/>
  <c r="N185" i="5"/>
  <c r="D185" i="5"/>
  <c r="N184" i="5"/>
  <c r="D184" i="5"/>
  <c r="N183" i="5"/>
  <c r="D183" i="5"/>
  <c r="N182" i="5"/>
  <c r="D182" i="5"/>
  <c r="N181" i="5"/>
  <c r="D181" i="5"/>
  <c r="N180" i="5"/>
  <c r="D180" i="5"/>
  <c r="N179" i="5"/>
  <c r="D179" i="5"/>
  <c r="N178" i="5"/>
  <c r="D178" i="5"/>
  <c r="N177" i="5"/>
  <c r="D177" i="5"/>
  <c r="N176" i="5"/>
  <c r="D176" i="5"/>
  <c r="N175" i="5"/>
  <c r="D175" i="5"/>
  <c r="N174" i="5"/>
  <c r="D174" i="5"/>
  <c r="N173" i="5"/>
  <c r="D173" i="5"/>
  <c r="N172" i="5"/>
  <c r="D172" i="5"/>
  <c r="N171" i="5"/>
  <c r="D171" i="5"/>
  <c r="N170" i="5"/>
  <c r="D170" i="5"/>
  <c r="N169" i="5"/>
  <c r="D169" i="5"/>
  <c r="N168" i="5"/>
  <c r="D168" i="5"/>
  <c r="N167" i="5"/>
  <c r="D167" i="5"/>
  <c r="N166" i="5"/>
  <c r="D166" i="5"/>
  <c r="N165" i="5"/>
  <c r="D165" i="5"/>
  <c r="N164" i="5"/>
  <c r="D164" i="5"/>
  <c r="N163" i="5"/>
  <c r="D163" i="5"/>
  <c r="N162" i="5"/>
  <c r="D162" i="5"/>
  <c r="N161" i="5"/>
  <c r="D161" i="5"/>
  <c r="N160" i="5"/>
  <c r="D160" i="5"/>
  <c r="N159" i="5"/>
  <c r="D159" i="5"/>
  <c r="N158" i="5"/>
  <c r="D158" i="5"/>
  <c r="N157" i="5"/>
  <c r="D157" i="5"/>
  <c r="N156" i="5"/>
  <c r="D156" i="5"/>
  <c r="N155" i="5"/>
  <c r="D155" i="5"/>
  <c r="N154" i="5"/>
  <c r="D154" i="5"/>
  <c r="N153" i="5"/>
  <c r="D153" i="5"/>
  <c r="N152" i="5"/>
  <c r="D152" i="5"/>
  <c r="N151" i="5"/>
  <c r="D151" i="5"/>
  <c r="N150" i="5"/>
  <c r="D150" i="5"/>
  <c r="N149" i="5"/>
  <c r="D149" i="5"/>
  <c r="N148" i="5"/>
  <c r="D148" i="5"/>
  <c r="N147" i="5"/>
  <c r="D147" i="5"/>
  <c r="N146" i="5"/>
  <c r="D146" i="5"/>
  <c r="N145" i="5"/>
  <c r="D145" i="5"/>
  <c r="N144" i="5"/>
  <c r="D144" i="5"/>
  <c r="N143" i="5"/>
  <c r="D143" i="5"/>
  <c r="N142" i="5"/>
  <c r="D142" i="5"/>
  <c r="N141" i="5"/>
  <c r="D141" i="5"/>
  <c r="N140" i="5"/>
  <c r="D140" i="5"/>
  <c r="N139" i="5"/>
  <c r="D139" i="5"/>
  <c r="N138" i="5"/>
  <c r="D138" i="5"/>
  <c r="N137" i="5"/>
  <c r="D137" i="5"/>
  <c r="N136" i="5"/>
  <c r="D136" i="5"/>
  <c r="N135" i="5"/>
  <c r="D135" i="5"/>
  <c r="N134" i="5"/>
  <c r="D134" i="5"/>
  <c r="N133" i="5"/>
  <c r="D133" i="5"/>
  <c r="N132" i="5"/>
  <c r="D132" i="5"/>
  <c r="N131" i="5"/>
  <c r="D131" i="5"/>
  <c r="N130" i="5"/>
  <c r="D130" i="5"/>
  <c r="N129" i="5"/>
  <c r="D129" i="5"/>
  <c r="N128" i="5"/>
  <c r="D128" i="5"/>
  <c r="N127" i="5"/>
  <c r="D127" i="5"/>
  <c r="N126" i="5"/>
  <c r="D126" i="5"/>
  <c r="N125" i="5"/>
  <c r="D125" i="5"/>
  <c r="N124" i="5"/>
  <c r="D124" i="5"/>
  <c r="N123" i="5"/>
  <c r="D123" i="5"/>
  <c r="N122" i="5"/>
  <c r="D122" i="5"/>
  <c r="N121" i="5"/>
  <c r="D121" i="5"/>
  <c r="N120" i="5"/>
  <c r="D120" i="5"/>
  <c r="N119" i="5"/>
  <c r="D119" i="5"/>
  <c r="N118" i="5"/>
  <c r="D118" i="5"/>
  <c r="N117" i="5"/>
  <c r="D117" i="5"/>
  <c r="N116" i="5"/>
  <c r="D116" i="5"/>
  <c r="N115" i="5"/>
  <c r="D115" i="5"/>
  <c r="N114" i="5"/>
  <c r="D114" i="5"/>
  <c r="N113" i="5"/>
  <c r="D113" i="5"/>
  <c r="N112" i="5"/>
  <c r="D112" i="5"/>
  <c r="N111" i="5"/>
  <c r="D111" i="5"/>
  <c r="N110" i="5"/>
  <c r="D110" i="5"/>
  <c r="N109" i="5"/>
  <c r="D109" i="5"/>
  <c r="N108" i="5"/>
  <c r="D108" i="5"/>
  <c r="N107" i="5"/>
  <c r="D107" i="5"/>
  <c r="N106" i="5"/>
  <c r="D106" i="5"/>
  <c r="N105" i="5"/>
  <c r="D105" i="5"/>
  <c r="N99" i="5"/>
  <c r="D99" i="5"/>
  <c r="N98" i="5"/>
  <c r="D98" i="5"/>
  <c r="N97" i="5"/>
  <c r="D97" i="5"/>
  <c r="N96" i="5"/>
  <c r="D96" i="5"/>
  <c r="N95" i="5"/>
  <c r="D95" i="5"/>
  <c r="N94" i="5"/>
  <c r="D94" i="5"/>
  <c r="N93" i="5"/>
  <c r="D93" i="5"/>
  <c r="N92" i="5"/>
  <c r="D92" i="5"/>
  <c r="N91" i="5"/>
  <c r="D91" i="5"/>
  <c r="N90" i="5"/>
  <c r="D90" i="5"/>
  <c r="N89" i="5"/>
  <c r="D89" i="5"/>
  <c r="N88" i="5"/>
  <c r="D88" i="5"/>
  <c r="N87" i="5"/>
  <c r="D87" i="5"/>
  <c r="N86" i="5"/>
  <c r="D86" i="5"/>
  <c r="N85" i="5"/>
  <c r="D85" i="5"/>
  <c r="N84" i="5"/>
  <c r="D84" i="5"/>
  <c r="N83" i="5"/>
  <c r="D83" i="5"/>
  <c r="N82" i="5"/>
  <c r="D82" i="5"/>
  <c r="N81" i="5"/>
  <c r="D81" i="5"/>
  <c r="N80" i="5"/>
  <c r="D80" i="5"/>
  <c r="N79" i="5"/>
  <c r="D79" i="5"/>
  <c r="N78" i="5"/>
  <c r="D78" i="5"/>
  <c r="N77" i="5"/>
  <c r="D77" i="5"/>
  <c r="N76" i="5"/>
  <c r="D76" i="5"/>
  <c r="N75" i="5"/>
  <c r="D75" i="5"/>
  <c r="N74" i="5"/>
  <c r="D74" i="5"/>
  <c r="N73" i="5"/>
  <c r="D73" i="5"/>
  <c r="N72" i="5"/>
  <c r="D72" i="5"/>
  <c r="N71" i="5"/>
  <c r="D71" i="5"/>
  <c r="N70" i="5"/>
  <c r="D70" i="5"/>
  <c r="N69" i="5"/>
  <c r="D69" i="5"/>
  <c r="N68" i="5"/>
  <c r="D68" i="5"/>
  <c r="N67" i="5"/>
  <c r="D67" i="5"/>
  <c r="N66" i="5"/>
  <c r="D66" i="5"/>
  <c r="N65" i="5"/>
  <c r="D65" i="5"/>
  <c r="N64" i="5"/>
  <c r="D64" i="5"/>
  <c r="N63" i="5"/>
  <c r="D63" i="5"/>
  <c r="N62" i="5"/>
  <c r="D62" i="5"/>
  <c r="N61" i="5"/>
  <c r="D61" i="5"/>
  <c r="N60" i="5"/>
  <c r="D60" i="5"/>
  <c r="N59" i="5"/>
  <c r="D59" i="5"/>
  <c r="N58" i="5"/>
  <c r="D58" i="5"/>
  <c r="N57" i="5"/>
  <c r="D57" i="5"/>
  <c r="N56" i="5"/>
  <c r="D56" i="5"/>
  <c r="N55" i="5"/>
  <c r="D55" i="5"/>
  <c r="N54" i="5"/>
  <c r="D54" i="5"/>
  <c r="N53" i="5"/>
  <c r="D53" i="5"/>
  <c r="N52" i="5"/>
  <c r="D52" i="5"/>
  <c r="N51" i="5"/>
  <c r="D51" i="5"/>
  <c r="N50" i="5"/>
  <c r="D50" i="5"/>
  <c r="N49" i="5"/>
  <c r="D49" i="5"/>
  <c r="N48" i="5"/>
  <c r="D48" i="5"/>
  <c r="N47" i="5"/>
  <c r="D47" i="5"/>
  <c r="N46" i="5"/>
  <c r="D46" i="5"/>
  <c r="N45" i="5"/>
  <c r="D45" i="5"/>
  <c r="N44" i="5"/>
  <c r="D44" i="5"/>
  <c r="N43" i="5"/>
  <c r="D43" i="5"/>
  <c r="N42" i="5"/>
  <c r="D42" i="5"/>
  <c r="N41" i="5"/>
  <c r="D41" i="5"/>
  <c r="N40" i="5"/>
  <c r="D40" i="5"/>
  <c r="N39" i="5"/>
  <c r="D39" i="5"/>
  <c r="N38" i="5"/>
  <c r="D38" i="5"/>
  <c r="N37" i="5"/>
  <c r="D37" i="5"/>
  <c r="N36" i="5"/>
  <c r="D36" i="5"/>
  <c r="N35" i="5"/>
  <c r="D35" i="5"/>
  <c r="N34" i="5"/>
  <c r="D34" i="5"/>
  <c r="N33" i="5"/>
  <c r="D33" i="5"/>
  <c r="N32" i="5"/>
  <c r="D32" i="5"/>
  <c r="N31" i="5"/>
  <c r="D31" i="5"/>
  <c r="N30" i="5"/>
  <c r="D30" i="5"/>
  <c r="N29" i="5"/>
  <c r="D29" i="5"/>
  <c r="N28" i="5"/>
  <c r="D28" i="5"/>
  <c r="N27" i="5"/>
  <c r="D27" i="5"/>
  <c r="N26" i="5"/>
  <c r="D26" i="5"/>
  <c r="N25" i="5"/>
  <c r="D25" i="5"/>
  <c r="N24" i="5"/>
  <c r="D24" i="5"/>
  <c r="N23" i="5"/>
  <c r="D23" i="5"/>
  <c r="N22" i="5"/>
  <c r="D22" i="5"/>
  <c r="N21" i="5"/>
  <c r="D21" i="5"/>
  <c r="N20" i="5"/>
  <c r="D20" i="5"/>
  <c r="N19" i="5"/>
  <c r="D19" i="5"/>
  <c r="N18" i="5"/>
  <c r="D18" i="5"/>
  <c r="N17" i="5"/>
  <c r="D17" i="5"/>
  <c r="N16" i="5"/>
  <c r="D16" i="5"/>
  <c r="N15" i="5"/>
  <c r="D15" i="5"/>
  <c r="N14" i="5"/>
  <c r="D14" i="5"/>
  <c r="N13" i="5"/>
  <c r="D13" i="5"/>
  <c r="N12" i="5"/>
  <c r="D12" i="5"/>
  <c r="N11" i="5"/>
  <c r="D11" i="5"/>
  <c r="N10" i="5"/>
  <c r="D10" i="5"/>
  <c r="N9" i="5"/>
  <c r="D9" i="5"/>
  <c r="N8" i="5"/>
  <c r="D8" i="5"/>
  <c r="N7" i="5"/>
  <c r="D7" i="5"/>
  <c r="N6" i="5"/>
  <c r="D6" i="5"/>
  <c r="N5" i="5"/>
  <c r="D5" i="5"/>
  <c r="N4" i="5"/>
  <c r="D4" i="5"/>
  <c r="M154" i="8" l="1"/>
  <c r="M155" i="8" s="1"/>
  <c r="M156" i="8" s="1"/>
  <c r="M157" i="8" s="1"/>
  <c r="M158" i="8" s="1"/>
  <c r="M159" i="8" s="1"/>
  <c r="M160" i="8" s="1"/>
  <c r="M161" i="8" s="1"/>
  <c r="M162" i="8" s="1"/>
  <c r="M163" i="8" s="1"/>
  <c r="M164" i="8" s="1"/>
  <c r="M165" i="8" s="1"/>
  <c r="M166" i="8" s="1"/>
  <c r="M167" i="8" s="1"/>
  <c r="M168" i="8" s="1"/>
  <c r="M169" i="8" s="1"/>
  <c r="M170" i="8" s="1"/>
  <c r="M171" i="8" s="1"/>
  <c r="M172" i="8" s="1"/>
  <c r="M173" i="8" s="1"/>
  <c r="M174" i="8" s="1"/>
  <c r="M175" i="8" s="1"/>
  <c r="M176" i="8" s="1"/>
  <c r="M177" i="8" s="1"/>
  <c r="M178" i="8" s="1"/>
  <c r="M179" i="8" s="1"/>
  <c r="M180" i="8" s="1"/>
  <c r="M181" i="8" s="1"/>
  <c r="M182" i="8" s="1"/>
  <c r="M183" i="8" s="1"/>
  <c r="M184" i="8" s="1"/>
  <c r="M185" i="8" s="1"/>
  <c r="M186" i="8" s="1"/>
  <c r="M187" i="8" s="1"/>
  <c r="M188" i="8" s="1"/>
  <c r="M189" i="8" s="1"/>
  <c r="M190" i="8" s="1"/>
  <c r="M191" i="8" s="1"/>
  <c r="M192" i="8" s="1"/>
  <c r="M193" i="8" s="1"/>
  <c r="M194" i="8" s="1"/>
  <c r="M195" i="8" s="1"/>
  <c r="M196" i="8" s="1"/>
  <c r="M197" i="8" s="1"/>
  <c r="M198" i="8" s="1"/>
  <c r="M199" i="8" s="1"/>
  <c r="M200" i="8" s="1"/>
  <c r="M201" i="8" s="1"/>
  <c r="M202" i="8" s="1"/>
  <c r="M203" i="8" s="1"/>
  <c r="M204" i="8" s="1"/>
  <c r="M205" i="8" s="1"/>
  <c r="M206" i="8" s="1"/>
  <c r="M207" i="8" s="1"/>
  <c r="M208" i="8" s="1"/>
  <c r="M209" i="8" s="1"/>
  <c r="M210" i="8" s="1"/>
  <c r="M211" i="8" s="1"/>
  <c r="M212" i="8" s="1"/>
  <c r="M213" i="8" s="1"/>
  <c r="M214" i="8" s="1"/>
  <c r="M215" i="8" s="1"/>
  <c r="M216" i="8" s="1"/>
  <c r="M217" i="8" s="1"/>
  <c r="M218" i="8" s="1"/>
  <c r="M219" i="8" s="1"/>
  <c r="M220" i="8" s="1"/>
  <c r="M221" i="8" s="1"/>
  <c r="M222" i="8" s="1"/>
  <c r="M223" i="8" s="1"/>
  <c r="M224" i="8" s="1"/>
  <c r="M225" i="8" s="1"/>
  <c r="M226" i="8" s="1"/>
  <c r="M227" i="8" s="1"/>
  <c r="M228" i="8" s="1"/>
  <c r="M229" i="8" s="1"/>
  <c r="M230" i="8" s="1"/>
  <c r="M231" i="8" s="1"/>
  <c r="M232" i="8" s="1"/>
  <c r="M233" i="8" s="1"/>
  <c r="M234" i="8" s="1"/>
  <c r="M235" i="8" s="1"/>
  <c r="M236" i="8" s="1"/>
  <c r="M237" i="8" s="1"/>
  <c r="M238" i="8" s="1"/>
  <c r="M239" i="8" s="1"/>
  <c r="M240" i="8" s="1"/>
  <c r="M241" i="8" s="1"/>
  <c r="M242" i="8" s="1"/>
  <c r="M243" i="8" s="1"/>
  <c r="M244" i="8" s="1"/>
  <c r="M245" i="8" s="1"/>
  <c r="M246" i="8" s="1"/>
  <c r="M247" i="8" s="1"/>
  <c r="M248" i="8" s="1"/>
  <c r="M249" i="8" s="1"/>
  <c r="M250" i="8" s="1"/>
  <c r="M251" i="8" s="1"/>
  <c r="M252" i="8" s="1"/>
  <c r="M253" i="8" s="1"/>
  <c r="M254" i="8" s="1"/>
  <c r="M255" i="8" s="1"/>
  <c r="M256" i="8" s="1"/>
  <c r="M257" i="8" s="1"/>
  <c r="M258" i="8" s="1"/>
  <c r="M259" i="8" s="1"/>
  <c r="M260" i="8" s="1"/>
  <c r="M261" i="8" s="1"/>
  <c r="M262" i="8" s="1"/>
  <c r="M263" i="8" s="1"/>
  <c r="M264" i="8" s="1"/>
  <c r="M265" i="8" s="1"/>
  <c r="M266" i="8" s="1"/>
  <c r="M267" i="8" s="1"/>
  <c r="M268" i="8" s="1"/>
  <c r="M269" i="8" s="1"/>
  <c r="M270" i="8" s="1"/>
  <c r="M271" i="8" s="1"/>
  <c r="M272" i="8" s="1"/>
  <c r="M273" i="8" s="1"/>
  <c r="M274" i="8" s="1"/>
  <c r="M275" i="8" s="1"/>
  <c r="M276" i="8" s="1"/>
  <c r="M277" i="8" s="1"/>
  <c r="M278" i="8" s="1"/>
  <c r="M279" i="8" s="1"/>
  <c r="M280" i="8" s="1"/>
  <c r="M281" i="8" s="1"/>
  <c r="M282" i="8" s="1"/>
  <c r="M283" i="8" s="1"/>
  <c r="M284" i="8" s="1"/>
  <c r="M285" i="8" s="1"/>
  <c r="M286" i="8" s="1"/>
  <c r="M287" i="8" s="1"/>
  <c r="M288" i="8" s="1"/>
  <c r="M289" i="8" s="1"/>
  <c r="M290" i="8" s="1"/>
  <c r="M291" i="8" s="1"/>
  <c r="M292" i="8" s="1"/>
  <c r="M293" i="8" s="1"/>
  <c r="M294" i="8" s="1"/>
  <c r="M295" i="8" s="1"/>
  <c r="M296" i="8" s="1"/>
  <c r="M297" i="8" s="1"/>
  <c r="M298" i="8" s="1"/>
  <c r="M299" i="8" s="1"/>
  <c r="M300" i="8" s="1"/>
  <c r="M301" i="8" s="1"/>
  <c r="M302" i="8" s="1"/>
  <c r="M303" i="8" s="1"/>
  <c r="M304" i="8" s="1"/>
  <c r="M305" i="8" s="1"/>
  <c r="M306" i="8" s="1"/>
  <c r="M307" i="8" s="1"/>
  <c r="M308" i="8" s="1"/>
  <c r="M309" i="8" s="1"/>
  <c r="M310" i="8" s="1"/>
  <c r="M311" i="8" s="1"/>
  <c r="M312" i="8" s="1"/>
  <c r="M313" i="8" s="1"/>
  <c r="M314" i="8" s="1"/>
  <c r="M315" i="8" s="1"/>
  <c r="M316" i="8" s="1"/>
  <c r="M317" i="8" s="1"/>
  <c r="M318" i="8" s="1"/>
  <c r="M319" i="8" s="1"/>
  <c r="M320" i="8" s="1"/>
  <c r="M321" i="8" s="1"/>
  <c r="M322" i="8" s="1"/>
  <c r="M323" i="8" s="1"/>
  <c r="M324" i="8" s="1"/>
  <c r="M325" i="8" s="1"/>
  <c r="M326" i="8" s="1"/>
  <c r="M327" i="8" s="1"/>
  <c r="M328" i="8" s="1"/>
  <c r="M329" i="8" s="1"/>
  <c r="M330" i="8" s="1"/>
  <c r="M331" i="8" s="1"/>
  <c r="M332" i="8" s="1"/>
  <c r="M333" i="8" s="1"/>
  <c r="M334" i="8" s="1"/>
  <c r="M335" i="8" s="1"/>
  <c r="M336" i="8" s="1"/>
  <c r="M337" i="8" s="1"/>
  <c r="M338" i="8" s="1"/>
  <c r="M339" i="8" s="1"/>
  <c r="M340" i="8" s="1"/>
  <c r="M341" i="8" s="1"/>
  <c r="M342" i="8" s="1"/>
  <c r="M343" i="8" s="1"/>
  <c r="M344" i="8" s="1"/>
  <c r="M345" i="8" s="1"/>
  <c r="M346" i="8" s="1"/>
  <c r="M347" i="8" s="1"/>
  <c r="M348" i="8" s="1"/>
  <c r="M349" i="8" s="1"/>
  <c r="M350" i="8" s="1"/>
  <c r="M351" i="8" s="1"/>
  <c r="M352" i="8" s="1"/>
  <c r="M353" i="8" s="1"/>
  <c r="M354" i="8" s="1"/>
  <c r="M355" i="8" s="1"/>
  <c r="M356" i="8" s="1"/>
  <c r="M357" i="8" s="1"/>
  <c r="M358" i="8" s="1"/>
  <c r="M359" i="8" s="1"/>
  <c r="M360" i="8" s="1"/>
  <c r="M361" i="8" s="1"/>
  <c r="M362" i="8" s="1"/>
  <c r="M363" i="8" s="1"/>
  <c r="M364" i="8" s="1"/>
  <c r="M365" i="8" s="1"/>
  <c r="M366" i="8" s="1"/>
  <c r="M367" i="8" s="1"/>
  <c r="M368" i="8" s="1"/>
  <c r="M369" i="8" s="1"/>
  <c r="M370" i="8" s="1"/>
  <c r="M371" i="8" s="1"/>
  <c r="M372" i="8" s="1"/>
  <c r="M373" i="8" s="1"/>
  <c r="M374" i="8" s="1"/>
  <c r="M375" i="8" s="1"/>
  <c r="M376" i="8" s="1"/>
  <c r="M377" i="8" s="1"/>
  <c r="M378" i="8" s="1"/>
  <c r="M379" i="8" s="1"/>
  <c r="M380" i="8" s="1"/>
  <c r="M381" i="8" s="1"/>
  <c r="M382" i="8" s="1"/>
  <c r="M383" i="8" s="1"/>
  <c r="M384" i="8" s="1"/>
  <c r="M385" i="8" s="1"/>
  <c r="M386" i="8" s="1"/>
  <c r="M387" i="8" s="1"/>
  <c r="M388" i="8" s="1"/>
  <c r="M389" i="8" s="1"/>
  <c r="M390" i="8" s="1"/>
  <c r="M391" i="8" s="1"/>
  <c r="M392" i="8" s="1"/>
  <c r="M393" i="8" s="1"/>
  <c r="M394" i="8" s="1"/>
  <c r="M395" i="8" s="1"/>
  <c r="M396" i="8" s="1"/>
  <c r="M397" i="8" s="1"/>
  <c r="M398" i="8" s="1"/>
  <c r="M399" i="8" s="1"/>
  <c r="M400" i="8" s="1"/>
  <c r="M401" i="8" s="1"/>
  <c r="M402" i="8" s="1"/>
  <c r="M403" i="8" s="1"/>
  <c r="M404" i="8" s="1"/>
  <c r="M405" i="8" s="1"/>
  <c r="M406" i="8" s="1"/>
  <c r="M407" i="8" s="1"/>
  <c r="M408" i="8" s="1"/>
  <c r="M409" i="8" s="1"/>
  <c r="M410" i="8" s="1"/>
  <c r="M411" i="8" s="1"/>
  <c r="M412" i="8" s="1"/>
  <c r="M413" i="8" s="1"/>
  <c r="M414" i="8" s="1"/>
  <c r="M415" i="8" s="1"/>
  <c r="M416" i="8" s="1"/>
  <c r="M417" i="8" s="1"/>
  <c r="M418" i="8" s="1"/>
  <c r="M419" i="8" s="1"/>
  <c r="M420" i="8" s="1"/>
  <c r="M421" i="8" s="1"/>
  <c r="M422" i="8" s="1"/>
  <c r="M423" i="8" s="1"/>
  <c r="M424" i="8" s="1"/>
  <c r="M425" i="8" s="1"/>
  <c r="M426" i="8" s="1"/>
  <c r="M427" i="8" s="1"/>
  <c r="M428" i="8" s="1"/>
  <c r="M429" i="8" s="1"/>
  <c r="M430" i="8" s="1"/>
  <c r="M431" i="8" s="1"/>
  <c r="M432" i="8" s="1"/>
  <c r="M433" i="8" s="1"/>
  <c r="M434" i="8" s="1"/>
  <c r="M435" i="8" s="1"/>
  <c r="M436" i="8" s="1"/>
  <c r="M437" i="8" s="1"/>
  <c r="M438" i="8" s="1"/>
  <c r="M439" i="8" s="1"/>
  <c r="M440" i="8" s="1"/>
  <c r="N153" i="8" s="1"/>
  <c r="N154" i="8" s="1"/>
  <c r="N155" i="8" s="1"/>
  <c r="N156" i="8" s="1"/>
  <c r="N157" i="8" s="1"/>
  <c r="N158" i="8" s="1"/>
  <c r="N159" i="8" s="1"/>
  <c r="N160" i="8" s="1"/>
  <c r="N161" i="8" s="1"/>
  <c r="N162" i="8" s="1"/>
  <c r="N163" i="8" s="1"/>
  <c r="N164" i="8" s="1"/>
  <c r="N165" i="8" s="1"/>
  <c r="N166" i="8" s="1"/>
  <c r="N167" i="8" s="1"/>
  <c r="N168" i="8" s="1"/>
  <c r="N169" i="8" s="1"/>
  <c r="N170" i="8" s="1"/>
  <c r="N171" i="8" s="1"/>
  <c r="N172" i="8" s="1"/>
  <c r="N173" i="8" s="1"/>
  <c r="N174" i="8" s="1"/>
  <c r="N175" i="8" s="1"/>
  <c r="N176" i="8" s="1"/>
  <c r="N177" i="8" s="1"/>
  <c r="N178" i="8" s="1"/>
  <c r="N179" i="8" s="1"/>
  <c r="N180" i="8" s="1"/>
  <c r="N181" i="8" s="1"/>
  <c r="N182" i="8" s="1"/>
  <c r="N183" i="8" s="1"/>
  <c r="N184" i="8" s="1"/>
  <c r="N185" i="8" s="1"/>
  <c r="N186" i="8" s="1"/>
  <c r="N187" i="8" s="1"/>
  <c r="N188" i="8" s="1"/>
  <c r="N189" i="8" s="1"/>
  <c r="N190" i="8" s="1"/>
  <c r="N191" i="8" s="1"/>
  <c r="N192" i="8" s="1"/>
  <c r="N193" i="8" s="1"/>
  <c r="N194" i="8" s="1"/>
  <c r="N195" i="8" s="1"/>
  <c r="N196" i="8" s="1"/>
  <c r="N197" i="8" s="1"/>
  <c r="N198" i="8" s="1"/>
  <c r="N199" i="8" s="1"/>
  <c r="N200" i="8" s="1"/>
  <c r="N201" i="8" s="1"/>
  <c r="N202" i="8" s="1"/>
  <c r="N203" i="8" s="1"/>
  <c r="N204" i="8" s="1"/>
  <c r="N205" i="8" s="1"/>
  <c r="N206" i="8" s="1"/>
  <c r="N207" i="8" s="1"/>
  <c r="N208" i="8" s="1"/>
  <c r="N209" i="8" s="1"/>
  <c r="N210" i="8" s="1"/>
  <c r="N211" i="8" s="1"/>
  <c r="N212" i="8" s="1"/>
  <c r="N213" i="8" s="1"/>
  <c r="N214" i="8" s="1"/>
  <c r="N215" i="8" s="1"/>
  <c r="N216" i="8" s="1"/>
  <c r="N217" i="8" s="1"/>
  <c r="N218" i="8" s="1"/>
  <c r="N219" i="8" s="1"/>
  <c r="N220" i="8" s="1"/>
  <c r="N221" i="8" s="1"/>
  <c r="N222" i="8" s="1"/>
  <c r="N223" i="8" s="1"/>
  <c r="N224" i="8" s="1"/>
  <c r="N225" i="8" s="1"/>
  <c r="N226" i="8" s="1"/>
  <c r="N227" i="8" s="1"/>
  <c r="N228" i="8" s="1"/>
  <c r="N229" i="8" s="1"/>
  <c r="N230" i="8" s="1"/>
  <c r="N231" i="8" s="1"/>
  <c r="N232" i="8" s="1"/>
  <c r="N233" i="8" s="1"/>
  <c r="N234" i="8" s="1"/>
  <c r="N235" i="8" s="1"/>
  <c r="N236" i="8" s="1"/>
  <c r="N237" i="8" s="1"/>
  <c r="N238" i="8" s="1"/>
  <c r="N239" i="8" s="1"/>
  <c r="N240" i="8" s="1"/>
  <c r="N241" i="8" s="1"/>
  <c r="N242" i="8" s="1"/>
  <c r="N243" i="8" s="1"/>
  <c r="N244" i="8" s="1"/>
  <c r="N245" i="8" s="1"/>
  <c r="N246" i="8" s="1"/>
  <c r="N247" i="8" s="1"/>
  <c r="N248" i="8" s="1"/>
  <c r="N249" i="8" s="1"/>
  <c r="N250" i="8" s="1"/>
  <c r="N251" i="8" s="1"/>
  <c r="N252" i="8" s="1"/>
  <c r="N253" i="8" s="1"/>
  <c r="N254" i="8" s="1"/>
  <c r="N255" i="8" s="1"/>
  <c r="N256" i="8" s="1"/>
  <c r="N257" i="8" s="1"/>
  <c r="N258" i="8" s="1"/>
  <c r="N259" i="8" s="1"/>
  <c r="N260" i="8" s="1"/>
  <c r="N261" i="8" s="1"/>
  <c r="N262" i="8" s="1"/>
  <c r="N263" i="8" s="1"/>
  <c r="N264" i="8" s="1"/>
  <c r="N265" i="8" s="1"/>
  <c r="N266" i="8" s="1"/>
  <c r="N267" i="8" s="1"/>
  <c r="N268" i="8" s="1"/>
  <c r="N269" i="8" s="1"/>
  <c r="N270" i="8" s="1"/>
  <c r="N271" i="8" s="1"/>
  <c r="N272" i="8" s="1"/>
  <c r="N273" i="8" s="1"/>
  <c r="N274" i="8" s="1"/>
  <c r="N275" i="8" s="1"/>
  <c r="N276" i="8" s="1"/>
  <c r="N277" i="8" s="1"/>
  <c r="N278" i="8" s="1"/>
  <c r="N279" i="8" s="1"/>
  <c r="N280" i="8" s="1"/>
  <c r="N281" i="8" s="1"/>
  <c r="N282" i="8" s="1"/>
  <c r="N283" i="8" s="1"/>
  <c r="N284" i="8" s="1"/>
  <c r="N285" i="8" s="1"/>
  <c r="N286" i="8" s="1"/>
  <c r="N287" i="8" s="1"/>
  <c r="N288" i="8" s="1"/>
  <c r="N289" i="8" s="1"/>
  <c r="N290" i="8" s="1"/>
  <c r="N291" i="8" s="1"/>
  <c r="N292" i="8" s="1"/>
  <c r="N293" i="8" s="1"/>
  <c r="N294" i="8" s="1"/>
  <c r="N295" i="8" s="1"/>
  <c r="N296" i="8" s="1"/>
  <c r="N297" i="8" s="1"/>
  <c r="N298" i="8" s="1"/>
  <c r="N299" i="8" s="1"/>
  <c r="N300" i="8" s="1"/>
  <c r="N301" i="8" s="1"/>
  <c r="N302" i="8" s="1"/>
  <c r="N303" i="8" s="1"/>
  <c r="N304" i="8" s="1"/>
  <c r="N305" i="8" s="1"/>
  <c r="N306" i="8" s="1"/>
  <c r="N307" i="8" s="1"/>
  <c r="N308" i="8" s="1"/>
  <c r="N309" i="8" s="1"/>
  <c r="N310" i="8" s="1"/>
  <c r="N311" i="8" s="1"/>
  <c r="N312" i="8" s="1"/>
  <c r="N313" i="8" s="1"/>
  <c r="N314" i="8" s="1"/>
  <c r="N315" i="8" s="1"/>
  <c r="N316" i="8" s="1"/>
  <c r="N317" i="8" s="1"/>
  <c r="N318" i="8" s="1"/>
  <c r="N319" i="8" s="1"/>
  <c r="N320" i="8" s="1"/>
  <c r="N321" i="8" s="1"/>
  <c r="N322" i="8" s="1"/>
  <c r="N323" i="8" s="1"/>
  <c r="N324" i="8" s="1"/>
  <c r="N325" i="8" s="1"/>
  <c r="N326" i="8" s="1"/>
  <c r="N327" i="8" s="1"/>
  <c r="N328" i="8" s="1"/>
  <c r="N329" i="8" s="1"/>
  <c r="N330" i="8" s="1"/>
  <c r="N331" i="8" s="1"/>
  <c r="N332" i="8" s="1"/>
  <c r="N333" i="8" s="1"/>
  <c r="N334" i="8" s="1"/>
  <c r="N335" i="8" s="1"/>
  <c r="N336" i="8" s="1"/>
  <c r="N337" i="8" s="1"/>
  <c r="N338" i="8" s="1"/>
  <c r="N339" i="8" s="1"/>
  <c r="N340" i="8" s="1"/>
  <c r="N341" i="8" s="1"/>
  <c r="N342" i="8" s="1"/>
  <c r="N343" i="8" s="1"/>
  <c r="N344" i="8" s="1"/>
  <c r="N345" i="8" s="1"/>
  <c r="N346" i="8" s="1"/>
  <c r="N347" i="8" s="1"/>
  <c r="N348" i="8" s="1"/>
  <c r="N349" i="8" s="1"/>
  <c r="N350" i="8" s="1"/>
  <c r="N351" i="8" s="1"/>
  <c r="N352" i="8" s="1"/>
  <c r="N353" i="8" s="1"/>
  <c r="N354" i="8" s="1"/>
  <c r="N355" i="8" s="1"/>
  <c r="N356" i="8" s="1"/>
  <c r="N357" i="8" s="1"/>
  <c r="N358" i="8" s="1"/>
  <c r="N359" i="8" s="1"/>
  <c r="N360" i="8" s="1"/>
  <c r="N361" i="8" s="1"/>
  <c r="N362" i="8" s="1"/>
  <c r="N363" i="8" s="1"/>
  <c r="N364" i="8" s="1"/>
  <c r="N365" i="8" s="1"/>
  <c r="N366" i="8" s="1"/>
  <c r="N367" i="8" s="1"/>
  <c r="N368" i="8" s="1"/>
  <c r="N369" i="8" s="1"/>
  <c r="N370" i="8" s="1"/>
  <c r="N371" i="8" s="1"/>
  <c r="N372" i="8" s="1"/>
  <c r="N373" i="8" s="1"/>
  <c r="N374" i="8" s="1"/>
  <c r="N375" i="8" s="1"/>
  <c r="N376" i="8" s="1"/>
  <c r="N377" i="8" s="1"/>
  <c r="N378" i="8" s="1"/>
  <c r="N379" i="8" s="1"/>
  <c r="N380" i="8" s="1"/>
  <c r="N381" i="8" s="1"/>
  <c r="N382" i="8" s="1"/>
  <c r="N383" i="8" s="1"/>
  <c r="N384" i="8" s="1"/>
  <c r="N385" i="8" s="1"/>
  <c r="N386" i="8" s="1"/>
  <c r="N387" i="8" s="1"/>
  <c r="N388" i="8" s="1"/>
  <c r="N389" i="8" s="1"/>
  <c r="N390" i="8" s="1"/>
  <c r="N391" i="8" s="1"/>
  <c r="N392" i="8" s="1"/>
  <c r="N393" i="8" s="1"/>
  <c r="N394" i="8" s="1"/>
  <c r="N395" i="8" s="1"/>
  <c r="N396" i="8" s="1"/>
  <c r="N397" i="8" s="1"/>
  <c r="N398" i="8" s="1"/>
  <c r="N399" i="8" s="1"/>
  <c r="N400" i="8" s="1"/>
  <c r="N401" i="8" s="1"/>
  <c r="N402" i="8" s="1"/>
  <c r="N403" i="8" s="1"/>
  <c r="N404" i="8" s="1"/>
  <c r="N405" i="8" s="1"/>
  <c r="N406" i="8" s="1"/>
  <c r="N407" i="8" s="1"/>
  <c r="N408" i="8" s="1"/>
  <c r="N409" i="8" s="1"/>
  <c r="N410" i="8" s="1"/>
  <c r="N411" i="8" s="1"/>
  <c r="N412" i="8" s="1"/>
  <c r="N413" i="8" s="1"/>
  <c r="N414" i="8" s="1"/>
  <c r="N415" i="8" s="1"/>
  <c r="N416" i="8" s="1"/>
  <c r="N417" i="8" s="1"/>
  <c r="N418" i="8" s="1"/>
  <c r="N419" i="8" s="1"/>
  <c r="N420" i="8" s="1"/>
  <c r="N421" i="8" s="1"/>
  <c r="N422" i="8" s="1"/>
  <c r="N423" i="8" s="1"/>
  <c r="N424" i="8" s="1"/>
  <c r="N425" i="8" s="1"/>
  <c r="N426" i="8" s="1"/>
  <c r="N427" i="8" s="1"/>
  <c r="N428" i="8" s="1"/>
  <c r="N429" i="8" s="1"/>
  <c r="N430" i="8" s="1"/>
  <c r="N431" i="8" s="1"/>
  <c r="N432" i="8" s="1"/>
  <c r="N433" i="8" s="1"/>
  <c r="N434" i="8" s="1"/>
  <c r="N435" i="8" s="1"/>
  <c r="N436" i="8" s="1"/>
  <c r="N437" i="8" s="1"/>
  <c r="N438" i="8" s="1"/>
  <c r="N439" i="8" s="1"/>
  <c r="N440" i="8" s="1"/>
  <c r="O153" i="8" s="1"/>
  <c r="O154" i="8" s="1"/>
  <c r="O155" i="8" s="1"/>
  <c r="O156" i="8" s="1"/>
  <c r="O157" i="8" s="1"/>
  <c r="O158" i="8" s="1"/>
  <c r="O159" i="8" s="1"/>
  <c r="O160" i="8" s="1"/>
  <c r="O161" i="8" s="1"/>
  <c r="O162" i="8" s="1"/>
  <c r="O163" i="8" s="1"/>
  <c r="O164" i="8" s="1"/>
  <c r="O165" i="8" s="1"/>
  <c r="O166" i="8" s="1"/>
  <c r="O167" i="8" s="1"/>
  <c r="O168" i="8" s="1"/>
  <c r="O169" i="8" s="1"/>
  <c r="O170" i="8" s="1"/>
  <c r="O171" i="8" s="1"/>
  <c r="O172" i="8" s="1"/>
  <c r="O173" i="8" s="1"/>
  <c r="O174" i="8" s="1"/>
  <c r="O175" i="8" s="1"/>
  <c r="O176" i="8" s="1"/>
  <c r="O177" i="8" s="1"/>
  <c r="O178" i="8" s="1"/>
  <c r="O179" i="8" s="1"/>
  <c r="O180" i="8" s="1"/>
  <c r="O181" i="8" s="1"/>
  <c r="O182" i="8" s="1"/>
  <c r="O183" i="8" s="1"/>
  <c r="O184" i="8" s="1"/>
  <c r="O185" i="8" s="1"/>
  <c r="O186" i="8" s="1"/>
  <c r="O187" i="8" s="1"/>
  <c r="O188" i="8" s="1"/>
  <c r="O189" i="8" s="1"/>
  <c r="O190" i="8" s="1"/>
  <c r="O191" i="8" s="1"/>
  <c r="O192" i="8" s="1"/>
  <c r="O193" i="8" s="1"/>
  <c r="O194" i="8" s="1"/>
  <c r="O195" i="8" s="1"/>
  <c r="O196" i="8" s="1"/>
  <c r="O197" i="8" s="1"/>
  <c r="O198" i="8" s="1"/>
  <c r="O199" i="8" s="1"/>
  <c r="O200" i="8" s="1"/>
  <c r="O201" i="8" s="1"/>
  <c r="O202" i="8" s="1"/>
  <c r="O203" i="8" s="1"/>
  <c r="O204" i="8" s="1"/>
  <c r="O205" i="8" s="1"/>
  <c r="O206" i="8" s="1"/>
  <c r="O207" i="8" s="1"/>
  <c r="O208" i="8" s="1"/>
  <c r="O209" i="8" s="1"/>
  <c r="O210" i="8" s="1"/>
  <c r="O211" i="8" s="1"/>
  <c r="O212" i="8" s="1"/>
  <c r="O213" i="8" s="1"/>
  <c r="O214" i="8" s="1"/>
  <c r="O215" i="8" s="1"/>
  <c r="O216" i="8" s="1"/>
  <c r="O217" i="8" s="1"/>
  <c r="O218" i="8" s="1"/>
  <c r="O219" i="8" s="1"/>
  <c r="O220" i="8" s="1"/>
  <c r="O221" i="8" s="1"/>
  <c r="O222" i="8" s="1"/>
  <c r="O223" i="8" s="1"/>
  <c r="O224" i="8" s="1"/>
  <c r="O225" i="8" s="1"/>
  <c r="O226" i="8" s="1"/>
  <c r="O227" i="8" s="1"/>
  <c r="O228" i="8" s="1"/>
  <c r="O229" i="8" s="1"/>
  <c r="O230" i="8" s="1"/>
  <c r="O231" i="8" s="1"/>
  <c r="O232" i="8" s="1"/>
  <c r="O233" i="8" s="1"/>
  <c r="O234" i="8" s="1"/>
  <c r="O235" i="8" s="1"/>
  <c r="O236" i="8" s="1"/>
  <c r="O237" i="8" s="1"/>
  <c r="O238" i="8" s="1"/>
  <c r="O239" i="8" s="1"/>
  <c r="O240" i="8" s="1"/>
  <c r="O241" i="8" s="1"/>
  <c r="O242" i="8" s="1"/>
  <c r="O243" i="8" s="1"/>
  <c r="O244" i="8" s="1"/>
  <c r="O245" i="8" s="1"/>
  <c r="O246" i="8" s="1"/>
  <c r="O247" i="8" s="1"/>
  <c r="O248" i="8" s="1"/>
  <c r="O249" i="8" s="1"/>
  <c r="O250" i="8" s="1"/>
  <c r="O251" i="8" s="1"/>
  <c r="O252" i="8" s="1"/>
  <c r="O253" i="8" s="1"/>
  <c r="O254" i="8" s="1"/>
  <c r="O255" i="8" s="1"/>
  <c r="O256" i="8" s="1"/>
  <c r="O257" i="8" s="1"/>
  <c r="O258" i="8" s="1"/>
  <c r="O259" i="8" s="1"/>
  <c r="O260" i="8" s="1"/>
  <c r="O261" i="8" s="1"/>
  <c r="O262" i="8" s="1"/>
  <c r="O263" i="8" s="1"/>
  <c r="O264" i="8" s="1"/>
  <c r="O265" i="8" s="1"/>
  <c r="O266" i="8" s="1"/>
  <c r="O267" i="8" s="1"/>
  <c r="O268" i="8" s="1"/>
  <c r="O269" i="8" s="1"/>
  <c r="O270" i="8" s="1"/>
  <c r="O271" i="8" s="1"/>
  <c r="O272" i="8" s="1"/>
  <c r="O273" i="8" s="1"/>
  <c r="O274" i="8" s="1"/>
  <c r="O275" i="8" s="1"/>
  <c r="O276" i="8" s="1"/>
  <c r="O277" i="8" s="1"/>
  <c r="O278" i="8" s="1"/>
  <c r="O279" i="8" s="1"/>
  <c r="O280" i="8" s="1"/>
  <c r="O281" i="8" s="1"/>
  <c r="O282" i="8" s="1"/>
  <c r="O283" i="8" s="1"/>
  <c r="O284" i="8" s="1"/>
  <c r="O285" i="8" s="1"/>
  <c r="O286" i="8" s="1"/>
  <c r="O287" i="8" s="1"/>
  <c r="O288" i="8" s="1"/>
  <c r="O289" i="8" s="1"/>
  <c r="O290" i="8" s="1"/>
  <c r="O291" i="8" s="1"/>
  <c r="O292" i="8" s="1"/>
  <c r="O293" i="8" s="1"/>
  <c r="O294" i="8" s="1"/>
  <c r="O295" i="8" s="1"/>
  <c r="O296" i="8" s="1"/>
  <c r="O297" i="8" s="1"/>
  <c r="O298" i="8" s="1"/>
  <c r="O299" i="8" s="1"/>
  <c r="O300" i="8" s="1"/>
  <c r="O301" i="8" s="1"/>
  <c r="O302" i="8" s="1"/>
  <c r="O303" i="8" s="1"/>
  <c r="O304" i="8" s="1"/>
  <c r="O305" i="8" s="1"/>
  <c r="O306" i="8" s="1"/>
  <c r="O307" i="8" s="1"/>
  <c r="O308" i="8" s="1"/>
  <c r="O309" i="8" s="1"/>
  <c r="O310" i="8" s="1"/>
  <c r="O311" i="8" s="1"/>
  <c r="O312" i="8" s="1"/>
  <c r="O313" i="8" s="1"/>
  <c r="O314" i="8" s="1"/>
  <c r="O315" i="8" s="1"/>
  <c r="O316" i="8" s="1"/>
  <c r="O317" i="8" s="1"/>
  <c r="O318" i="8" s="1"/>
  <c r="O319" i="8" s="1"/>
  <c r="O320" i="8" s="1"/>
  <c r="O321" i="8" s="1"/>
  <c r="O322" i="8" s="1"/>
  <c r="O323" i="8" s="1"/>
  <c r="O324" i="8" s="1"/>
  <c r="O325" i="8" s="1"/>
  <c r="O326" i="8" s="1"/>
  <c r="O327" i="8" s="1"/>
  <c r="O328" i="8" s="1"/>
  <c r="O329" i="8" s="1"/>
  <c r="O330" i="8" s="1"/>
  <c r="O331" i="8" s="1"/>
  <c r="O332" i="8" s="1"/>
  <c r="O333" i="8" s="1"/>
  <c r="O334" i="8" s="1"/>
  <c r="O335" i="8" s="1"/>
  <c r="O336" i="8" s="1"/>
  <c r="O337" i="8" s="1"/>
  <c r="O338" i="8" s="1"/>
  <c r="O339" i="8" s="1"/>
  <c r="O340" i="8" s="1"/>
  <c r="O341" i="8" s="1"/>
  <c r="O342" i="8" s="1"/>
  <c r="O343" i="8" s="1"/>
  <c r="O344" i="8" s="1"/>
  <c r="O345" i="8" s="1"/>
  <c r="O346" i="8" s="1"/>
  <c r="O347" i="8" s="1"/>
  <c r="O348" i="8" s="1"/>
  <c r="O349" i="8" s="1"/>
  <c r="O350" i="8" s="1"/>
  <c r="O351" i="8" s="1"/>
  <c r="O352" i="8" s="1"/>
  <c r="O353" i="8" s="1"/>
  <c r="O354" i="8" s="1"/>
  <c r="O355" i="8" s="1"/>
  <c r="O356" i="8" s="1"/>
  <c r="O357" i="8" s="1"/>
  <c r="O358" i="8" s="1"/>
  <c r="O359" i="8" s="1"/>
  <c r="O360" i="8" s="1"/>
  <c r="O361" i="8" s="1"/>
  <c r="O362" i="8" s="1"/>
  <c r="O363" i="8" s="1"/>
  <c r="O364" i="8" s="1"/>
  <c r="O365" i="8" s="1"/>
  <c r="O366" i="8" s="1"/>
  <c r="O367" i="8" s="1"/>
  <c r="O368" i="8" s="1"/>
  <c r="O369" i="8" s="1"/>
  <c r="O370" i="8" s="1"/>
  <c r="O371" i="8" s="1"/>
  <c r="O372" i="8" s="1"/>
  <c r="O373" i="8" s="1"/>
  <c r="O374" i="8" s="1"/>
  <c r="O375" i="8" s="1"/>
  <c r="O376" i="8" s="1"/>
  <c r="O377" i="8" s="1"/>
  <c r="O378" i="8" s="1"/>
  <c r="O379" i="8" s="1"/>
  <c r="O380" i="8" s="1"/>
  <c r="O381" i="8" s="1"/>
  <c r="O382" i="8" s="1"/>
  <c r="O383" i="8" s="1"/>
  <c r="O384" i="8" s="1"/>
  <c r="O385" i="8" s="1"/>
  <c r="O386" i="8" s="1"/>
  <c r="O387" i="8" s="1"/>
  <c r="O388" i="8" s="1"/>
  <c r="O389" i="8" s="1"/>
  <c r="O390" i="8" s="1"/>
  <c r="O391" i="8" s="1"/>
  <c r="O392" i="8" s="1"/>
  <c r="O393" i="8" s="1"/>
  <c r="O394" i="8" s="1"/>
  <c r="O395" i="8" s="1"/>
  <c r="O396" i="8" s="1"/>
  <c r="O397" i="8" s="1"/>
  <c r="O398" i="8" s="1"/>
  <c r="O399" i="8" s="1"/>
  <c r="O400" i="8" s="1"/>
  <c r="O401" i="8" s="1"/>
  <c r="O402" i="8" s="1"/>
  <c r="O403" i="8" s="1"/>
  <c r="O404" i="8" s="1"/>
  <c r="O405" i="8" s="1"/>
  <c r="O406" i="8" s="1"/>
  <c r="O407" i="8" s="1"/>
  <c r="O408" i="8" s="1"/>
  <c r="O409" i="8" s="1"/>
  <c r="O410" i="8" s="1"/>
  <c r="O411" i="8" s="1"/>
  <c r="O412" i="8" s="1"/>
  <c r="O413" i="8" s="1"/>
  <c r="O414" i="8" s="1"/>
  <c r="O415" i="8" s="1"/>
  <c r="O416" i="8" s="1"/>
  <c r="O417" i="8" s="1"/>
  <c r="O418" i="8" s="1"/>
  <c r="O419" i="8" s="1"/>
  <c r="O420" i="8" s="1"/>
  <c r="O421" i="8" s="1"/>
  <c r="O422" i="8" s="1"/>
  <c r="O423" i="8" s="1"/>
  <c r="O424" i="8" s="1"/>
  <c r="O425" i="8" s="1"/>
  <c r="O426" i="8" s="1"/>
  <c r="O427" i="8" s="1"/>
  <c r="O428" i="8" s="1"/>
  <c r="O429" i="8" s="1"/>
  <c r="O430" i="8" s="1"/>
  <c r="O431" i="8" s="1"/>
  <c r="O432" i="8" s="1"/>
  <c r="O433" i="8" s="1"/>
  <c r="O434" i="8" s="1"/>
  <c r="O435" i="8" s="1"/>
  <c r="O436" i="8" s="1"/>
  <c r="O437" i="8" s="1"/>
  <c r="O438" i="8" s="1"/>
  <c r="O439" i="8" s="1"/>
  <c r="O440" i="8" s="1"/>
  <c r="P153" i="8" s="1"/>
  <c r="P154" i="8" s="1"/>
  <c r="P155" i="8" s="1"/>
  <c r="P156" i="8" s="1"/>
  <c r="P157" i="8" s="1"/>
  <c r="P158" i="8" s="1"/>
  <c r="P159" i="8" s="1"/>
  <c r="P160" i="8" s="1"/>
  <c r="P161" i="8" s="1"/>
  <c r="P162" i="8" s="1"/>
  <c r="P163" i="8" s="1"/>
  <c r="P164" i="8" s="1"/>
  <c r="P165" i="8" s="1"/>
  <c r="P166" i="8" s="1"/>
  <c r="P167" i="8" s="1"/>
  <c r="P168" i="8" s="1"/>
  <c r="P169" i="8" s="1"/>
  <c r="P170" i="8" s="1"/>
  <c r="P171" i="8" s="1"/>
  <c r="P172" i="8" s="1"/>
  <c r="P173" i="8" s="1"/>
  <c r="P174" i="8" s="1"/>
  <c r="P175" i="8" s="1"/>
  <c r="P176" i="8" s="1"/>
  <c r="P177" i="8" s="1"/>
  <c r="P178" i="8" s="1"/>
  <c r="P179" i="8" s="1"/>
  <c r="P180" i="8" s="1"/>
  <c r="P181" i="8" s="1"/>
  <c r="P182" i="8" s="1"/>
  <c r="P183" i="8" s="1"/>
  <c r="P184" i="8" s="1"/>
  <c r="P185" i="8" s="1"/>
  <c r="P186" i="8" s="1"/>
  <c r="P187" i="8" s="1"/>
  <c r="P188" i="8" s="1"/>
  <c r="P189" i="8" s="1"/>
  <c r="P190" i="8" s="1"/>
  <c r="P191" i="8" s="1"/>
  <c r="P192" i="8" s="1"/>
  <c r="P193" i="8" s="1"/>
  <c r="P194" i="8" s="1"/>
  <c r="P195" i="8" s="1"/>
  <c r="P196" i="8" s="1"/>
  <c r="P197" i="8" s="1"/>
  <c r="P198" i="8" s="1"/>
  <c r="P199" i="8" s="1"/>
  <c r="P200" i="8" s="1"/>
  <c r="P201" i="8" s="1"/>
  <c r="P202" i="8" s="1"/>
  <c r="P203" i="8" s="1"/>
  <c r="P204" i="8" s="1"/>
  <c r="P205" i="8" s="1"/>
  <c r="P206" i="8" s="1"/>
  <c r="P207" i="8" s="1"/>
  <c r="P208" i="8" s="1"/>
  <c r="P209" i="8" s="1"/>
  <c r="P210" i="8" s="1"/>
  <c r="P211" i="8" s="1"/>
  <c r="P212" i="8" s="1"/>
  <c r="P213" i="8" s="1"/>
  <c r="P214" i="8" s="1"/>
  <c r="P215" i="8" s="1"/>
  <c r="P216" i="8" s="1"/>
  <c r="P217" i="8" s="1"/>
  <c r="P218" i="8" s="1"/>
  <c r="P219" i="8" s="1"/>
  <c r="P220" i="8" s="1"/>
  <c r="P221" i="8" s="1"/>
  <c r="P222" i="8" s="1"/>
  <c r="P223" i="8" s="1"/>
  <c r="P224" i="8" s="1"/>
  <c r="P225" i="8" s="1"/>
  <c r="P226" i="8" s="1"/>
  <c r="P227" i="8" s="1"/>
  <c r="P228" i="8" s="1"/>
  <c r="P229" i="8" s="1"/>
  <c r="P230" i="8" s="1"/>
  <c r="P231" i="8" s="1"/>
  <c r="P232" i="8" s="1"/>
  <c r="P233" i="8" s="1"/>
  <c r="P234" i="8" s="1"/>
  <c r="P235" i="8" s="1"/>
  <c r="P236" i="8" s="1"/>
  <c r="P237" i="8" s="1"/>
  <c r="P238" i="8" s="1"/>
  <c r="P239" i="8" s="1"/>
  <c r="P240" i="8" s="1"/>
  <c r="P241" i="8" s="1"/>
  <c r="P242" i="8" s="1"/>
  <c r="P243" i="8" s="1"/>
  <c r="P244" i="8" s="1"/>
  <c r="P245" i="8" s="1"/>
  <c r="P246" i="8" s="1"/>
  <c r="P247" i="8" s="1"/>
  <c r="P248" i="8" s="1"/>
  <c r="P249" i="8" s="1"/>
  <c r="P250" i="8" s="1"/>
  <c r="P251" i="8" s="1"/>
  <c r="P252" i="8" s="1"/>
  <c r="P253" i="8" s="1"/>
  <c r="P254" i="8" s="1"/>
  <c r="P255" i="8" s="1"/>
  <c r="P256" i="8" s="1"/>
  <c r="P257" i="8" s="1"/>
  <c r="P258" i="8" s="1"/>
  <c r="P259" i="8" s="1"/>
  <c r="P260" i="8" s="1"/>
  <c r="P261" i="8" s="1"/>
  <c r="P262" i="8" s="1"/>
  <c r="P263" i="8" s="1"/>
  <c r="P264" i="8" s="1"/>
  <c r="P265" i="8" s="1"/>
  <c r="P266" i="8" s="1"/>
  <c r="P267" i="8" s="1"/>
  <c r="P268" i="8" s="1"/>
  <c r="P269" i="8" s="1"/>
  <c r="P270" i="8" s="1"/>
  <c r="P271" i="8" s="1"/>
  <c r="P272" i="8" s="1"/>
  <c r="P273" i="8" s="1"/>
  <c r="P274" i="8" s="1"/>
  <c r="P275" i="8" s="1"/>
  <c r="P276" i="8" s="1"/>
  <c r="P277" i="8" s="1"/>
  <c r="P278" i="8" s="1"/>
  <c r="P279" i="8" s="1"/>
  <c r="P280" i="8" s="1"/>
  <c r="P281" i="8" s="1"/>
  <c r="P282" i="8" s="1"/>
  <c r="P283" i="8" s="1"/>
  <c r="P284" i="8" s="1"/>
  <c r="P285" i="8" s="1"/>
  <c r="P286" i="8" s="1"/>
  <c r="P287" i="8" s="1"/>
  <c r="P288" i="8" s="1"/>
  <c r="P289" i="8" s="1"/>
  <c r="P290" i="8" s="1"/>
  <c r="P291" i="8" s="1"/>
  <c r="P292" i="8" s="1"/>
  <c r="P293" i="8" s="1"/>
  <c r="P294" i="8" s="1"/>
  <c r="P295" i="8" s="1"/>
  <c r="P296" i="8" s="1"/>
  <c r="P297" i="8" s="1"/>
  <c r="P298" i="8" s="1"/>
  <c r="P299" i="8" s="1"/>
  <c r="P300" i="8" s="1"/>
  <c r="P301" i="8" s="1"/>
  <c r="P302" i="8" s="1"/>
  <c r="P303" i="8" s="1"/>
  <c r="P304" i="8" s="1"/>
  <c r="P305" i="8" s="1"/>
  <c r="P306" i="8" s="1"/>
  <c r="P307" i="8" s="1"/>
  <c r="P308" i="8" s="1"/>
  <c r="P309" i="8" s="1"/>
  <c r="P310" i="8" s="1"/>
  <c r="P311" i="8" s="1"/>
  <c r="P312" i="8" s="1"/>
  <c r="P313" i="8" s="1"/>
  <c r="P314" i="8" s="1"/>
  <c r="P315" i="8" s="1"/>
  <c r="P316" i="8" s="1"/>
  <c r="P317" i="8" s="1"/>
  <c r="P318" i="8" s="1"/>
  <c r="P319" i="8" s="1"/>
  <c r="P320" i="8" s="1"/>
  <c r="P321" i="8" s="1"/>
  <c r="P322" i="8" s="1"/>
  <c r="P323" i="8" s="1"/>
  <c r="P324" i="8" s="1"/>
  <c r="P325" i="8" s="1"/>
  <c r="P326" i="8" s="1"/>
  <c r="P327" i="8" s="1"/>
  <c r="P328" i="8" s="1"/>
  <c r="P329" i="8" s="1"/>
  <c r="P330" i="8" s="1"/>
  <c r="P331" i="8" s="1"/>
  <c r="P332" i="8" s="1"/>
  <c r="P333" i="8" s="1"/>
  <c r="P334" i="8" s="1"/>
  <c r="P335" i="8" s="1"/>
  <c r="P336" i="8" s="1"/>
  <c r="P337" i="8" s="1"/>
  <c r="P338" i="8" s="1"/>
  <c r="P339" i="8" s="1"/>
  <c r="P340" i="8" s="1"/>
  <c r="P341" i="8" s="1"/>
  <c r="P342" i="8" s="1"/>
  <c r="P343" i="8" s="1"/>
  <c r="P344" i="8" s="1"/>
  <c r="P345" i="8" s="1"/>
  <c r="P346" i="8" s="1"/>
  <c r="P347" i="8" s="1"/>
  <c r="P348" i="8" s="1"/>
  <c r="P349" i="8" s="1"/>
  <c r="P350" i="8" s="1"/>
  <c r="P351" i="8" s="1"/>
  <c r="P352" i="8" s="1"/>
  <c r="P353" i="8" s="1"/>
  <c r="P354" i="8" s="1"/>
  <c r="P355" i="8" s="1"/>
  <c r="P356" i="8" s="1"/>
  <c r="P357" i="8" s="1"/>
  <c r="P358" i="8" s="1"/>
  <c r="P359" i="8" s="1"/>
  <c r="P360" i="8" s="1"/>
  <c r="P361" i="8" s="1"/>
  <c r="P362" i="8" s="1"/>
  <c r="P363" i="8" s="1"/>
  <c r="P364" i="8" s="1"/>
  <c r="P365" i="8" s="1"/>
  <c r="P366" i="8" s="1"/>
  <c r="P367" i="8" s="1"/>
  <c r="P368" i="8" s="1"/>
  <c r="P369" i="8" s="1"/>
  <c r="P370" i="8" s="1"/>
  <c r="P371" i="8" s="1"/>
  <c r="P372" i="8" s="1"/>
  <c r="P373" i="8" s="1"/>
  <c r="P374" i="8" s="1"/>
  <c r="P375" i="8" s="1"/>
  <c r="P376" i="8" s="1"/>
  <c r="P377" i="8" s="1"/>
  <c r="P378" i="8" s="1"/>
  <c r="P379" i="8" s="1"/>
  <c r="P380" i="8" s="1"/>
  <c r="P381" i="8" s="1"/>
  <c r="P382" i="8" s="1"/>
  <c r="P383" i="8" s="1"/>
  <c r="P384" i="8" s="1"/>
  <c r="P385" i="8" s="1"/>
  <c r="P386" i="8" s="1"/>
  <c r="P387" i="8" s="1"/>
  <c r="P388" i="8" s="1"/>
  <c r="P389" i="8" s="1"/>
  <c r="P390" i="8" s="1"/>
  <c r="P391" i="8" s="1"/>
  <c r="P392" i="8" s="1"/>
  <c r="P393" i="8" s="1"/>
  <c r="P394" i="8" s="1"/>
  <c r="P395" i="8" s="1"/>
  <c r="P396" i="8" s="1"/>
  <c r="P397" i="8" s="1"/>
  <c r="P398" i="8" s="1"/>
  <c r="P399" i="8" s="1"/>
  <c r="P400" i="8" s="1"/>
  <c r="P401" i="8" s="1"/>
  <c r="P402" i="8" s="1"/>
  <c r="P403" i="8" s="1"/>
  <c r="P404" i="8" s="1"/>
  <c r="P405" i="8" s="1"/>
  <c r="P406" i="8" s="1"/>
  <c r="P407" i="8" s="1"/>
  <c r="P408" i="8" s="1"/>
  <c r="P409" i="8" s="1"/>
  <c r="P410" i="8" s="1"/>
  <c r="P411" i="8" s="1"/>
  <c r="P412" i="8" s="1"/>
  <c r="P413" i="8" s="1"/>
  <c r="P414" i="8" s="1"/>
  <c r="P415" i="8" s="1"/>
  <c r="P416" i="8" s="1"/>
  <c r="P417" i="8" s="1"/>
  <c r="P418" i="8" s="1"/>
  <c r="P419" i="8" s="1"/>
  <c r="P420" i="8" s="1"/>
  <c r="P421" i="8" s="1"/>
  <c r="P422" i="8" s="1"/>
  <c r="P423" i="8" s="1"/>
  <c r="P424" i="8" s="1"/>
  <c r="P425" i="8" s="1"/>
  <c r="P426" i="8" s="1"/>
  <c r="P427" i="8" s="1"/>
  <c r="P428" i="8" s="1"/>
  <c r="P429" i="8" s="1"/>
  <c r="P430" i="8" s="1"/>
  <c r="P431" i="8" s="1"/>
  <c r="P432" i="8" s="1"/>
  <c r="P433" i="8" s="1"/>
  <c r="P434" i="8" s="1"/>
  <c r="P435" i="8" s="1"/>
  <c r="P436" i="8" s="1"/>
  <c r="P437" i="8" s="1"/>
  <c r="P438" i="8" s="1"/>
  <c r="P439" i="8" s="1"/>
  <c r="P440" i="8" s="1"/>
  <c r="Q153" i="8" s="1"/>
  <c r="Q154" i="8" s="1"/>
  <c r="Q155" i="8" s="1"/>
  <c r="Q156" i="8" s="1"/>
  <c r="Q157" i="8" s="1"/>
  <c r="Q158" i="8" s="1"/>
  <c r="Q159" i="8" s="1"/>
  <c r="Q160" i="8" s="1"/>
  <c r="Q161" i="8" s="1"/>
  <c r="Q162" i="8" s="1"/>
  <c r="Q163" i="8" s="1"/>
  <c r="Q164" i="8" s="1"/>
  <c r="Q165" i="8" s="1"/>
  <c r="Q166" i="8" s="1"/>
  <c r="Q167" i="8" s="1"/>
  <c r="Q168" i="8" s="1"/>
  <c r="Q169" i="8" s="1"/>
  <c r="Q170" i="8" s="1"/>
  <c r="Q171" i="8" s="1"/>
  <c r="Q172" i="8" s="1"/>
  <c r="Q173" i="8" s="1"/>
  <c r="Q174" i="8" s="1"/>
  <c r="Q175" i="8" s="1"/>
  <c r="Q176" i="8" s="1"/>
  <c r="Q177" i="8" s="1"/>
  <c r="Q178" i="8" s="1"/>
  <c r="Q179" i="8" s="1"/>
  <c r="Q180" i="8" s="1"/>
  <c r="Q181" i="8" s="1"/>
  <c r="Q182" i="8" s="1"/>
  <c r="Q183" i="8" s="1"/>
  <c r="Q184" i="8" s="1"/>
  <c r="Q185" i="8" s="1"/>
  <c r="Q186" i="8" s="1"/>
  <c r="Q187" i="8" s="1"/>
  <c r="Q188" i="8" s="1"/>
  <c r="Q189" i="8" s="1"/>
  <c r="Q190" i="8" s="1"/>
  <c r="Q191" i="8" s="1"/>
  <c r="Q192" i="8" s="1"/>
  <c r="Q193" i="8" s="1"/>
  <c r="Q194" i="8" s="1"/>
  <c r="Q195" i="8" s="1"/>
  <c r="Q196" i="8" s="1"/>
  <c r="Q197" i="8" s="1"/>
  <c r="Q198" i="8" s="1"/>
  <c r="Q199" i="8" s="1"/>
  <c r="Q200" i="8" s="1"/>
  <c r="Q201" i="8" s="1"/>
  <c r="Q202" i="8" s="1"/>
  <c r="Q203" i="8" s="1"/>
  <c r="Q204" i="8" s="1"/>
  <c r="Q205" i="8" s="1"/>
  <c r="Q206" i="8" s="1"/>
  <c r="Q207" i="8" s="1"/>
  <c r="Q208" i="8" s="1"/>
  <c r="Q209" i="8" s="1"/>
  <c r="Q210" i="8" s="1"/>
  <c r="Q211" i="8" s="1"/>
  <c r="Q212" i="8" s="1"/>
  <c r="Q213" i="8" s="1"/>
  <c r="Q214" i="8" s="1"/>
  <c r="Q215" i="8" s="1"/>
  <c r="Q216" i="8" s="1"/>
  <c r="Q217" i="8" s="1"/>
  <c r="Q218" i="8" s="1"/>
  <c r="Q219" i="8" s="1"/>
  <c r="Q220" i="8" s="1"/>
  <c r="Q221" i="8" s="1"/>
  <c r="Q222" i="8" s="1"/>
  <c r="Q223" i="8" s="1"/>
  <c r="Q224" i="8" s="1"/>
  <c r="Q225" i="8" s="1"/>
  <c r="Q226" i="8" s="1"/>
  <c r="Q227" i="8" s="1"/>
  <c r="Q228" i="8" s="1"/>
  <c r="Q229" i="8" s="1"/>
  <c r="Q230" i="8" s="1"/>
  <c r="Q231" i="8" s="1"/>
  <c r="Q232" i="8" s="1"/>
  <c r="Q233" i="8" s="1"/>
  <c r="Q234" i="8" s="1"/>
  <c r="Q235" i="8" s="1"/>
  <c r="Q236" i="8" s="1"/>
  <c r="Q237" i="8" s="1"/>
  <c r="Q238" i="8" s="1"/>
  <c r="Q239" i="8" s="1"/>
  <c r="Q240" i="8" s="1"/>
  <c r="Q241" i="8" s="1"/>
  <c r="Q242" i="8" s="1"/>
  <c r="Q243" i="8" s="1"/>
  <c r="Q244" i="8" s="1"/>
  <c r="Q245" i="8" s="1"/>
  <c r="Q246" i="8" s="1"/>
  <c r="Q247" i="8" s="1"/>
  <c r="Q248" i="8" s="1"/>
  <c r="Q249" i="8" s="1"/>
  <c r="Q250" i="8" s="1"/>
  <c r="Q251" i="8" s="1"/>
  <c r="Q252" i="8" s="1"/>
  <c r="Q253" i="8" s="1"/>
  <c r="Q254" i="8" s="1"/>
  <c r="Q255" i="8" s="1"/>
  <c r="Q256" i="8" s="1"/>
  <c r="Q257" i="8" s="1"/>
  <c r="Q258" i="8" s="1"/>
  <c r="Q259" i="8" s="1"/>
  <c r="Q260" i="8" s="1"/>
  <c r="Q261" i="8" s="1"/>
  <c r="Q262" i="8" s="1"/>
  <c r="Q263" i="8" s="1"/>
  <c r="Q264" i="8" s="1"/>
  <c r="Q265" i="8" s="1"/>
  <c r="Q266" i="8" s="1"/>
  <c r="Q267" i="8" s="1"/>
  <c r="Q268" i="8" s="1"/>
  <c r="Q269" i="8" s="1"/>
  <c r="Q270" i="8" s="1"/>
  <c r="Q271" i="8" s="1"/>
  <c r="Q272" i="8" s="1"/>
  <c r="Q273" i="8" s="1"/>
  <c r="Q274" i="8" s="1"/>
  <c r="Q275" i="8" s="1"/>
  <c r="Q276" i="8" s="1"/>
  <c r="Q277" i="8" s="1"/>
  <c r="Q278" i="8" s="1"/>
  <c r="Q279" i="8" s="1"/>
  <c r="Q280" i="8" s="1"/>
  <c r="Q281" i="8" s="1"/>
  <c r="Q282" i="8" s="1"/>
  <c r="Q283" i="8" s="1"/>
  <c r="Q284" i="8" s="1"/>
  <c r="Q285" i="8" s="1"/>
  <c r="Q286" i="8" s="1"/>
  <c r="Q287" i="8" s="1"/>
  <c r="Q288" i="8" s="1"/>
  <c r="Q289" i="8" s="1"/>
  <c r="Q290" i="8" s="1"/>
  <c r="Q291" i="8" s="1"/>
  <c r="Q292" i="8" s="1"/>
  <c r="Q293" i="8" s="1"/>
  <c r="Q294" i="8" s="1"/>
  <c r="Q295" i="8" s="1"/>
  <c r="Q296" i="8" s="1"/>
  <c r="Q297" i="8" s="1"/>
  <c r="Q298" i="8" s="1"/>
  <c r="Q299" i="8" s="1"/>
  <c r="Q300" i="8" s="1"/>
  <c r="Q301" i="8" s="1"/>
  <c r="Q302" i="8" s="1"/>
  <c r="Q303" i="8" s="1"/>
  <c r="Q304" i="8" s="1"/>
  <c r="Q305" i="8" s="1"/>
  <c r="Q306" i="8" s="1"/>
  <c r="Q307" i="8" s="1"/>
  <c r="Q308" i="8" s="1"/>
  <c r="Q309" i="8" s="1"/>
  <c r="Q310" i="8" s="1"/>
  <c r="Q311" i="8" s="1"/>
  <c r="Q312" i="8" s="1"/>
  <c r="Q313" i="8" s="1"/>
  <c r="Q314" i="8" s="1"/>
  <c r="Q315" i="8" s="1"/>
  <c r="Q316" i="8" s="1"/>
  <c r="Q317" i="8" s="1"/>
  <c r="Q318" i="8" s="1"/>
  <c r="Q319" i="8" s="1"/>
  <c r="Q320" i="8" s="1"/>
  <c r="Q321" i="8" s="1"/>
  <c r="Q322" i="8" s="1"/>
  <c r="Q323" i="8" s="1"/>
  <c r="Q324" i="8" s="1"/>
  <c r="Q325" i="8" s="1"/>
  <c r="Q326" i="8" s="1"/>
  <c r="Q327" i="8" s="1"/>
  <c r="Q328" i="8" s="1"/>
  <c r="Q329" i="8" s="1"/>
  <c r="Q330" i="8" s="1"/>
  <c r="Q331" i="8" s="1"/>
  <c r="Q332" i="8" s="1"/>
  <c r="Q333" i="8" s="1"/>
  <c r="Q334" i="8" s="1"/>
  <c r="Q335" i="8" s="1"/>
  <c r="Q336" i="8" s="1"/>
  <c r="Q337" i="8" s="1"/>
  <c r="Q338" i="8" s="1"/>
  <c r="Q339" i="8" s="1"/>
  <c r="Q340" i="8" s="1"/>
  <c r="Q341" i="8" s="1"/>
  <c r="Q342" i="8" s="1"/>
  <c r="Q343" i="8" s="1"/>
  <c r="Q344" i="8" s="1"/>
  <c r="Q345" i="8" s="1"/>
  <c r="Q346" i="8" s="1"/>
  <c r="Q347" i="8" s="1"/>
  <c r="Q348" i="8" s="1"/>
  <c r="Q349" i="8" s="1"/>
  <c r="Q350" i="8" s="1"/>
  <c r="Q351" i="8" s="1"/>
  <c r="Q352" i="8" s="1"/>
  <c r="Q353" i="8" s="1"/>
  <c r="Q354" i="8" s="1"/>
  <c r="Q355" i="8" s="1"/>
  <c r="Q356" i="8" s="1"/>
  <c r="Q357" i="8" s="1"/>
  <c r="Q358" i="8" s="1"/>
  <c r="Q359" i="8" s="1"/>
  <c r="Q360" i="8" s="1"/>
  <c r="Q361" i="8" s="1"/>
  <c r="Q362" i="8" s="1"/>
  <c r="Q363" i="8" s="1"/>
  <c r="Q364" i="8" s="1"/>
  <c r="Q365" i="8" s="1"/>
  <c r="Q366" i="8" s="1"/>
  <c r="Q367" i="8" s="1"/>
  <c r="Q368" i="8" s="1"/>
  <c r="Q369" i="8" s="1"/>
  <c r="Q370" i="8" s="1"/>
  <c r="Q371" i="8" s="1"/>
  <c r="Q372" i="8" s="1"/>
  <c r="Q373" i="8" s="1"/>
  <c r="Q374" i="8" s="1"/>
  <c r="Q375" i="8" s="1"/>
  <c r="Q376" i="8" s="1"/>
  <c r="Q377" i="8" s="1"/>
  <c r="Q378" i="8" s="1"/>
  <c r="Q379" i="8" s="1"/>
  <c r="Q380" i="8" s="1"/>
  <c r="Q381" i="8" s="1"/>
  <c r="Q382" i="8" s="1"/>
  <c r="Q383" i="8" s="1"/>
  <c r="Q384" i="8" s="1"/>
  <c r="Q385" i="8" s="1"/>
  <c r="Q386" i="8" s="1"/>
  <c r="Q387" i="8" s="1"/>
  <c r="Q388" i="8" s="1"/>
  <c r="Q389" i="8" s="1"/>
  <c r="Q390" i="8" s="1"/>
  <c r="Q391" i="8" s="1"/>
  <c r="Q392" i="8" s="1"/>
  <c r="Q393" i="8" s="1"/>
  <c r="Q394" i="8" s="1"/>
  <c r="Q395" i="8" s="1"/>
  <c r="Q396" i="8" s="1"/>
  <c r="Q397" i="8" s="1"/>
  <c r="Q398" i="8" s="1"/>
  <c r="Q399" i="8" s="1"/>
  <c r="Q400" i="8" s="1"/>
  <c r="Q401" i="8" s="1"/>
  <c r="Q402" i="8" s="1"/>
  <c r="Q403" i="8" s="1"/>
  <c r="Q404" i="8" s="1"/>
  <c r="Q405" i="8" s="1"/>
  <c r="Q406" i="8" s="1"/>
  <c r="Q407" i="8" s="1"/>
  <c r="Q408" i="8" s="1"/>
  <c r="Q409" i="8" s="1"/>
  <c r="Q410" i="8" s="1"/>
  <c r="Q411" i="8" s="1"/>
  <c r="Q412" i="8" s="1"/>
  <c r="Q413" i="8" s="1"/>
  <c r="Q414" i="8" s="1"/>
  <c r="Q415" i="8" s="1"/>
  <c r="Q416" i="8" s="1"/>
  <c r="Q417" i="8" s="1"/>
  <c r="Q418" i="8" s="1"/>
  <c r="Q419" i="8" s="1"/>
  <c r="Q420" i="8" s="1"/>
  <c r="Q421" i="8" s="1"/>
  <c r="Q422" i="8" s="1"/>
  <c r="Q423" i="8" s="1"/>
  <c r="Q424" i="8" s="1"/>
  <c r="Q425" i="8" s="1"/>
  <c r="Q426" i="8" s="1"/>
  <c r="Q427" i="8" s="1"/>
  <c r="Q428" i="8" s="1"/>
  <c r="Q429" i="8" s="1"/>
  <c r="Q430" i="8" s="1"/>
  <c r="Q431" i="8" s="1"/>
  <c r="Q432" i="8" s="1"/>
  <c r="Q433" i="8" s="1"/>
  <c r="Q434" i="8" s="1"/>
  <c r="Q435" i="8" s="1"/>
  <c r="Q436" i="8" s="1"/>
  <c r="Q437" i="8" s="1"/>
  <c r="Q438" i="8" s="1"/>
  <c r="Q439" i="8" s="1"/>
  <c r="Q440" i="8" s="1"/>
  <c r="R153" i="8" s="1"/>
  <c r="R154" i="8" s="1"/>
  <c r="R155" i="8" s="1"/>
  <c r="R156" i="8" s="1"/>
  <c r="R157" i="8" s="1"/>
  <c r="R158" i="8" s="1"/>
  <c r="R159" i="8" s="1"/>
  <c r="R160" i="8" s="1"/>
  <c r="R161" i="8" s="1"/>
  <c r="R162" i="8" s="1"/>
  <c r="R163" i="8" s="1"/>
  <c r="R164" i="8" s="1"/>
  <c r="R165" i="8" s="1"/>
  <c r="R166" i="8" s="1"/>
  <c r="R167" i="8" s="1"/>
  <c r="R168" i="8" s="1"/>
  <c r="R169" i="8" s="1"/>
  <c r="R170" i="8" s="1"/>
  <c r="R171" i="8" s="1"/>
  <c r="R172" i="8" s="1"/>
  <c r="R173" i="8" s="1"/>
  <c r="R174" i="8" s="1"/>
  <c r="R175" i="8" s="1"/>
  <c r="R176" i="8" s="1"/>
  <c r="R177" i="8" s="1"/>
  <c r="R178" i="8" s="1"/>
  <c r="R179" i="8" s="1"/>
  <c r="R180" i="8" s="1"/>
  <c r="R181" i="8" s="1"/>
  <c r="R182" i="8" s="1"/>
  <c r="R183" i="8" s="1"/>
  <c r="R184" i="8" s="1"/>
  <c r="R185" i="8" s="1"/>
  <c r="R186" i="8" s="1"/>
  <c r="R187" i="8" s="1"/>
  <c r="R188" i="8" s="1"/>
  <c r="R189" i="8" s="1"/>
  <c r="R190" i="8" s="1"/>
  <c r="R191" i="8" s="1"/>
  <c r="R192" i="8" s="1"/>
  <c r="R193" i="8" s="1"/>
  <c r="R194" i="8" s="1"/>
  <c r="R195" i="8" s="1"/>
  <c r="R196" i="8" s="1"/>
  <c r="R197" i="8" s="1"/>
  <c r="R198" i="8" s="1"/>
  <c r="R199" i="8" s="1"/>
  <c r="R200" i="8" s="1"/>
  <c r="R201" i="8" s="1"/>
  <c r="R202" i="8" s="1"/>
  <c r="R203" i="8" s="1"/>
  <c r="R204" i="8" s="1"/>
  <c r="R205" i="8" s="1"/>
  <c r="R206" i="8" s="1"/>
  <c r="R207" i="8" s="1"/>
  <c r="R208" i="8" s="1"/>
  <c r="R209" i="8" s="1"/>
  <c r="R210" i="8" s="1"/>
  <c r="R211" i="8" s="1"/>
  <c r="R212" i="8" s="1"/>
  <c r="R213" i="8" s="1"/>
  <c r="R214" i="8" s="1"/>
  <c r="R215" i="8" s="1"/>
  <c r="R216" i="8" s="1"/>
  <c r="R217" i="8" s="1"/>
  <c r="R218" i="8" s="1"/>
  <c r="R219" i="8" s="1"/>
  <c r="R220" i="8" s="1"/>
  <c r="R221" i="8" s="1"/>
  <c r="R222" i="8" s="1"/>
  <c r="R223" i="8" s="1"/>
  <c r="R224" i="8" s="1"/>
  <c r="R225" i="8" s="1"/>
  <c r="R226" i="8" s="1"/>
  <c r="R227" i="8" s="1"/>
  <c r="R228" i="8" s="1"/>
  <c r="R229" i="8" s="1"/>
  <c r="R230" i="8" s="1"/>
  <c r="R231" i="8" s="1"/>
  <c r="R232" i="8" s="1"/>
  <c r="R233" i="8" s="1"/>
  <c r="R234" i="8" s="1"/>
  <c r="R235" i="8" s="1"/>
  <c r="R236" i="8" s="1"/>
  <c r="R237" i="8" s="1"/>
  <c r="R238" i="8" s="1"/>
  <c r="R239" i="8" s="1"/>
  <c r="R240" i="8" s="1"/>
  <c r="R241" i="8" s="1"/>
  <c r="R242" i="8" s="1"/>
  <c r="R243" i="8" s="1"/>
  <c r="R244" i="8" s="1"/>
  <c r="R245" i="8" s="1"/>
  <c r="R246" i="8" s="1"/>
  <c r="R247" i="8" s="1"/>
  <c r="R248" i="8" s="1"/>
  <c r="R249" i="8" s="1"/>
  <c r="R250" i="8" s="1"/>
  <c r="R251" i="8" s="1"/>
  <c r="R252" i="8" s="1"/>
  <c r="R253" i="8" s="1"/>
  <c r="R254" i="8" s="1"/>
  <c r="R255" i="8" s="1"/>
  <c r="R256" i="8" s="1"/>
  <c r="R257" i="8" s="1"/>
  <c r="R258" i="8" s="1"/>
  <c r="R259" i="8" s="1"/>
  <c r="R260" i="8" s="1"/>
  <c r="R261" i="8" s="1"/>
  <c r="R262" i="8" s="1"/>
  <c r="R263" i="8" s="1"/>
  <c r="R264" i="8" s="1"/>
  <c r="R265" i="8" s="1"/>
  <c r="R266" i="8" s="1"/>
  <c r="R267" i="8" s="1"/>
  <c r="R268" i="8" s="1"/>
  <c r="R269" i="8" s="1"/>
  <c r="R270" i="8" s="1"/>
  <c r="R271" i="8" s="1"/>
  <c r="R272" i="8" s="1"/>
  <c r="R273" i="8" s="1"/>
  <c r="R274" i="8" s="1"/>
  <c r="R275" i="8" s="1"/>
  <c r="R276" i="8" s="1"/>
  <c r="R277" i="8" s="1"/>
  <c r="R278" i="8" s="1"/>
  <c r="R279" i="8" s="1"/>
  <c r="R280" i="8" s="1"/>
  <c r="R281" i="8" s="1"/>
  <c r="R282" i="8" s="1"/>
  <c r="R283" i="8" s="1"/>
  <c r="R284" i="8" s="1"/>
  <c r="R285" i="8" s="1"/>
  <c r="R286" i="8" s="1"/>
  <c r="R287" i="8" s="1"/>
  <c r="R288" i="8" s="1"/>
  <c r="R289" i="8" s="1"/>
  <c r="R290" i="8" s="1"/>
  <c r="R291" i="8" s="1"/>
  <c r="R292" i="8" s="1"/>
  <c r="R293" i="8" s="1"/>
  <c r="R294" i="8" s="1"/>
  <c r="R295" i="8" s="1"/>
  <c r="R296" i="8" s="1"/>
  <c r="R297" i="8" s="1"/>
  <c r="R298" i="8" s="1"/>
  <c r="R299" i="8" s="1"/>
  <c r="R300" i="8" s="1"/>
  <c r="R301" i="8" s="1"/>
  <c r="R302" i="8" s="1"/>
  <c r="R303" i="8" s="1"/>
  <c r="R304" i="8" s="1"/>
  <c r="R305" i="8" s="1"/>
  <c r="R306" i="8" s="1"/>
  <c r="R307" i="8" s="1"/>
  <c r="R308" i="8" s="1"/>
  <c r="R309" i="8" s="1"/>
  <c r="R310" i="8" s="1"/>
  <c r="R311" i="8" s="1"/>
  <c r="R312" i="8" s="1"/>
  <c r="R313" i="8" s="1"/>
  <c r="R314" i="8" s="1"/>
  <c r="R315" i="8" s="1"/>
  <c r="R316" i="8" s="1"/>
  <c r="R317" i="8" s="1"/>
  <c r="R318" i="8" s="1"/>
  <c r="R319" i="8" s="1"/>
  <c r="R320" i="8" s="1"/>
  <c r="R321" i="8" s="1"/>
  <c r="R322" i="8" s="1"/>
  <c r="R323" i="8" s="1"/>
  <c r="R324" i="8" s="1"/>
  <c r="R325" i="8" s="1"/>
  <c r="R326" i="8" s="1"/>
  <c r="R327" i="8" s="1"/>
  <c r="R328" i="8" s="1"/>
  <c r="R329" i="8" s="1"/>
  <c r="R330" i="8" s="1"/>
  <c r="R331" i="8" s="1"/>
  <c r="R332" i="8" s="1"/>
  <c r="R333" i="8" s="1"/>
  <c r="R334" i="8" s="1"/>
  <c r="R335" i="8" s="1"/>
  <c r="R336" i="8" s="1"/>
  <c r="R337" i="8" s="1"/>
  <c r="R338" i="8" s="1"/>
  <c r="R339" i="8" s="1"/>
  <c r="R340" i="8" s="1"/>
  <c r="R341" i="8" s="1"/>
  <c r="R342" i="8" s="1"/>
  <c r="R343" i="8" s="1"/>
  <c r="R344" i="8" s="1"/>
  <c r="R345" i="8" s="1"/>
  <c r="R346" i="8" s="1"/>
  <c r="R347" i="8" s="1"/>
  <c r="R348" i="8" s="1"/>
  <c r="R349" i="8" s="1"/>
  <c r="R350" i="8" s="1"/>
  <c r="R351" i="8" s="1"/>
  <c r="R352" i="8" s="1"/>
  <c r="R353" i="8" s="1"/>
  <c r="R354" i="8" s="1"/>
  <c r="R355" i="8" s="1"/>
  <c r="R356" i="8" s="1"/>
  <c r="R357" i="8" s="1"/>
  <c r="R358" i="8" s="1"/>
  <c r="R359" i="8" s="1"/>
  <c r="R360" i="8" s="1"/>
  <c r="R361" i="8" s="1"/>
  <c r="R362" i="8" s="1"/>
  <c r="R363" i="8" s="1"/>
  <c r="R364" i="8" s="1"/>
  <c r="R365" i="8" s="1"/>
  <c r="R366" i="8" s="1"/>
  <c r="R367" i="8" s="1"/>
  <c r="R368" i="8" s="1"/>
  <c r="R369" i="8" s="1"/>
  <c r="R370" i="8" s="1"/>
  <c r="R371" i="8" s="1"/>
  <c r="R372" i="8" s="1"/>
  <c r="R373" i="8" s="1"/>
  <c r="R374" i="8" s="1"/>
  <c r="R375" i="8" s="1"/>
  <c r="R376" i="8" s="1"/>
  <c r="R377" i="8" s="1"/>
  <c r="R378" i="8" s="1"/>
  <c r="R379" i="8" s="1"/>
  <c r="R380" i="8" s="1"/>
  <c r="R381" i="8" s="1"/>
  <c r="R382" i="8" s="1"/>
  <c r="R383" i="8" s="1"/>
  <c r="R384" i="8" s="1"/>
  <c r="R385" i="8" s="1"/>
  <c r="R386" i="8" s="1"/>
  <c r="R387" i="8" s="1"/>
  <c r="R388" i="8" s="1"/>
  <c r="R389" i="8" s="1"/>
  <c r="R390" i="8" s="1"/>
  <c r="R391" i="8" s="1"/>
  <c r="R392" i="8" s="1"/>
  <c r="R393" i="8" s="1"/>
  <c r="R394" i="8" s="1"/>
  <c r="R395" i="8" s="1"/>
  <c r="R396" i="8" s="1"/>
  <c r="R397" i="8" s="1"/>
  <c r="R398" i="8" s="1"/>
  <c r="R399" i="8" s="1"/>
  <c r="R400" i="8" s="1"/>
  <c r="R401" i="8" s="1"/>
  <c r="R402" i="8" s="1"/>
  <c r="R403" i="8" s="1"/>
  <c r="R404" i="8" s="1"/>
  <c r="R405" i="8" s="1"/>
  <c r="R406" i="8" s="1"/>
  <c r="R407" i="8" s="1"/>
  <c r="R408" i="8" s="1"/>
  <c r="R409" i="8" s="1"/>
  <c r="R410" i="8" s="1"/>
  <c r="R411" i="8" s="1"/>
  <c r="R412" i="8" s="1"/>
  <c r="R413" i="8" s="1"/>
  <c r="R414" i="8" s="1"/>
  <c r="R415" i="8" s="1"/>
  <c r="R416" i="8" s="1"/>
  <c r="R417" i="8" s="1"/>
  <c r="R418" i="8" s="1"/>
  <c r="R419" i="8" s="1"/>
  <c r="R420" i="8" s="1"/>
  <c r="R421" i="8" s="1"/>
  <c r="R422" i="8" s="1"/>
  <c r="R423" i="8" s="1"/>
  <c r="R424" i="8" s="1"/>
  <c r="R425" i="8" s="1"/>
  <c r="R426" i="8" s="1"/>
  <c r="R427" i="8" s="1"/>
  <c r="R428" i="8" s="1"/>
  <c r="R429" i="8" s="1"/>
  <c r="R430" i="8" s="1"/>
  <c r="R431" i="8" s="1"/>
  <c r="R432" i="8" s="1"/>
  <c r="R433" i="8" s="1"/>
  <c r="R434" i="8" s="1"/>
  <c r="R435" i="8" s="1"/>
  <c r="R436" i="8" s="1"/>
  <c r="R437" i="8" s="1"/>
  <c r="R438" i="8" s="1"/>
  <c r="R439" i="8" s="1"/>
  <c r="R440" i="8" s="1"/>
  <c r="S153" i="8" s="1"/>
  <c r="S154" i="8" s="1"/>
  <c r="S155" i="8" s="1"/>
  <c r="S156" i="8" s="1"/>
  <c r="S157" i="8" s="1"/>
  <c r="S158" i="8" s="1"/>
  <c r="S159" i="8" s="1"/>
  <c r="S160" i="8" s="1"/>
  <c r="S161" i="8" s="1"/>
  <c r="S162" i="8" s="1"/>
  <c r="S163" i="8" s="1"/>
  <c r="S164" i="8" s="1"/>
  <c r="S165" i="8" s="1"/>
  <c r="S166" i="8" s="1"/>
  <c r="S167" i="8" s="1"/>
  <c r="S168" i="8" s="1"/>
  <c r="S169" i="8" s="1"/>
  <c r="S170" i="8" s="1"/>
  <c r="S171" i="8" s="1"/>
  <c r="S172" i="8" s="1"/>
  <c r="S173" i="8" s="1"/>
  <c r="S174" i="8" s="1"/>
  <c r="S175" i="8" s="1"/>
  <c r="S176" i="8" s="1"/>
  <c r="S177" i="8" s="1"/>
  <c r="S178" i="8" s="1"/>
  <c r="S179" i="8" s="1"/>
  <c r="S180" i="8" s="1"/>
  <c r="S181" i="8" s="1"/>
  <c r="S182" i="8" s="1"/>
  <c r="S183" i="8" s="1"/>
  <c r="S184" i="8" s="1"/>
  <c r="S185" i="8" s="1"/>
  <c r="S186" i="8" s="1"/>
  <c r="S187" i="8" s="1"/>
  <c r="S188" i="8" s="1"/>
  <c r="S189" i="8" s="1"/>
  <c r="S190" i="8" s="1"/>
  <c r="S191" i="8" s="1"/>
  <c r="S192" i="8" s="1"/>
  <c r="S193" i="8" s="1"/>
  <c r="S194" i="8" s="1"/>
  <c r="S195" i="8" s="1"/>
  <c r="S196" i="8" s="1"/>
  <c r="S197" i="8" s="1"/>
  <c r="S198" i="8" s="1"/>
  <c r="S199" i="8" s="1"/>
  <c r="S200" i="8" s="1"/>
  <c r="S201" i="8" s="1"/>
  <c r="S202" i="8" s="1"/>
  <c r="S203" i="8" s="1"/>
  <c r="S204" i="8" s="1"/>
  <c r="S205" i="8" s="1"/>
  <c r="S206" i="8" s="1"/>
  <c r="S207" i="8" s="1"/>
  <c r="S208" i="8" s="1"/>
  <c r="S209" i="8" s="1"/>
  <c r="S210" i="8" s="1"/>
  <c r="S211" i="8" s="1"/>
  <c r="S212" i="8" s="1"/>
  <c r="S213" i="8" s="1"/>
  <c r="S214" i="8" s="1"/>
  <c r="S215" i="8" s="1"/>
  <c r="S216" i="8" s="1"/>
  <c r="S217" i="8" s="1"/>
  <c r="S218" i="8" s="1"/>
  <c r="S219" i="8" s="1"/>
  <c r="S220" i="8" s="1"/>
  <c r="S221" i="8" s="1"/>
  <c r="S222" i="8" s="1"/>
  <c r="S223" i="8" s="1"/>
  <c r="S224" i="8" s="1"/>
  <c r="S225" i="8" s="1"/>
  <c r="S226" i="8" s="1"/>
  <c r="S227" i="8" s="1"/>
  <c r="S228" i="8" s="1"/>
  <c r="S229" i="8" s="1"/>
  <c r="S230" i="8" s="1"/>
  <c r="S231" i="8" s="1"/>
  <c r="S232" i="8" s="1"/>
  <c r="S233" i="8" s="1"/>
  <c r="S234" i="8" s="1"/>
  <c r="S235" i="8" s="1"/>
  <c r="S236" i="8" s="1"/>
  <c r="S237" i="8" s="1"/>
  <c r="S238" i="8" s="1"/>
  <c r="S239" i="8" s="1"/>
  <c r="S240" i="8" s="1"/>
  <c r="S241" i="8" s="1"/>
  <c r="S242" i="8" s="1"/>
  <c r="S243" i="8" s="1"/>
  <c r="S244" i="8" s="1"/>
  <c r="S245" i="8" s="1"/>
  <c r="S246" i="8" s="1"/>
  <c r="S247" i="8" s="1"/>
  <c r="S248" i="8" s="1"/>
  <c r="S249" i="8" s="1"/>
  <c r="S250" i="8" s="1"/>
  <c r="S251" i="8" s="1"/>
  <c r="S252" i="8" s="1"/>
  <c r="S253" i="8" s="1"/>
  <c r="S254" i="8" s="1"/>
  <c r="S255" i="8" s="1"/>
  <c r="S256" i="8" s="1"/>
  <c r="S257" i="8" s="1"/>
  <c r="S258" i="8" s="1"/>
  <c r="S259" i="8" s="1"/>
  <c r="S260" i="8" s="1"/>
  <c r="S261" i="8" s="1"/>
  <c r="S262" i="8" s="1"/>
  <c r="S263" i="8" s="1"/>
  <c r="S264" i="8" s="1"/>
  <c r="S265" i="8" s="1"/>
  <c r="S266" i="8" s="1"/>
  <c r="S267" i="8" s="1"/>
  <c r="S268" i="8" s="1"/>
  <c r="S269" i="8" s="1"/>
  <c r="S270" i="8" s="1"/>
  <c r="S271" i="8" s="1"/>
  <c r="S272" i="8" s="1"/>
  <c r="S273" i="8" s="1"/>
  <c r="S274" i="8" s="1"/>
  <c r="S275" i="8" s="1"/>
  <c r="S276" i="8" s="1"/>
  <c r="S277" i="8" s="1"/>
  <c r="S278" i="8" s="1"/>
  <c r="S279" i="8" s="1"/>
  <c r="S280" i="8" s="1"/>
  <c r="S281" i="8" s="1"/>
  <c r="S282" i="8" s="1"/>
  <c r="S283" i="8" s="1"/>
  <c r="S284" i="8" s="1"/>
  <c r="S285" i="8" s="1"/>
  <c r="S286" i="8" s="1"/>
  <c r="S287" i="8" s="1"/>
  <c r="S288" i="8" s="1"/>
  <c r="S289" i="8" s="1"/>
  <c r="S290" i="8" s="1"/>
  <c r="S291" i="8" s="1"/>
  <c r="S292" i="8" s="1"/>
  <c r="S293" i="8" s="1"/>
  <c r="S294" i="8" s="1"/>
  <c r="S295" i="8" s="1"/>
  <c r="S296" i="8" s="1"/>
  <c r="S297" i="8" s="1"/>
  <c r="S298" i="8" s="1"/>
  <c r="S299" i="8" s="1"/>
  <c r="S300" i="8" s="1"/>
  <c r="S301" i="8" s="1"/>
  <c r="S302" i="8" s="1"/>
  <c r="S303" i="8" s="1"/>
  <c r="S304" i="8" s="1"/>
  <c r="S305" i="8" s="1"/>
  <c r="S306" i="8" s="1"/>
  <c r="S307" i="8" s="1"/>
  <c r="S308" i="8" s="1"/>
  <c r="S309" i="8" s="1"/>
  <c r="S310" i="8" s="1"/>
  <c r="S311" i="8" s="1"/>
  <c r="S312" i="8" s="1"/>
  <c r="S313" i="8" s="1"/>
  <c r="S314" i="8" s="1"/>
  <c r="S315" i="8" s="1"/>
  <c r="S316" i="8" s="1"/>
  <c r="S317" i="8" s="1"/>
  <c r="S318" i="8" s="1"/>
  <c r="S319" i="8" s="1"/>
  <c r="S320" i="8" s="1"/>
  <c r="S321" i="8" s="1"/>
  <c r="S322" i="8" s="1"/>
  <c r="S323" i="8" s="1"/>
  <c r="S324" i="8" s="1"/>
  <c r="S325" i="8" s="1"/>
  <c r="S326" i="8" s="1"/>
  <c r="S327" i="8" s="1"/>
  <c r="S328" i="8" s="1"/>
  <c r="S329" i="8" s="1"/>
  <c r="S330" i="8" s="1"/>
  <c r="S331" i="8" s="1"/>
  <c r="S332" i="8" s="1"/>
  <c r="S333" i="8" s="1"/>
  <c r="S334" i="8" s="1"/>
  <c r="S335" i="8" s="1"/>
  <c r="S336" i="8" s="1"/>
  <c r="S337" i="8" s="1"/>
  <c r="S338" i="8" s="1"/>
  <c r="S339" i="8" s="1"/>
  <c r="S340" i="8" s="1"/>
  <c r="S341" i="8" s="1"/>
  <c r="S342" i="8" s="1"/>
  <c r="S343" i="8" s="1"/>
  <c r="S344" i="8" s="1"/>
  <c r="S345" i="8" s="1"/>
  <c r="S346" i="8" s="1"/>
  <c r="S347" i="8" s="1"/>
  <c r="S348" i="8" s="1"/>
  <c r="S349" i="8" s="1"/>
  <c r="S350" i="8" s="1"/>
  <c r="S351" i="8" s="1"/>
  <c r="S352" i="8" s="1"/>
  <c r="S353" i="8" s="1"/>
  <c r="S354" i="8" s="1"/>
  <c r="S355" i="8" s="1"/>
  <c r="S356" i="8" s="1"/>
  <c r="S357" i="8" s="1"/>
  <c r="S358" i="8" s="1"/>
  <c r="S359" i="8" s="1"/>
  <c r="S360" i="8" s="1"/>
  <c r="S361" i="8" s="1"/>
  <c r="S362" i="8" s="1"/>
  <c r="S363" i="8" s="1"/>
  <c r="S364" i="8" s="1"/>
  <c r="S365" i="8" s="1"/>
  <c r="S366" i="8" s="1"/>
  <c r="S367" i="8" s="1"/>
  <c r="S368" i="8" s="1"/>
  <c r="S369" i="8" s="1"/>
  <c r="S370" i="8" s="1"/>
  <c r="S371" i="8" s="1"/>
  <c r="S372" i="8" s="1"/>
  <c r="S373" i="8" s="1"/>
  <c r="S374" i="8" s="1"/>
  <c r="S375" i="8" s="1"/>
  <c r="S376" i="8" s="1"/>
  <c r="S377" i="8" s="1"/>
  <c r="S378" i="8" s="1"/>
  <c r="S379" i="8" s="1"/>
  <c r="S380" i="8" s="1"/>
  <c r="S381" i="8" s="1"/>
  <c r="S382" i="8" s="1"/>
  <c r="S383" i="8" s="1"/>
  <c r="S384" i="8" s="1"/>
  <c r="S385" i="8" s="1"/>
  <c r="S386" i="8" s="1"/>
  <c r="S387" i="8" s="1"/>
  <c r="S388" i="8" s="1"/>
  <c r="S389" i="8" s="1"/>
  <c r="S390" i="8" s="1"/>
  <c r="S391" i="8" s="1"/>
  <c r="S392" i="8" s="1"/>
  <c r="S393" i="8" s="1"/>
  <c r="S394" i="8" s="1"/>
  <c r="S395" i="8" s="1"/>
  <c r="S396" i="8" s="1"/>
  <c r="S397" i="8" s="1"/>
  <c r="S398" i="8" s="1"/>
  <c r="S399" i="8" s="1"/>
  <c r="S400" i="8" s="1"/>
  <c r="S401" i="8" s="1"/>
  <c r="S402" i="8" s="1"/>
  <c r="S403" i="8" s="1"/>
  <c r="S404" i="8" s="1"/>
  <c r="S405" i="8" s="1"/>
  <c r="S406" i="8" s="1"/>
  <c r="S407" i="8" s="1"/>
  <c r="S408" i="8" s="1"/>
  <c r="S409" i="8" s="1"/>
  <c r="S410" i="8" s="1"/>
  <c r="S411" i="8" s="1"/>
  <c r="S412" i="8" s="1"/>
  <c r="S413" i="8" s="1"/>
  <c r="S414" i="8" s="1"/>
  <c r="S415" i="8" s="1"/>
  <c r="S416" i="8" s="1"/>
  <c r="S417" i="8" s="1"/>
  <c r="S418" i="8" s="1"/>
  <c r="S419" i="8" s="1"/>
  <c r="S420" i="8" s="1"/>
  <c r="S421" i="8" s="1"/>
  <c r="S422" i="8" s="1"/>
  <c r="S423" i="8" s="1"/>
  <c r="S424" i="8" s="1"/>
  <c r="S425" i="8" s="1"/>
  <c r="S426" i="8" s="1"/>
  <c r="S427" i="8" s="1"/>
  <c r="S428" i="8" s="1"/>
  <c r="S429" i="8" s="1"/>
  <c r="S430" i="8" s="1"/>
  <c r="S431" i="8" s="1"/>
  <c r="S432" i="8" s="1"/>
  <c r="S433" i="8" s="1"/>
  <c r="S434" i="8" s="1"/>
  <c r="S435" i="8" s="1"/>
  <c r="S436" i="8" s="1"/>
  <c r="S437" i="8" s="1"/>
  <c r="S438" i="8" s="1"/>
  <c r="S439" i="8" s="1"/>
  <c r="S440" i="8" s="1"/>
  <c r="T153" i="8" s="1"/>
  <c r="T154" i="8" s="1"/>
  <c r="T155" i="8" s="1"/>
  <c r="T156" i="8" s="1"/>
  <c r="T157" i="8" s="1"/>
  <c r="T158" i="8" s="1"/>
  <c r="T159" i="8" s="1"/>
  <c r="T160" i="8" s="1"/>
  <c r="T161" i="8" s="1"/>
  <c r="T162" i="8" s="1"/>
  <c r="T163" i="8" s="1"/>
  <c r="T164" i="8" s="1"/>
  <c r="T165" i="8" s="1"/>
  <c r="T166" i="8" s="1"/>
  <c r="T167" i="8" s="1"/>
  <c r="T168" i="8" s="1"/>
  <c r="T169" i="8" s="1"/>
  <c r="T170" i="8" s="1"/>
  <c r="T171" i="8" s="1"/>
  <c r="T172" i="8" s="1"/>
  <c r="T173" i="8" s="1"/>
  <c r="T174" i="8" s="1"/>
  <c r="T175" i="8" s="1"/>
  <c r="T176" i="8" s="1"/>
  <c r="T177" i="8" s="1"/>
  <c r="T178" i="8" s="1"/>
  <c r="T179" i="8" s="1"/>
  <c r="T180" i="8" s="1"/>
  <c r="T181" i="8" s="1"/>
  <c r="T182" i="8" s="1"/>
  <c r="T183" i="8" s="1"/>
  <c r="T184" i="8" s="1"/>
  <c r="T185" i="8" s="1"/>
  <c r="T186" i="8" s="1"/>
  <c r="T187" i="8" s="1"/>
  <c r="T188" i="8" s="1"/>
  <c r="T189" i="8" s="1"/>
  <c r="T190" i="8" s="1"/>
  <c r="T191" i="8" s="1"/>
  <c r="T192" i="8" s="1"/>
  <c r="T193" i="8" s="1"/>
  <c r="T194" i="8" s="1"/>
  <c r="T195" i="8" s="1"/>
  <c r="T196" i="8" s="1"/>
  <c r="T197" i="8" s="1"/>
  <c r="T198" i="8" s="1"/>
  <c r="T199" i="8" s="1"/>
  <c r="T200" i="8" s="1"/>
  <c r="T201" i="8" s="1"/>
  <c r="T202" i="8" s="1"/>
  <c r="T203" i="8" s="1"/>
  <c r="T204" i="8" s="1"/>
  <c r="T205" i="8" s="1"/>
  <c r="T206" i="8" s="1"/>
  <c r="T207" i="8" s="1"/>
  <c r="T208" i="8" s="1"/>
  <c r="T209" i="8" s="1"/>
  <c r="T210" i="8" s="1"/>
  <c r="T211" i="8" s="1"/>
  <c r="T212" i="8" s="1"/>
  <c r="T213" i="8" s="1"/>
  <c r="T214" i="8" s="1"/>
  <c r="T215" i="8" s="1"/>
  <c r="T216" i="8" s="1"/>
  <c r="T217" i="8" s="1"/>
  <c r="T218" i="8" s="1"/>
  <c r="T219" i="8" s="1"/>
  <c r="T220" i="8" s="1"/>
  <c r="T221" i="8" s="1"/>
  <c r="T222" i="8" s="1"/>
  <c r="T223" i="8" s="1"/>
  <c r="T224" i="8" s="1"/>
  <c r="T225" i="8" s="1"/>
  <c r="T226" i="8" s="1"/>
  <c r="T227" i="8" s="1"/>
  <c r="T228" i="8" s="1"/>
  <c r="T229" i="8" s="1"/>
  <c r="T230" i="8" s="1"/>
  <c r="T231" i="8" s="1"/>
  <c r="T232" i="8" s="1"/>
  <c r="T233" i="8" s="1"/>
  <c r="T234" i="8" s="1"/>
  <c r="T235" i="8" s="1"/>
  <c r="T236" i="8" s="1"/>
  <c r="T237" i="8" s="1"/>
  <c r="T238" i="8" s="1"/>
  <c r="T239" i="8" s="1"/>
  <c r="T240" i="8" s="1"/>
  <c r="T241" i="8" s="1"/>
  <c r="T242" i="8" s="1"/>
  <c r="T243" i="8" s="1"/>
  <c r="T244" i="8" s="1"/>
  <c r="T245" i="8" s="1"/>
  <c r="T246" i="8" s="1"/>
  <c r="T247" i="8" s="1"/>
  <c r="T248" i="8" s="1"/>
  <c r="T249" i="8" s="1"/>
  <c r="T250" i="8" s="1"/>
  <c r="T251" i="8" s="1"/>
  <c r="T252" i="8" s="1"/>
  <c r="T253" i="8" s="1"/>
  <c r="T254" i="8" s="1"/>
  <c r="T255" i="8" s="1"/>
  <c r="T256" i="8" s="1"/>
  <c r="T257" i="8" s="1"/>
  <c r="T258" i="8" s="1"/>
  <c r="T259" i="8" s="1"/>
  <c r="T260" i="8" s="1"/>
  <c r="T261" i="8" s="1"/>
  <c r="T262" i="8" s="1"/>
  <c r="T263" i="8" s="1"/>
  <c r="T264" i="8" s="1"/>
  <c r="T265" i="8" s="1"/>
  <c r="T266" i="8" s="1"/>
  <c r="T267" i="8" s="1"/>
  <c r="T268" i="8" s="1"/>
  <c r="T269" i="8" s="1"/>
  <c r="T270" i="8" s="1"/>
  <c r="T271" i="8" s="1"/>
  <c r="T272" i="8" s="1"/>
  <c r="T273" i="8" s="1"/>
  <c r="T274" i="8" s="1"/>
  <c r="T275" i="8" s="1"/>
  <c r="T276" i="8" s="1"/>
  <c r="T277" i="8" s="1"/>
  <c r="T278" i="8" s="1"/>
  <c r="T279" i="8" s="1"/>
  <c r="T280" i="8" s="1"/>
  <c r="T281" i="8" s="1"/>
  <c r="T282" i="8" s="1"/>
  <c r="T283" i="8" s="1"/>
  <c r="T284" i="8" s="1"/>
  <c r="T285" i="8" s="1"/>
  <c r="T286" i="8" s="1"/>
  <c r="T287" i="8" s="1"/>
  <c r="T288" i="8" s="1"/>
  <c r="T289" i="8" s="1"/>
  <c r="T290" i="8" s="1"/>
  <c r="T291" i="8" s="1"/>
  <c r="T292" i="8" s="1"/>
  <c r="T293" i="8" s="1"/>
  <c r="T294" i="8" s="1"/>
  <c r="T295" i="8" s="1"/>
  <c r="T296" i="8" s="1"/>
  <c r="T297" i="8" s="1"/>
  <c r="T298" i="8" s="1"/>
  <c r="T299" i="8" s="1"/>
  <c r="T300" i="8" s="1"/>
  <c r="T301" i="8" s="1"/>
  <c r="T302" i="8" s="1"/>
  <c r="T303" i="8" s="1"/>
  <c r="T304" i="8" s="1"/>
  <c r="T305" i="8" s="1"/>
  <c r="T306" i="8" s="1"/>
  <c r="T307" i="8" s="1"/>
  <c r="T308" i="8" s="1"/>
  <c r="T309" i="8" s="1"/>
  <c r="T310" i="8" s="1"/>
  <c r="T311" i="8" s="1"/>
  <c r="T312" i="8" s="1"/>
  <c r="T313" i="8" s="1"/>
  <c r="T314" i="8" s="1"/>
  <c r="T315" i="8" s="1"/>
  <c r="T316" i="8" s="1"/>
  <c r="T317" i="8" s="1"/>
  <c r="T318" i="8" s="1"/>
  <c r="T319" i="8" s="1"/>
  <c r="T320" i="8" s="1"/>
  <c r="T321" i="8" s="1"/>
  <c r="T322" i="8" s="1"/>
  <c r="T323" i="8" s="1"/>
  <c r="T324" i="8" s="1"/>
  <c r="T325" i="8" s="1"/>
  <c r="T326" i="8" s="1"/>
  <c r="T327" i="8" s="1"/>
  <c r="T328" i="8" s="1"/>
  <c r="T329" i="8" s="1"/>
  <c r="T330" i="8" s="1"/>
  <c r="T331" i="8" s="1"/>
  <c r="T332" i="8" s="1"/>
  <c r="T333" i="8" s="1"/>
  <c r="T334" i="8" s="1"/>
  <c r="T335" i="8" s="1"/>
  <c r="T336" i="8" s="1"/>
  <c r="T337" i="8" s="1"/>
  <c r="T338" i="8" s="1"/>
  <c r="T339" i="8" s="1"/>
  <c r="T340" i="8" s="1"/>
  <c r="T341" i="8" s="1"/>
  <c r="T342" i="8" s="1"/>
  <c r="T343" i="8" s="1"/>
  <c r="T344" i="8" s="1"/>
  <c r="T345" i="8" s="1"/>
  <c r="T346" i="8" s="1"/>
  <c r="T347" i="8" s="1"/>
  <c r="T348" i="8" s="1"/>
  <c r="T349" i="8" s="1"/>
  <c r="T350" i="8" s="1"/>
  <c r="T351" i="8" s="1"/>
  <c r="T352" i="8" s="1"/>
  <c r="T353" i="8" s="1"/>
  <c r="T354" i="8" s="1"/>
  <c r="T355" i="8" s="1"/>
  <c r="T356" i="8" s="1"/>
  <c r="T357" i="8" s="1"/>
  <c r="T358" i="8" s="1"/>
  <c r="T359" i="8" s="1"/>
  <c r="T360" i="8" s="1"/>
  <c r="T361" i="8" s="1"/>
  <c r="T362" i="8" s="1"/>
  <c r="T363" i="8" s="1"/>
  <c r="T364" i="8" s="1"/>
  <c r="T365" i="8" s="1"/>
  <c r="T366" i="8" s="1"/>
  <c r="T367" i="8" s="1"/>
  <c r="T368" i="8" s="1"/>
  <c r="T369" i="8" s="1"/>
  <c r="T370" i="8" s="1"/>
  <c r="T371" i="8" s="1"/>
  <c r="T372" i="8" s="1"/>
  <c r="T373" i="8" s="1"/>
  <c r="T374" i="8" s="1"/>
  <c r="T375" i="8" s="1"/>
  <c r="T376" i="8" s="1"/>
  <c r="T377" i="8" s="1"/>
  <c r="T378" i="8" s="1"/>
  <c r="T379" i="8" s="1"/>
  <c r="T380" i="8" s="1"/>
  <c r="T381" i="8" s="1"/>
  <c r="T382" i="8" s="1"/>
  <c r="T383" i="8" s="1"/>
  <c r="T384" i="8" s="1"/>
  <c r="T385" i="8" s="1"/>
  <c r="T386" i="8" s="1"/>
  <c r="T387" i="8" s="1"/>
  <c r="T388" i="8" s="1"/>
  <c r="T389" i="8" s="1"/>
  <c r="T390" i="8" s="1"/>
  <c r="T391" i="8" s="1"/>
  <c r="T392" i="8" s="1"/>
  <c r="T393" i="8" s="1"/>
  <c r="T394" i="8" s="1"/>
  <c r="T395" i="8" s="1"/>
  <c r="T396" i="8" s="1"/>
  <c r="T397" i="8" s="1"/>
  <c r="T398" i="8" s="1"/>
  <c r="T399" i="8" s="1"/>
  <c r="T400" i="8" s="1"/>
  <c r="T401" i="8" s="1"/>
  <c r="T402" i="8" s="1"/>
  <c r="T403" i="8" s="1"/>
  <c r="T404" i="8" s="1"/>
  <c r="T405" i="8" s="1"/>
  <c r="T406" i="8" s="1"/>
  <c r="T407" i="8" s="1"/>
  <c r="T408" i="8" s="1"/>
  <c r="T409" i="8" s="1"/>
  <c r="T410" i="8" s="1"/>
  <c r="T411" i="8" s="1"/>
  <c r="T412" i="8" s="1"/>
  <c r="T413" i="8" s="1"/>
  <c r="T414" i="8" s="1"/>
  <c r="T415" i="8" s="1"/>
  <c r="T416" i="8" s="1"/>
  <c r="T417" i="8" s="1"/>
  <c r="T418" i="8" s="1"/>
  <c r="T419" i="8" s="1"/>
  <c r="T420" i="8" s="1"/>
  <c r="T421" i="8" s="1"/>
  <c r="T422" i="8" s="1"/>
  <c r="T423" i="8" s="1"/>
  <c r="T424" i="8" s="1"/>
  <c r="T425" i="8" s="1"/>
  <c r="T426" i="8" s="1"/>
  <c r="T427" i="8" s="1"/>
  <c r="T428" i="8" s="1"/>
  <c r="T429" i="8" s="1"/>
  <c r="T430" i="8" s="1"/>
  <c r="T431" i="8" s="1"/>
  <c r="T432" i="8" s="1"/>
  <c r="T433" i="8" s="1"/>
  <c r="T434" i="8" s="1"/>
  <c r="T435" i="8" s="1"/>
  <c r="T436" i="8" s="1"/>
  <c r="T437" i="8" s="1"/>
  <c r="T438" i="8" s="1"/>
  <c r="T439" i="8" s="1"/>
  <c r="T440" i="8" s="1"/>
  <c r="U153" i="8" s="1"/>
  <c r="U154" i="8" s="1"/>
  <c r="U155" i="8" s="1"/>
  <c r="U156" i="8" s="1"/>
  <c r="U157" i="8" s="1"/>
  <c r="U158" i="8" s="1"/>
  <c r="U159" i="8" s="1"/>
  <c r="U160" i="8" s="1"/>
  <c r="U161" i="8" s="1"/>
  <c r="U162" i="8" s="1"/>
  <c r="U163" i="8" s="1"/>
  <c r="U164" i="8" s="1"/>
  <c r="U165" i="8" s="1"/>
  <c r="U166" i="8" s="1"/>
  <c r="U167" i="8" s="1"/>
  <c r="U168" i="8" s="1"/>
  <c r="U169" i="8" s="1"/>
  <c r="U170" i="8" s="1"/>
  <c r="U171" i="8" s="1"/>
  <c r="U172" i="8" s="1"/>
  <c r="U173" i="8" s="1"/>
  <c r="U174" i="8" s="1"/>
  <c r="U175" i="8" s="1"/>
  <c r="U176" i="8" s="1"/>
  <c r="U177" i="8" s="1"/>
  <c r="U178" i="8" s="1"/>
  <c r="U179" i="8" s="1"/>
  <c r="U180" i="8" s="1"/>
  <c r="U181" i="8" s="1"/>
  <c r="U182" i="8" s="1"/>
  <c r="U183" i="8" s="1"/>
  <c r="U184" i="8" s="1"/>
  <c r="U185" i="8" s="1"/>
  <c r="U186" i="8" s="1"/>
  <c r="U187" i="8" s="1"/>
  <c r="U188" i="8" s="1"/>
  <c r="U189" i="8" s="1"/>
  <c r="U190" i="8" s="1"/>
  <c r="U191" i="8" s="1"/>
  <c r="U192" i="8" s="1"/>
  <c r="U193" i="8" s="1"/>
  <c r="U194" i="8" s="1"/>
  <c r="U195" i="8" s="1"/>
  <c r="U196" i="8" s="1"/>
  <c r="U197" i="8" s="1"/>
  <c r="U198" i="8" s="1"/>
  <c r="U199" i="8" s="1"/>
  <c r="U200" i="8" s="1"/>
  <c r="U201" i="8" s="1"/>
  <c r="U202" i="8" s="1"/>
  <c r="U203" i="8" s="1"/>
  <c r="U204" i="8" s="1"/>
  <c r="U205" i="8" s="1"/>
  <c r="U206" i="8" s="1"/>
  <c r="U207" i="8" s="1"/>
  <c r="U208" i="8" s="1"/>
  <c r="U209" i="8" s="1"/>
  <c r="U210" i="8" s="1"/>
  <c r="U211" i="8" s="1"/>
  <c r="U212" i="8" s="1"/>
  <c r="U213" i="8" s="1"/>
  <c r="U214" i="8" s="1"/>
  <c r="U215" i="8" s="1"/>
  <c r="U216" i="8" s="1"/>
  <c r="U217" i="8" s="1"/>
  <c r="U218" i="8" s="1"/>
  <c r="U219" i="8" s="1"/>
  <c r="U220" i="8" s="1"/>
  <c r="U221" i="8" s="1"/>
  <c r="U222" i="8" s="1"/>
  <c r="U223" i="8" s="1"/>
  <c r="U224" i="8" s="1"/>
  <c r="U225" i="8" s="1"/>
  <c r="U226" i="8" s="1"/>
  <c r="U227" i="8" s="1"/>
  <c r="U228" i="8" s="1"/>
  <c r="U229" i="8" s="1"/>
  <c r="U230" i="8" s="1"/>
  <c r="U231" i="8" s="1"/>
  <c r="U232" i="8" s="1"/>
  <c r="U233" i="8" s="1"/>
  <c r="U234" i="8" s="1"/>
  <c r="U235" i="8" s="1"/>
  <c r="U236" i="8" s="1"/>
  <c r="U237" i="8" s="1"/>
  <c r="U238" i="8" s="1"/>
  <c r="U239" i="8" s="1"/>
  <c r="U240" i="8" s="1"/>
  <c r="U241" i="8" s="1"/>
  <c r="U242" i="8" s="1"/>
  <c r="U243" i="8" s="1"/>
  <c r="U244" i="8" s="1"/>
  <c r="U245" i="8" s="1"/>
  <c r="U246" i="8" s="1"/>
  <c r="U247" i="8" s="1"/>
  <c r="U248" i="8" s="1"/>
  <c r="U249" i="8" s="1"/>
  <c r="U250" i="8" s="1"/>
  <c r="U251" i="8" s="1"/>
  <c r="U252" i="8" s="1"/>
  <c r="U253" i="8" s="1"/>
  <c r="U254" i="8" s="1"/>
  <c r="U255" i="8" s="1"/>
  <c r="U256" i="8" s="1"/>
  <c r="U257" i="8" s="1"/>
  <c r="U258" i="8" s="1"/>
  <c r="U259" i="8" s="1"/>
  <c r="U260" i="8" s="1"/>
  <c r="U261" i="8" s="1"/>
  <c r="U262" i="8" s="1"/>
  <c r="U263" i="8" s="1"/>
  <c r="U264" i="8" s="1"/>
  <c r="U265" i="8" s="1"/>
  <c r="U266" i="8" s="1"/>
  <c r="U267" i="8" s="1"/>
  <c r="U268" i="8" s="1"/>
  <c r="U269" i="8" s="1"/>
  <c r="U270" i="8" s="1"/>
  <c r="U271" i="8" s="1"/>
  <c r="U272" i="8" s="1"/>
  <c r="U273" i="8" s="1"/>
  <c r="U274" i="8" s="1"/>
  <c r="U275" i="8" s="1"/>
  <c r="U276" i="8" s="1"/>
  <c r="U277" i="8" s="1"/>
  <c r="U278" i="8" s="1"/>
  <c r="U279" i="8" s="1"/>
  <c r="U280" i="8" s="1"/>
  <c r="U281" i="8" s="1"/>
  <c r="U282" i="8" s="1"/>
  <c r="U283" i="8" s="1"/>
  <c r="U284" i="8" s="1"/>
  <c r="U285" i="8" s="1"/>
  <c r="U286" i="8" s="1"/>
  <c r="U287" i="8" s="1"/>
  <c r="U288" i="8" s="1"/>
  <c r="U289" i="8" s="1"/>
  <c r="U290" i="8" s="1"/>
  <c r="U291" i="8" s="1"/>
  <c r="U292" i="8" s="1"/>
  <c r="U293" i="8" s="1"/>
  <c r="U294" i="8" s="1"/>
  <c r="U295" i="8" s="1"/>
  <c r="U296" i="8" s="1"/>
  <c r="U297" i="8" s="1"/>
  <c r="U298" i="8" s="1"/>
  <c r="U299" i="8" s="1"/>
  <c r="U300" i="8" s="1"/>
  <c r="U301" i="8" s="1"/>
  <c r="U302" i="8" s="1"/>
  <c r="U303" i="8" s="1"/>
  <c r="U304" i="8" s="1"/>
  <c r="U305" i="8" s="1"/>
  <c r="U306" i="8" s="1"/>
  <c r="U307" i="8" s="1"/>
  <c r="U308" i="8" s="1"/>
  <c r="U309" i="8" s="1"/>
  <c r="U310" i="8" s="1"/>
  <c r="U311" i="8" s="1"/>
  <c r="U312" i="8" s="1"/>
  <c r="U313" i="8" s="1"/>
  <c r="U314" i="8" s="1"/>
  <c r="U315" i="8" s="1"/>
  <c r="U316" i="8" s="1"/>
  <c r="U317" i="8" s="1"/>
  <c r="U318" i="8" s="1"/>
  <c r="U319" i="8" s="1"/>
  <c r="U320" i="8" s="1"/>
  <c r="U321" i="8" s="1"/>
  <c r="U322" i="8" s="1"/>
  <c r="U323" i="8" s="1"/>
  <c r="U324" i="8" s="1"/>
  <c r="U325" i="8" s="1"/>
  <c r="U326" i="8" s="1"/>
  <c r="U327" i="8" s="1"/>
  <c r="U328" i="8" s="1"/>
  <c r="U329" i="8" s="1"/>
  <c r="U330" i="8" s="1"/>
  <c r="U331" i="8" s="1"/>
  <c r="U332" i="8" s="1"/>
  <c r="U333" i="8" s="1"/>
  <c r="U334" i="8" s="1"/>
  <c r="U335" i="8" s="1"/>
  <c r="U336" i="8" s="1"/>
  <c r="U337" i="8" s="1"/>
  <c r="U338" i="8" s="1"/>
  <c r="U339" i="8" s="1"/>
  <c r="U340" i="8" s="1"/>
  <c r="U341" i="8" s="1"/>
  <c r="U342" i="8" s="1"/>
  <c r="U343" i="8" s="1"/>
  <c r="U344" i="8" s="1"/>
  <c r="U345" i="8" s="1"/>
  <c r="U346" i="8" s="1"/>
  <c r="U347" i="8" s="1"/>
  <c r="U348" i="8" s="1"/>
  <c r="U349" i="8" s="1"/>
  <c r="U350" i="8" s="1"/>
  <c r="U351" i="8" s="1"/>
  <c r="U352" i="8" s="1"/>
  <c r="U353" i="8" s="1"/>
  <c r="U354" i="8" s="1"/>
  <c r="U355" i="8" s="1"/>
  <c r="U356" i="8" s="1"/>
  <c r="U357" i="8" s="1"/>
  <c r="U358" i="8" s="1"/>
  <c r="U359" i="8" s="1"/>
  <c r="U360" i="8" s="1"/>
  <c r="U361" i="8" s="1"/>
  <c r="U362" i="8" s="1"/>
  <c r="U363" i="8" s="1"/>
  <c r="U364" i="8" s="1"/>
  <c r="U365" i="8" s="1"/>
  <c r="U366" i="8" s="1"/>
  <c r="U367" i="8" s="1"/>
  <c r="U368" i="8" s="1"/>
  <c r="U369" i="8" s="1"/>
  <c r="U370" i="8" s="1"/>
  <c r="U371" i="8" s="1"/>
  <c r="U372" i="8" s="1"/>
  <c r="U373" i="8" s="1"/>
  <c r="U374" i="8" s="1"/>
  <c r="U375" i="8" s="1"/>
  <c r="U376" i="8" s="1"/>
  <c r="U377" i="8" s="1"/>
  <c r="U378" i="8" s="1"/>
  <c r="U379" i="8" s="1"/>
  <c r="U380" i="8" s="1"/>
  <c r="U381" i="8" s="1"/>
  <c r="U382" i="8" s="1"/>
  <c r="U383" i="8" s="1"/>
  <c r="U384" i="8" s="1"/>
  <c r="U385" i="8" s="1"/>
  <c r="U386" i="8" s="1"/>
  <c r="U387" i="8" s="1"/>
  <c r="U388" i="8" s="1"/>
  <c r="U389" i="8" s="1"/>
  <c r="U390" i="8" s="1"/>
  <c r="U391" i="8" s="1"/>
  <c r="U392" i="8" s="1"/>
  <c r="U393" i="8" s="1"/>
  <c r="U394" i="8" s="1"/>
  <c r="U395" i="8" s="1"/>
  <c r="U396" i="8" s="1"/>
  <c r="U397" i="8" s="1"/>
  <c r="U398" i="8" s="1"/>
  <c r="U399" i="8" s="1"/>
  <c r="U400" i="8" s="1"/>
  <c r="U401" i="8" s="1"/>
  <c r="U402" i="8" s="1"/>
  <c r="U403" i="8" s="1"/>
  <c r="U404" i="8" s="1"/>
  <c r="U405" i="8" s="1"/>
  <c r="U406" i="8" s="1"/>
  <c r="U407" i="8" s="1"/>
  <c r="U408" i="8" s="1"/>
  <c r="U409" i="8" s="1"/>
  <c r="U410" i="8" s="1"/>
  <c r="U411" i="8" s="1"/>
  <c r="U412" i="8" s="1"/>
  <c r="U413" i="8" s="1"/>
  <c r="U414" i="8" s="1"/>
  <c r="U415" i="8" s="1"/>
  <c r="U416" i="8" s="1"/>
  <c r="U417" i="8" s="1"/>
  <c r="U418" i="8" s="1"/>
  <c r="U419" i="8" s="1"/>
  <c r="U420" i="8" s="1"/>
  <c r="U421" i="8" s="1"/>
  <c r="U422" i="8" s="1"/>
  <c r="U423" i="8" s="1"/>
  <c r="U424" i="8" s="1"/>
  <c r="U425" i="8" s="1"/>
  <c r="U426" i="8" s="1"/>
  <c r="U427" i="8" s="1"/>
  <c r="U428" i="8" s="1"/>
  <c r="U429" i="8" s="1"/>
  <c r="U430" i="8" s="1"/>
  <c r="U431" i="8" s="1"/>
  <c r="U432" i="8" s="1"/>
  <c r="U433" i="8" s="1"/>
  <c r="U434" i="8" s="1"/>
  <c r="U435" i="8" s="1"/>
  <c r="U436" i="8" s="1"/>
  <c r="U437" i="8" s="1"/>
  <c r="U438" i="8" s="1"/>
  <c r="U439" i="8" s="1"/>
  <c r="U440" i="8" s="1"/>
  <c r="V153" i="8" s="1"/>
  <c r="V154" i="8" s="1"/>
  <c r="V155" i="8" s="1"/>
  <c r="V156" i="8" s="1"/>
  <c r="V157" i="8" s="1"/>
  <c r="V158" i="8" s="1"/>
  <c r="V159" i="8" s="1"/>
  <c r="V160" i="8" s="1"/>
  <c r="V161" i="8" s="1"/>
  <c r="V162" i="8" s="1"/>
  <c r="V163" i="8" s="1"/>
  <c r="V164" i="8" s="1"/>
  <c r="V165" i="8" s="1"/>
  <c r="V166" i="8" s="1"/>
  <c r="V167" i="8" s="1"/>
  <c r="V168" i="8" s="1"/>
  <c r="V169" i="8" s="1"/>
  <c r="V170" i="8" s="1"/>
  <c r="V171" i="8" s="1"/>
  <c r="V172" i="8" s="1"/>
  <c r="V173" i="8" s="1"/>
  <c r="V174" i="8" s="1"/>
  <c r="V175" i="8" s="1"/>
  <c r="V176" i="8" s="1"/>
  <c r="V177" i="8" s="1"/>
  <c r="V178" i="8" s="1"/>
  <c r="V179" i="8" s="1"/>
  <c r="V180" i="8" s="1"/>
  <c r="V181" i="8" s="1"/>
  <c r="V182" i="8" s="1"/>
  <c r="V183" i="8" s="1"/>
  <c r="V184" i="8" s="1"/>
  <c r="V185" i="8" s="1"/>
  <c r="V186" i="8" s="1"/>
  <c r="V187" i="8" s="1"/>
  <c r="V188" i="8" s="1"/>
  <c r="V189" i="8" s="1"/>
  <c r="V190" i="8" s="1"/>
  <c r="V191" i="8" s="1"/>
  <c r="V192" i="8" s="1"/>
  <c r="V193" i="8" s="1"/>
  <c r="V194" i="8" s="1"/>
  <c r="V195" i="8" s="1"/>
  <c r="V196" i="8" s="1"/>
  <c r="V197" i="8" s="1"/>
  <c r="V198" i="8" s="1"/>
  <c r="V199" i="8" s="1"/>
  <c r="V200" i="8" s="1"/>
  <c r="V201" i="8" s="1"/>
  <c r="V202" i="8" s="1"/>
  <c r="V203" i="8" s="1"/>
  <c r="V204" i="8" s="1"/>
  <c r="V205" i="8" s="1"/>
  <c r="V206" i="8" s="1"/>
  <c r="V207" i="8" s="1"/>
  <c r="V208" i="8" s="1"/>
  <c r="V209" i="8" s="1"/>
  <c r="V210" i="8" s="1"/>
  <c r="V211" i="8" s="1"/>
  <c r="V212" i="8" s="1"/>
  <c r="V213" i="8" s="1"/>
  <c r="V214" i="8" s="1"/>
  <c r="V215" i="8" s="1"/>
  <c r="V216" i="8" s="1"/>
  <c r="V217" i="8" s="1"/>
  <c r="V218" i="8" s="1"/>
  <c r="V219" i="8" s="1"/>
  <c r="V220" i="8" s="1"/>
  <c r="V221" i="8" s="1"/>
  <c r="V222" i="8" s="1"/>
  <c r="V223" i="8" s="1"/>
  <c r="V224" i="8" s="1"/>
  <c r="V225" i="8" s="1"/>
  <c r="V226" i="8" s="1"/>
  <c r="V227" i="8" s="1"/>
  <c r="V228" i="8" s="1"/>
  <c r="V229" i="8" s="1"/>
  <c r="V230" i="8" s="1"/>
  <c r="V231" i="8" s="1"/>
  <c r="V232" i="8" s="1"/>
  <c r="V233" i="8" s="1"/>
  <c r="V234" i="8" s="1"/>
  <c r="V235" i="8" s="1"/>
  <c r="V236" i="8" s="1"/>
  <c r="V237" i="8" s="1"/>
  <c r="V238" i="8" s="1"/>
  <c r="V239" i="8" s="1"/>
  <c r="V240" i="8" s="1"/>
  <c r="V241" i="8" s="1"/>
  <c r="V242" i="8" s="1"/>
  <c r="V243" i="8" s="1"/>
  <c r="V244" i="8" s="1"/>
  <c r="V245" i="8" s="1"/>
  <c r="V246" i="8" s="1"/>
  <c r="V247" i="8" s="1"/>
  <c r="V248" i="8" s="1"/>
  <c r="V249" i="8" s="1"/>
  <c r="V250" i="8" s="1"/>
  <c r="V251" i="8" s="1"/>
  <c r="V252" i="8" s="1"/>
  <c r="V253" i="8" s="1"/>
  <c r="V254" i="8" s="1"/>
  <c r="V255" i="8" s="1"/>
  <c r="V256" i="8" s="1"/>
  <c r="V257" i="8" s="1"/>
  <c r="V258" i="8" s="1"/>
  <c r="V259" i="8" s="1"/>
  <c r="V260" i="8" s="1"/>
  <c r="V261" i="8" s="1"/>
  <c r="V262" i="8" s="1"/>
  <c r="V263" i="8" s="1"/>
  <c r="V264" i="8" s="1"/>
  <c r="V265" i="8" s="1"/>
  <c r="V266" i="8" s="1"/>
  <c r="V267" i="8" s="1"/>
  <c r="V268" i="8" s="1"/>
  <c r="V269" i="8" s="1"/>
  <c r="V270" i="8" s="1"/>
  <c r="V271" i="8" s="1"/>
  <c r="V272" i="8" s="1"/>
  <c r="V273" i="8" s="1"/>
  <c r="V274" i="8" s="1"/>
  <c r="V275" i="8" s="1"/>
  <c r="V276" i="8" s="1"/>
  <c r="V277" i="8" s="1"/>
  <c r="V278" i="8" s="1"/>
  <c r="V279" i="8" s="1"/>
  <c r="V280" i="8" s="1"/>
  <c r="V281" i="8" s="1"/>
  <c r="V282" i="8" s="1"/>
  <c r="V283" i="8" s="1"/>
  <c r="V284" i="8" s="1"/>
  <c r="V285" i="8" s="1"/>
  <c r="V286" i="8" s="1"/>
  <c r="V287" i="8" s="1"/>
  <c r="V288" i="8" s="1"/>
  <c r="V289" i="8" s="1"/>
  <c r="V290" i="8" s="1"/>
  <c r="V291" i="8" s="1"/>
  <c r="V292" i="8" s="1"/>
  <c r="V293" i="8" s="1"/>
  <c r="V294" i="8" s="1"/>
  <c r="V295" i="8" s="1"/>
  <c r="V296" i="8" s="1"/>
  <c r="V297" i="8" s="1"/>
  <c r="V298" i="8" s="1"/>
  <c r="V299" i="8" s="1"/>
  <c r="V300" i="8" s="1"/>
  <c r="V301" i="8" s="1"/>
  <c r="V302" i="8" s="1"/>
  <c r="V303" i="8" s="1"/>
  <c r="V304" i="8" s="1"/>
  <c r="V305" i="8" s="1"/>
  <c r="V306" i="8" s="1"/>
  <c r="V307" i="8" s="1"/>
  <c r="V308" i="8" s="1"/>
  <c r="V309" i="8" s="1"/>
  <c r="V310" i="8" s="1"/>
  <c r="V311" i="8" s="1"/>
  <c r="V312" i="8" s="1"/>
  <c r="V313" i="8" s="1"/>
  <c r="V314" i="8" s="1"/>
  <c r="V315" i="8" s="1"/>
  <c r="V316" i="8" s="1"/>
  <c r="V317" i="8" s="1"/>
  <c r="V318" i="8" s="1"/>
  <c r="V319" i="8" s="1"/>
  <c r="V320" i="8" s="1"/>
  <c r="V321" i="8" s="1"/>
  <c r="V322" i="8" s="1"/>
  <c r="V323" i="8" s="1"/>
  <c r="V324" i="8" s="1"/>
  <c r="V325" i="8" s="1"/>
  <c r="V326" i="8" s="1"/>
  <c r="V327" i="8" s="1"/>
  <c r="V328" i="8" s="1"/>
  <c r="V329" i="8" s="1"/>
  <c r="V330" i="8" s="1"/>
  <c r="V331" i="8" s="1"/>
  <c r="V332" i="8" s="1"/>
  <c r="V333" i="8" s="1"/>
  <c r="V334" i="8" s="1"/>
  <c r="V335" i="8" s="1"/>
  <c r="V336" i="8" s="1"/>
  <c r="V337" i="8" s="1"/>
  <c r="V338" i="8" s="1"/>
  <c r="V339" i="8" s="1"/>
  <c r="V340" i="8" s="1"/>
  <c r="V341" i="8" s="1"/>
  <c r="V342" i="8" s="1"/>
  <c r="V343" i="8" s="1"/>
  <c r="V344" i="8" s="1"/>
  <c r="V345" i="8" s="1"/>
  <c r="V346" i="8" s="1"/>
  <c r="V347" i="8" s="1"/>
  <c r="V348" i="8" s="1"/>
  <c r="V349" i="8" s="1"/>
  <c r="V350" i="8" s="1"/>
  <c r="V351" i="8" s="1"/>
  <c r="V352" i="8" s="1"/>
  <c r="V353" i="8" s="1"/>
  <c r="V354" i="8" s="1"/>
  <c r="V355" i="8" s="1"/>
  <c r="V356" i="8" s="1"/>
  <c r="V357" i="8" s="1"/>
  <c r="V358" i="8" s="1"/>
  <c r="V359" i="8" s="1"/>
  <c r="V360" i="8" s="1"/>
  <c r="V361" i="8" s="1"/>
  <c r="V362" i="8" s="1"/>
  <c r="V363" i="8" s="1"/>
  <c r="V364" i="8" s="1"/>
  <c r="V365" i="8" s="1"/>
  <c r="V366" i="8" s="1"/>
  <c r="V367" i="8" s="1"/>
  <c r="V368" i="8" s="1"/>
  <c r="V369" i="8" s="1"/>
  <c r="V370" i="8" s="1"/>
  <c r="V371" i="8" s="1"/>
  <c r="V372" i="8" s="1"/>
  <c r="V373" i="8" s="1"/>
  <c r="V374" i="8" s="1"/>
  <c r="V375" i="8" s="1"/>
  <c r="V376" i="8" s="1"/>
  <c r="V377" i="8" s="1"/>
  <c r="V378" i="8" s="1"/>
  <c r="V379" i="8" s="1"/>
  <c r="V380" i="8" s="1"/>
  <c r="V381" i="8" s="1"/>
  <c r="V382" i="8" s="1"/>
  <c r="V383" i="8" s="1"/>
  <c r="V384" i="8" s="1"/>
  <c r="V385" i="8" s="1"/>
  <c r="V386" i="8" s="1"/>
  <c r="V387" i="8" s="1"/>
  <c r="V388" i="8" s="1"/>
  <c r="V389" i="8" s="1"/>
  <c r="V390" i="8" s="1"/>
  <c r="V391" i="8" s="1"/>
  <c r="V392" i="8" s="1"/>
  <c r="V393" i="8" s="1"/>
  <c r="V394" i="8" s="1"/>
  <c r="V395" i="8" s="1"/>
  <c r="V396" i="8" s="1"/>
  <c r="V397" i="8" s="1"/>
  <c r="V398" i="8" s="1"/>
  <c r="V399" i="8" s="1"/>
  <c r="V400" i="8" s="1"/>
  <c r="V401" i="8" s="1"/>
  <c r="V402" i="8" s="1"/>
  <c r="V403" i="8" s="1"/>
  <c r="V404" i="8" s="1"/>
  <c r="V405" i="8" s="1"/>
  <c r="V406" i="8" s="1"/>
  <c r="V407" i="8" s="1"/>
  <c r="V408" i="8" s="1"/>
  <c r="V409" i="8" s="1"/>
  <c r="V410" i="8" s="1"/>
  <c r="V411" i="8" s="1"/>
  <c r="V412" i="8" s="1"/>
  <c r="V413" i="8" s="1"/>
  <c r="V414" i="8" s="1"/>
  <c r="V415" i="8" s="1"/>
  <c r="V416" i="8" s="1"/>
  <c r="V417" i="8" s="1"/>
  <c r="V418" i="8" s="1"/>
  <c r="V419" i="8" s="1"/>
  <c r="V420" i="8" s="1"/>
  <c r="V421" i="8" s="1"/>
  <c r="V422" i="8" s="1"/>
  <c r="V423" i="8" s="1"/>
  <c r="V424" i="8" s="1"/>
  <c r="V425" i="8" s="1"/>
  <c r="V426" i="8" s="1"/>
  <c r="V427" i="8" s="1"/>
  <c r="V428" i="8" s="1"/>
  <c r="V429" i="8" s="1"/>
  <c r="V430" i="8" s="1"/>
  <c r="V431" i="8" s="1"/>
  <c r="V432" i="8" s="1"/>
  <c r="V433" i="8" s="1"/>
  <c r="V434" i="8" s="1"/>
  <c r="V435" i="8" s="1"/>
  <c r="V436" i="8" s="1"/>
  <c r="V437" i="8" s="1"/>
  <c r="V438" i="8" s="1"/>
  <c r="V439" i="8" s="1"/>
  <c r="V440" i="8" s="1"/>
  <c r="W153" i="8" s="1"/>
  <c r="W154" i="8" s="1"/>
  <c r="W155" i="8" s="1"/>
  <c r="W156" i="8" s="1"/>
  <c r="W157" i="8" s="1"/>
  <c r="W158" i="8" s="1"/>
  <c r="W159" i="8" s="1"/>
  <c r="W160" i="8" s="1"/>
  <c r="W161" i="8" s="1"/>
  <c r="W162" i="8" s="1"/>
  <c r="W163" i="8" s="1"/>
  <c r="W164" i="8" s="1"/>
  <c r="W165" i="8" s="1"/>
  <c r="W166" i="8" s="1"/>
  <c r="W167" i="8" s="1"/>
  <c r="W168" i="8" s="1"/>
  <c r="W169" i="8" s="1"/>
  <c r="W170" i="8" s="1"/>
  <c r="W171" i="8" s="1"/>
  <c r="W172" i="8" s="1"/>
  <c r="W173" i="8" s="1"/>
  <c r="W174" i="8" s="1"/>
  <c r="W175" i="8" s="1"/>
  <c r="W176" i="8" s="1"/>
  <c r="W177" i="8" s="1"/>
  <c r="W178" i="8" s="1"/>
  <c r="W179" i="8" s="1"/>
  <c r="W180" i="8" s="1"/>
  <c r="W181" i="8" s="1"/>
  <c r="W182" i="8" s="1"/>
  <c r="W183" i="8" s="1"/>
  <c r="W184" i="8" s="1"/>
  <c r="W185" i="8" s="1"/>
  <c r="W186" i="8" s="1"/>
  <c r="W187" i="8" s="1"/>
  <c r="W188" i="8" s="1"/>
  <c r="W189" i="8" s="1"/>
  <c r="W190" i="8" s="1"/>
  <c r="W191" i="8" s="1"/>
  <c r="W192" i="8" s="1"/>
  <c r="W193" i="8" s="1"/>
  <c r="W194" i="8" s="1"/>
  <c r="W195" i="8" s="1"/>
  <c r="W196" i="8" s="1"/>
  <c r="W197" i="8" s="1"/>
  <c r="W198" i="8" s="1"/>
  <c r="W199" i="8" s="1"/>
  <c r="W200" i="8" s="1"/>
  <c r="W201" i="8" s="1"/>
  <c r="W202" i="8" s="1"/>
  <c r="W203" i="8" s="1"/>
  <c r="W204" i="8" s="1"/>
  <c r="W205" i="8" s="1"/>
  <c r="W206" i="8" s="1"/>
  <c r="W207" i="8" s="1"/>
  <c r="W208" i="8" s="1"/>
  <c r="W209" i="8" s="1"/>
  <c r="W210" i="8" s="1"/>
  <c r="W211" i="8" s="1"/>
  <c r="W212" i="8" s="1"/>
  <c r="W213" i="8" s="1"/>
  <c r="W214" i="8" s="1"/>
  <c r="W215" i="8" s="1"/>
  <c r="W216" i="8" s="1"/>
  <c r="W217" i="8" s="1"/>
  <c r="W218" i="8" s="1"/>
  <c r="W219" i="8" s="1"/>
  <c r="W220" i="8" s="1"/>
  <c r="W221" i="8" s="1"/>
  <c r="W222" i="8" s="1"/>
  <c r="W223" i="8" s="1"/>
  <c r="W224" i="8" s="1"/>
  <c r="W225" i="8" s="1"/>
  <c r="W226" i="8" s="1"/>
  <c r="W227" i="8" s="1"/>
  <c r="W228" i="8" s="1"/>
  <c r="W229" i="8" s="1"/>
  <c r="W230" i="8" s="1"/>
  <c r="W231" i="8" s="1"/>
  <c r="W232" i="8" s="1"/>
  <c r="W233" i="8" s="1"/>
  <c r="W234" i="8" s="1"/>
  <c r="W235" i="8" s="1"/>
  <c r="W236" i="8" s="1"/>
  <c r="W237" i="8" s="1"/>
  <c r="W238" i="8" s="1"/>
  <c r="W239" i="8" s="1"/>
  <c r="W240" i="8" s="1"/>
  <c r="W241" i="8" s="1"/>
  <c r="W242" i="8" s="1"/>
  <c r="W243" i="8" s="1"/>
  <c r="W244" i="8" s="1"/>
  <c r="W245" i="8" s="1"/>
  <c r="W246" i="8" s="1"/>
  <c r="W247" i="8" s="1"/>
  <c r="W248" i="8" s="1"/>
  <c r="W249" i="8" s="1"/>
  <c r="W250" i="8" s="1"/>
  <c r="W251" i="8" s="1"/>
  <c r="W252" i="8" s="1"/>
  <c r="W253" i="8" s="1"/>
  <c r="W254" i="8" s="1"/>
  <c r="W255" i="8" s="1"/>
  <c r="W256" i="8" s="1"/>
  <c r="W257" i="8" s="1"/>
  <c r="W258" i="8" s="1"/>
  <c r="W259" i="8" s="1"/>
  <c r="W260" i="8" s="1"/>
  <c r="W261" i="8" s="1"/>
  <c r="W262" i="8" s="1"/>
  <c r="W263" i="8" s="1"/>
  <c r="W264" i="8" s="1"/>
  <c r="W265" i="8" s="1"/>
  <c r="W266" i="8" s="1"/>
  <c r="W267" i="8" s="1"/>
  <c r="W268" i="8" s="1"/>
  <c r="W269" i="8" s="1"/>
  <c r="W270" i="8" s="1"/>
  <c r="W271" i="8" s="1"/>
  <c r="W272" i="8" s="1"/>
  <c r="W273" i="8" s="1"/>
  <c r="W274" i="8" s="1"/>
  <c r="W275" i="8" s="1"/>
  <c r="W276" i="8" s="1"/>
  <c r="W277" i="8" s="1"/>
  <c r="W278" i="8" s="1"/>
  <c r="W279" i="8" s="1"/>
  <c r="W280" i="8" s="1"/>
  <c r="W281" i="8" s="1"/>
  <c r="W282" i="8" s="1"/>
  <c r="W283" i="8" s="1"/>
  <c r="W284" i="8" s="1"/>
  <c r="W285" i="8" s="1"/>
  <c r="W286" i="8" s="1"/>
  <c r="W287" i="8" s="1"/>
  <c r="W288" i="8" s="1"/>
  <c r="W289" i="8" s="1"/>
  <c r="W290" i="8" s="1"/>
  <c r="W291" i="8" s="1"/>
  <c r="W292" i="8" s="1"/>
  <c r="W293" i="8" s="1"/>
  <c r="W294" i="8" s="1"/>
  <c r="W295" i="8" s="1"/>
  <c r="W296" i="8" s="1"/>
  <c r="W297" i="8" s="1"/>
  <c r="W298" i="8" s="1"/>
  <c r="W299" i="8" s="1"/>
  <c r="W300" i="8" s="1"/>
  <c r="W301" i="8" s="1"/>
  <c r="W302" i="8" s="1"/>
  <c r="W303" i="8" s="1"/>
  <c r="W304" i="8" s="1"/>
  <c r="W305" i="8" s="1"/>
  <c r="W306" i="8" s="1"/>
  <c r="W307" i="8" s="1"/>
  <c r="W308" i="8" s="1"/>
  <c r="W309" i="8" s="1"/>
  <c r="W310" i="8" s="1"/>
  <c r="W311" i="8" s="1"/>
  <c r="W312" i="8" s="1"/>
  <c r="W313" i="8" s="1"/>
  <c r="W314" i="8" s="1"/>
  <c r="W315" i="8" s="1"/>
  <c r="W316" i="8" s="1"/>
  <c r="W317" i="8" s="1"/>
  <c r="W318" i="8" s="1"/>
  <c r="W319" i="8" s="1"/>
  <c r="W320" i="8" s="1"/>
  <c r="W321" i="8" s="1"/>
  <c r="W322" i="8" s="1"/>
  <c r="W323" i="8" s="1"/>
  <c r="W324" i="8" s="1"/>
  <c r="W325" i="8" s="1"/>
  <c r="W326" i="8" s="1"/>
  <c r="W327" i="8" s="1"/>
  <c r="W328" i="8" s="1"/>
  <c r="W329" i="8" s="1"/>
  <c r="W330" i="8" s="1"/>
  <c r="W331" i="8" s="1"/>
  <c r="W332" i="8" s="1"/>
  <c r="W333" i="8" s="1"/>
  <c r="W334" i="8" s="1"/>
  <c r="W335" i="8" s="1"/>
  <c r="W336" i="8" s="1"/>
  <c r="W337" i="8" s="1"/>
  <c r="W338" i="8" s="1"/>
  <c r="W339" i="8" s="1"/>
  <c r="W340" i="8" s="1"/>
  <c r="W341" i="8" s="1"/>
  <c r="W342" i="8" s="1"/>
  <c r="W343" i="8" s="1"/>
  <c r="W344" i="8" s="1"/>
  <c r="W345" i="8" s="1"/>
  <c r="W346" i="8" s="1"/>
  <c r="W347" i="8" s="1"/>
  <c r="W348" i="8" s="1"/>
  <c r="W349" i="8" s="1"/>
  <c r="W350" i="8" s="1"/>
  <c r="W351" i="8" s="1"/>
  <c r="W352" i="8" s="1"/>
  <c r="W353" i="8" s="1"/>
  <c r="W354" i="8" s="1"/>
  <c r="W355" i="8" s="1"/>
  <c r="W356" i="8" s="1"/>
  <c r="W357" i="8" s="1"/>
  <c r="W358" i="8" s="1"/>
  <c r="W359" i="8" s="1"/>
  <c r="W360" i="8" s="1"/>
  <c r="W361" i="8" s="1"/>
  <c r="W362" i="8" s="1"/>
  <c r="W363" i="8" s="1"/>
  <c r="W364" i="8" s="1"/>
  <c r="W365" i="8" s="1"/>
  <c r="W366" i="8" s="1"/>
  <c r="W367" i="8" s="1"/>
  <c r="W368" i="8" s="1"/>
  <c r="W369" i="8" s="1"/>
  <c r="W370" i="8" s="1"/>
  <c r="W371" i="8" s="1"/>
  <c r="W372" i="8" s="1"/>
  <c r="W373" i="8" s="1"/>
  <c r="W374" i="8" s="1"/>
  <c r="W375" i="8" s="1"/>
  <c r="W376" i="8" s="1"/>
  <c r="W377" i="8" s="1"/>
  <c r="W378" i="8" s="1"/>
  <c r="W379" i="8" s="1"/>
  <c r="W380" i="8" s="1"/>
  <c r="W381" i="8" s="1"/>
  <c r="W382" i="8" s="1"/>
  <c r="W383" i="8" s="1"/>
  <c r="W384" i="8" s="1"/>
  <c r="W385" i="8" s="1"/>
  <c r="W386" i="8" s="1"/>
  <c r="W387" i="8" s="1"/>
  <c r="W388" i="8" s="1"/>
  <c r="W389" i="8" s="1"/>
  <c r="W390" i="8" s="1"/>
  <c r="W391" i="8" s="1"/>
  <c r="W392" i="8" s="1"/>
  <c r="W393" i="8" s="1"/>
  <c r="W394" i="8" s="1"/>
  <c r="W395" i="8" s="1"/>
  <c r="W396" i="8" s="1"/>
  <c r="W397" i="8" s="1"/>
  <c r="W398" i="8" s="1"/>
  <c r="W399" i="8" s="1"/>
  <c r="W400" i="8" s="1"/>
  <c r="W401" i="8" s="1"/>
  <c r="W402" i="8" s="1"/>
  <c r="W403" i="8" s="1"/>
  <c r="W404" i="8" s="1"/>
  <c r="W405" i="8" s="1"/>
  <c r="W406" i="8" s="1"/>
  <c r="W407" i="8" s="1"/>
  <c r="W408" i="8" s="1"/>
  <c r="W409" i="8" s="1"/>
  <c r="W410" i="8" s="1"/>
  <c r="W411" i="8" s="1"/>
  <c r="W412" i="8" s="1"/>
  <c r="W413" i="8" s="1"/>
  <c r="W414" i="8" s="1"/>
  <c r="W415" i="8" s="1"/>
  <c r="W416" i="8" s="1"/>
  <c r="W417" i="8" s="1"/>
  <c r="W418" i="8" s="1"/>
  <c r="W419" i="8" s="1"/>
  <c r="W420" i="8" s="1"/>
  <c r="W421" i="8" s="1"/>
  <c r="W422" i="8" s="1"/>
  <c r="W423" i="8" s="1"/>
  <c r="W424" i="8" s="1"/>
  <c r="W425" i="8" s="1"/>
  <c r="W426" i="8" s="1"/>
  <c r="W427" i="8" s="1"/>
  <c r="W428" i="8" s="1"/>
  <c r="W429" i="8" s="1"/>
  <c r="W430" i="8" s="1"/>
  <c r="W431" i="8" s="1"/>
  <c r="W432" i="8" s="1"/>
  <c r="W433" i="8" s="1"/>
  <c r="W434" i="8" s="1"/>
  <c r="W435" i="8" s="1"/>
  <c r="W436" i="8" s="1"/>
  <c r="W437" i="8" s="1"/>
  <c r="W438" i="8" s="1"/>
  <c r="W439" i="8" s="1"/>
  <c r="W440" i="8" s="1"/>
  <c r="X153" i="8" s="1"/>
  <c r="X154" i="8" s="1"/>
  <c r="X155" i="8" s="1"/>
  <c r="X156" i="8" s="1"/>
  <c r="X157" i="8" s="1"/>
  <c r="X158" i="8" s="1"/>
  <c r="X159" i="8" s="1"/>
  <c r="X160" i="8" s="1"/>
  <c r="X161" i="8" s="1"/>
  <c r="X162" i="8" s="1"/>
  <c r="X163" i="8" s="1"/>
  <c r="X164" i="8" s="1"/>
  <c r="X165" i="8" s="1"/>
  <c r="X166" i="8" s="1"/>
  <c r="X167" i="8" s="1"/>
  <c r="X168" i="8" s="1"/>
  <c r="X169" i="8" s="1"/>
  <c r="X170" i="8" s="1"/>
  <c r="X171" i="8" s="1"/>
  <c r="X172" i="8" s="1"/>
  <c r="X173" i="8" s="1"/>
  <c r="X174" i="8" s="1"/>
  <c r="X175" i="8" s="1"/>
  <c r="X176" i="8" s="1"/>
  <c r="X177" i="8" s="1"/>
  <c r="X178" i="8" s="1"/>
  <c r="X179" i="8" s="1"/>
  <c r="X180" i="8" s="1"/>
  <c r="X181" i="8" s="1"/>
  <c r="X182" i="8" s="1"/>
  <c r="X183" i="8" s="1"/>
  <c r="X184" i="8" s="1"/>
  <c r="X185" i="8" s="1"/>
  <c r="X186" i="8" s="1"/>
  <c r="X187" i="8" s="1"/>
  <c r="X188" i="8" s="1"/>
  <c r="X189" i="8" s="1"/>
  <c r="X190" i="8" s="1"/>
  <c r="X191" i="8" s="1"/>
  <c r="X192" i="8" s="1"/>
  <c r="X193" i="8" s="1"/>
  <c r="X194" i="8" s="1"/>
  <c r="X195" i="8" s="1"/>
  <c r="X196" i="8" s="1"/>
  <c r="X197" i="8" s="1"/>
  <c r="X198" i="8" s="1"/>
  <c r="X199" i="8" s="1"/>
  <c r="X200" i="8" s="1"/>
  <c r="X201" i="8" s="1"/>
  <c r="X202" i="8" s="1"/>
  <c r="X203" i="8" s="1"/>
  <c r="X204" i="8" s="1"/>
  <c r="X205" i="8" s="1"/>
  <c r="X206" i="8" s="1"/>
  <c r="X207" i="8" s="1"/>
  <c r="X208" i="8" s="1"/>
  <c r="X209" i="8" s="1"/>
  <c r="X210" i="8" s="1"/>
  <c r="X211" i="8" s="1"/>
  <c r="X212" i="8" s="1"/>
  <c r="X213" i="8" s="1"/>
  <c r="X214" i="8" s="1"/>
  <c r="X215" i="8" s="1"/>
  <c r="X216" i="8" s="1"/>
  <c r="X217" i="8" s="1"/>
  <c r="X218" i="8" s="1"/>
  <c r="X219" i="8" s="1"/>
  <c r="X220" i="8" s="1"/>
  <c r="X221" i="8" s="1"/>
  <c r="X222" i="8" s="1"/>
  <c r="X223" i="8" s="1"/>
  <c r="X224" i="8" s="1"/>
  <c r="X225" i="8" s="1"/>
  <c r="X226" i="8" s="1"/>
  <c r="X227" i="8" s="1"/>
  <c r="X228" i="8" s="1"/>
  <c r="X229" i="8" s="1"/>
  <c r="X230" i="8" s="1"/>
  <c r="X231" i="8" s="1"/>
  <c r="X232" i="8" s="1"/>
  <c r="X233" i="8" s="1"/>
  <c r="X234" i="8" s="1"/>
  <c r="X235" i="8" s="1"/>
  <c r="X236" i="8" s="1"/>
  <c r="X237" i="8" s="1"/>
  <c r="X238" i="8" s="1"/>
  <c r="X239" i="8" s="1"/>
  <c r="X240" i="8" s="1"/>
  <c r="X241" i="8" s="1"/>
  <c r="X242" i="8" s="1"/>
  <c r="X243" i="8" s="1"/>
  <c r="X244" i="8" s="1"/>
  <c r="X245" i="8" s="1"/>
  <c r="X246" i="8" s="1"/>
  <c r="X247" i="8" s="1"/>
  <c r="X248" i="8" s="1"/>
  <c r="X249" i="8" s="1"/>
  <c r="X250" i="8" s="1"/>
  <c r="X251" i="8" s="1"/>
  <c r="X252" i="8" s="1"/>
  <c r="X253" i="8" s="1"/>
  <c r="X254" i="8" s="1"/>
  <c r="X255" i="8" s="1"/>
  <c r="X256" i="8" s="1"/>
  <c r="X257" i="8" s="1"/>
  <c r="X258" i="8" s="1"/>
  <c r="X259" i="8" s="1"/>
  <c r="X260" i="8" s="1"/>
  <c r="X261" i="8" s="1"/>
  <c r="X262" i="8" s="1"/>
  <c r="X263" i="8" s="1"/>
  <c r="X264" i="8" s="1"/>
  <c r="X265" i="8" s="1"/>
  <c r="X266" i="8" s="1"/>
  <c r="X267" i="8" s="1"/>
  <c r="X268" i="8" s="1"/>
  <c r="X269" i="8" s="1"/>
  <c r="X270" i="8" s="1"/>
  <c r="X271" i="8" s="1"/>
  <c r="X272" i="8" s="1"/>
  <c r="X273" i="8" s="1"/>
  <c r="X274" i="8" s="1"/>
  <c r="X275" i="8" s="1"/>
  <c r="X276" i="8" s="1"/>
  <c r="X277" i="8" s="1"/>
  <c r="X278" i="8" s="1"/>
  <c r="X279" i="8" s="1"/>
  <c r="X280" i="8" s="1"/>
  <c r="X281" i="8" s="1"/>
  <c r="X282" i="8" s="1"/>
  <c r="X283" i="8" s="1"/>
  <c r="X284" i="8" s="1"/>
  <c r="X285" i="8" s="1"/>
  <c r="X286" i="8" s="1"/>
  <c r="X287" i="8" s="1"/>
  <c r="X288" i="8" s="1"/>
  <c r="X289" i="8" s="1"/>
  <c r="X290" i="8" s="1"/>
  <c r="X291" i="8" s="1"/>
  <c r="X292" i="8" s="1"/>
  <c r="X293" i="8" s="1"/>
  <c r="X294" i="8" s="1"/>
  <c r="X295" i="8" s="1"/>
  <c r="X296" i="8" s="1"/>
  <c r="X297" i="8" s="1"/>
  <c r="X298" i="8" s="1"/>
  <c r="X299" i="8" s="1"/>
  <c r="X300" i="8" s="1"/>
  <c r="X301" i="8" s="1"/>
  <c r="X302" i="8" s="1"/>
  <c r="X303" i="8" s="1"/>
  <c r="X304" i="8" s="1"/>
  <c r="X305" i="8" s="1"/>
  <c r="X306" i="8" s="1"/>
  <c r="X307" i="8" s="1"/>
  <c r="X308" i="8" s="1"/>
  <c r="X309" i="8" s="1"/>
  <c r="X310" i="8" s="1"/>
  <c r="X311" i="8" s="1"/>
  <c r="X312" i="8" s="1"/>
  <c r="X313" i="8" s="1"/>
  <c r="X314" i="8" s="1"/>
  <c r="X315" i="8" s="1"/>
  <c r="X316" i="8" s="1"/>
  <c r="X317" i="8" s="1"/>
  <c r="X318" i="8" s="1"/>
  <c r="X319" i="8" s="1"/>
  <c r="X320" i="8" s="1"/>
  <c r="X321" i="8" s="1"/>
  <c r="X322" i="8" s="1"/>
  <c r="X323" i="8" s="1"/>
  <c r="X324" i="8" s="1"/>
  <c r="X325" i="8" s="1"/>
  <c r="X326" i="8" s="1"/>
  <c r="X327" i="8" s="1"/>
  <c r="X328" i="8" s="1"/>
  <c r="X329" i="8" s="1"/>
  <c r="X330" i="8" s="1"/>
  <c r="X331" i="8" s="1"/>
  <c r="X332" i="8" s="1"/>
  <c r="X333" i="8" s="1"/>
  <c r="X334" i="8" s="1"/>
  <c r="X335" i="8" s="1"/>
  <c r="X336" i="8" s="1"/>
  <c r="X337" i="8" s="1"/>
  <c r="X338" i="8" s="1"/>
  <c r="X339" i="8" s="1"/>
  <c r="X340" i="8" s="1"/>
  <c r="X341" i="8" s="1"/>
  <c r="X342" i="8" s="1"/>
  <c r="X343" i="8" s="1"/>
  <c r="X344" i="8" s="1"/>
  <c r="X345" i="8" s="1"/>
  <c r="X346" i="8" s="1"/>
  <c r="X347" i="8" s="1"/>
  <c r="X348" i="8" s="1"/>
  <c r="X349" i="8" s="1"/>
  <c r="X350" i="8" s="1"/>
  <c r="X351" i="8" s="1"/>
  <c r="X352" i="8" s="1"/>
  <c r="X353" i="8" s="1"/>
  <c r="X354" i="8" s="1"/>
  <c r="X355" i="8" s="1"/>
  <c r="X356" i="8" s="1"/>
  <c r="X357" i="8" s="1"/>
  <c r="X358" i="8" s="1"/>
  <c r="X359" i="8" s="1"/>
  <c r="X360" i="8" s="1"/>
  <c r="X361" i="8" s="1"/>
  <c r="X362" i="8" s="1"/>
  <c r="X363" i="8" s="1"/>
  <c r="X364" i="8" s="1"/>
  <c r="X365" i="8" s="1"/>
  <c r="X366" i="8" s="1"/>
  <c r="X367" i="8" s="1"/>
  <c r="X368" i="8" s="1"/>
  <c r="X369" i="8" s="1"/>
  <c r="X370" i="8" s="1"/>
  <c r="X371" i="8" s="1"/>
  <c r="X372" i="8" s="1"/>
  <c r="X373" i="8" s="1"/>
  <c r="X374" i="8" s="1"/>
  <c r="X375" i="8" s="1"/>
  <c r="X376" i="8" s="1"/>
  <c r="X377" i="8" s="1"/>
  <c r="X378" i="8" s="1"/>
  <c r="X379" i="8" s="1"/>
  <c r="X380" i="8" s="1"/>
  <c r="X381" i="8" s="1"/>
  <c r="X382" i="8" s="1"/>
  <c r="X383" i="8" s="1"/>
  <c r="X384" i="8" s="1"/>
  <c r="X385" i="8" s="1"/>
  <c r="X386" i="8" s="1"/>
  <c r="X387" i="8" s="1"/>
  <c r="X388" i="8" s="1"/>
  <c r="X389" i="8" s="1"/>
  <c r="X390" i="8" s="1"/>
  <c r="X391" i="8" s="1"/>
  <c r="X392" i="8" s="1"/>
  <c r="X393" i="8" s="1"/>
  <c r="X394" i="8" s="1"/>
  <c r="X395" i="8" s="1"/>
  <c r="X396" i="8" s="1"/>
  <c r="X397" i="8" s="1"/>
  <c r="X398" i="8" s="1"/>
  <c r="X399" i="8" s="1"/>
  <c r="X400" i="8" s="1"/>
  <c r="X401" i="8" s="1"/>
  <c r="X402" i="8" s="1"/>
  <c r="X403" i="8" s="1"/>
  <c r="X404" i="8" s="1"/>
  <c r="X405" i="8" s="1"/>
  <c r="X406" i="8" s="1"/>
  <c r="X407" i="8" s="1"/>
  <c r="X408" i="8" s="1"/>
  <c r="X409" i="8" s="1"/>
  <c r="X410" i="8" s="1"/>
  <c r="X411" i="8" s="1"/>
  <c r="X412" i="8" s="1"/>
  <c r="X413" i="8" s="1"/>
  <c r="X414" i="8" s="1"/>
  <c r="X415" i="8" s="1"/>
  <c r="X416" i="8" s="1"/>
  <c r="X417" i="8" s="1"/>
  <c r="X418" i="8" s="1"/>
  <c r="X419" i="8" s="1"/>
  <c r="X420" i="8" s="1"/>
  <c r="X421" i="8" s="1"/>
  <c r="X422" i="8" s="1"/>
  <c r="X423" i="8" s="1"/>
  <c r="X424" i="8" s="1"/>
  <c r="X425" i="8" s="1"/>
  <c r="X426" i="8" s="1"/>
  <c r="X427" i="8" s="1"/>
  <c r="X428" i="8" s="1"/>
  <c r="X429" i="8" s="1"/>
  <c r="X430" i="8" s="1"/>
  <c r="X431" i="8" s="1"/>
  <c r="X432" i="8" s="1"/>
  <c r="X433" i="8" s="1"/>
  <c r="X434" i="8" s="1"/>
  <c r="X435" i="8" s="1"/>
  <c r="X436" i="8" s="1"/>
  <c r="X437" i="8" s="1"/>
  <c r="X438" i="8" s="1"/>
  <c r="X439" i="8" s="1"/>
  <c r="X440" i="8" s="1"/>
  <c r="N451" i="8" l="1"/>
</calcChain>
</file>

<file path=xl/sharedStrings.xml><?xml version="1.0" encoding="utf-8"?>
<sst xmlns="http://schemas.openxmlformats.org/spreadsheetml/2006/main" count="3786" uniqueCount="1417">
  <si>
    <t>문서 버전</t>
  </si>
  <si>
    <t>작성일</t>
  </si>
  <si>
    <t>2026-07-11</t>
  </si>
  <si>
    <t>대상 프로그램</t>
  </si>
  <si>
    <t>통신 방식</t>
  </si>
  <si>
    <t>WebSocket · JSON</t>
  </si>
  <si>
    <t>엔드포인트</t>
  </si>
  <si>
    <t>ws://&lt;V3 PC IP&gt;:8765/ws/dashboard</t>
  </si>
  <si>
    <t>공통 Envelope (수신)</t>
  </si>
  <si>
    <t>{ "type": string, "siteId": string, "timestamp": ISO8601, "data": ... }</t>
  </si>
  <si>
    <t>송신 형식</t>
  </si>
  <si>
    <t>{ "type": "COMMAND", "data": { "cmd": string, ... } }</t>
  </si>
  <si>
    <t>하트비트</t>
  </si>
  <si>
    <t>HEARTBEAT 15초 무수신 시 Web이 강제 재연결 (재연결 백오프 1s→최대 30s)</t>
  </si>
  <si>
    <t>소스 기준</t>
  </si>
  <si>
    <t>src/constants/protocolCatalog.ts · src/types/semicnv.ts (코드가 원본, 이 문서는 사본)</t>
  </si>
  <si>
    <t>No.</t>
  </si>
  <si>
    <t>방향</t>
  </si>
  <si>
    <t>TYPE</t>
  </si>
  <si>
    <t>이름</t>
  </si>
  <si>
    <t>설명</t>
  </si>
  <si>
    <t>필드 수</t>
  </si>
  <si>
    <t>수신</t>
  </si>
  <si>
    <t>SITE_CONNECT</t>
  </si>
  <si>
    <t>현장 접속 통지</t>
  </si>
  <si>
    <t>V3가 연결 직후 1회 전송 — 현장 이름·프로그램 버전·설비 규모를 알린다.</t>
  </si>
  <si>
    <t>CONVEYOR_STATUS</t>
  </si>
  <si>
    <t>컨베이어 상태</t>
  </si>
  <si>
    <t>유닛별 실시간 상태 배열 — 가동/알람/자재(cstId)/회전각 등. 주기 전송.</t>
  </si>
  <si>
    <t>LINE_STATUS</t>
  </si>
  <si>
    <t>라인 상태</t>
  </si>
  <si>
    <t>라인 단위 요약 배열 — Safety/Key/Auto Condition·가동/알람 컨베이어 수.</t>
  </si>
  <si>
    <t>ALARM_EVENT</t>
  </si>
  <si>
    <t>알람 이벤트</t>
  </si>
  <si>
    <t>알람 발생(OCCUR)/해제(CLEAR) 즉시 통지 — 알람 리스트·이력에 반영.</t>
  </si>
  <si>
    <t>CST_TRACKING</t>
  </si>
  <si>
    <t>CST 위치 추적</t>
  </si>
  <si>
    <t>자재(CST)가 어느 유닛에 있는지 배열로 통지 — 타임차트 V3 핸드셰이크 기록의 근거.</t>
  </si>
  <si>
    <t>IO_STATUS</t>
  </si>
  <si>
    <t>IO 상태 상세</t>
  </si>
  <si>
    <t>Safety/Auto Condition 항목별 ON/OFF + 프로그램 상태 — 설비 상태 탭·조건 팝업에 표시.</t>
  </si>
  <si>
    <t>LOG_EVENT</t>
  </si>
  <si>
    <t>로그 스트리밍</t>
  </si>
  <si>
    <t>V3 로그 실시간 전송 — "V3 이력" 탭·이력 화면에 축적.</t>
  </si>
  <si>
    <t>HEARTBEAT</t>
  </si>
  <si>
    <t>생존 신호 — 15초 무수신 시 Web이 강제 재연결.</t>
  </si>
  <si>
    <t>송신</t>
  </si>
  <si>
    <t>COMMAND</t>
  </si>
  <si>
    <t>제어 명령</t>
  </si>
  <si>
    <t>Web → V3 제어 명령. 정의된 cmd: all_power_on · all_power_off · all_auto_run · all_auto_stop · alarm_reset (전체 대상). 개별 유닛 명령은 미정의 — 스펙 확정 시 확장 예정.</t>
  </si>
  <si>
    <t>메시지 TYPE</t>
  </si>
  <si>
    <t>필드</t>
  </si>
  <si>
    <t>타입</t>
  </si>
  <si>
    <t>필수</t>
  </si>
  <si>
    <t>siteName</t>
  </si>
  <si>
    <t>string</t>
  </si>
  <si>
    <t>현장(Site) 이름</t>
  </si>
  <si>
    <t>programVersion</t>
  </si>
  <si>
    <t>V3 프로그램 버전</t>
  </si>
  <si>
    <t>apiKey</t>
  </si>
  <si>
    <t>옵션</t>
  </si>
  <si>
    <t>인증 키 (옵션)</t>
  </si>
  <si>
    <t>lineCount</t>
  </si>
  <si>
    <t>number</t>
  </si>
  <si>
    <t>라인 수</t>
  </si>
  <si>
    <t>conveyorCount</t>
  </si>
  <si>
    <t>컨베이어 수</t>
  </si>
  <si>
    <t>id</t>
  </si>
  <si>
    <t>Conveyor.ID (semiCnvId 매핑)</t>
  </si>
  <si>
    <t>lineId</t>
  </si>
  <si>
    <t>소속 라인 ID</t>
  </si>
  <si>
    <t>name</t>
  </si>
  <si>
    <t>유닛 이름 (CV01 등)</t>
  </si>
  <si>
    <t>conveyorType</t>
  </si>
  <si>
    <t>'None'|'Normal'|'Turn'|'LFT'|'ZT'|'RX'|'Up_Down'</t>
  </si>
  <si>
    <t>유닛 타입</t>
  </si>
  <si>
    <t>controlMode</t>
  </si>
  <si>
    <t>'MasterMode'|'CIMMode'</t>
  </si>
  <si>
    <t>제어 모드</t>
  </si>
  <si>
    <t>runStatus</t>
  </si>
  <si>
    <t>'Run'|'Stop'</t>
  </si>
  <si>
    <t>구동 여부</t>
  </si>
  <si>
    <t>operationStatus</t>
  </si>
  <si>
    <t>'Manual'|'Auto'</t>
  </si>
  <si>
    <t>운전 모드</t>
  </si>
  <si>
    <t>autoStatus</t>
  </si>
  <si>
    <t>'None'|'Idle'|'Load'|'Busy'|'Unload'|'Compt'</t>
  </si>
  <si>
    <t>자동 시퀀스 상태</t>
  </si>
  <si>
    <t>autoStep</t>
  </si>
  <si>
    <t>자동 시퀀스 스텝</t>
  </si>
  <si>
    <t>power</t>
  </si>
  <si>
    <t>'On'|'Off'</t>
  </si>
  <si>
    <t>전원</t>
  </si>
  <si>
    <t>alarm</t>
  </si>
  <si>
    <t>boolean</t>
  </si>
  <si>
    <t>알람 발생 여부</t>
  </si>
  <si>
    <t>cstId</t>
  </si>
  <si>
    <t>string | null</t>
  </si>
  <si>
    <t>적재 중인 CST ID</t>
  </si>
  <si>
    <t>destination</t>
  </si>
  <si>
    <t>자재 목적지 Conveyor.ID</t>
  </si>
  <si>
    <t>currentDegree</t>
  </si>
  <si>
    <t>회전 유닛 현재 각도</t>
  </si>
  <si>
    <t>axis</t>
  </si>
  <si>
    <t>{ torque, homeDone }</t>
  </si>
  <si>
    <t>축 상태 (토크·HOME 완료)</t>
  </si>
  <si>
    <t>alarmCode</t>
  </si>
  <si>
    <t>알람 코드</t>
  </si>
  <si>
    <t>alarmMessage</t>
  </si>
  <si>
    <t>알람 메시지</t>
  </si>
  <si>
    <t>V3 라인 ID</t>
  </si>
  <si>
    <t>lineName</t>
  </si>
  <si>
    <t>라인 이름</t>
  </si>
  <si>
    <t>safetyStatus</t>
  </si>
  <si>
    <t>'OK'|'NG'</t>
  </si>
  <si>
    <t>안전 상태</t>
  </si>
  <si>
    <t>keyStatus</t>
  </si>
  <si>
    <t>키 스위치</t>
  </si>
  <si>
    <t>autoCondition</t>
  </si>
  <si>
    <t>'Possible'|'Impossible'</t>
  </si>
  <si>
    <t>Auto 전환 가능 여부</t>
  </si>
  <si>
    <t>totalConveyors</t>
  </si>
  <si>
    <t>전체 컨베이어 수</t>
  </si>
  <si>
    <t>runningConveyors</t>
  </si>
  <si>
    <t>가동 중 수</t>
  </si>
  <si>
    <t>alarmConveyors</t>
  </si>
  <si>
    <t>알람 발생 수</t>
  </si>
  <si>
    <t>eventType</t>
  </si>
  <si>
    <t>'OCCUR'|'CLEAR'</t>
  </si>
  <si>
    <t>발생/해제</t>
  </si>
  <si>
    <t>conveyorId</t>
  </si>
  <si>
    <t>대상 Conveyor.ID</t>
  </si>
  <si>
    <t>alarmLevel</t>
  </si>
  <si>
    <t>'Error'|'Warning'|'Info'</t>
  </si>
  <si>
    <t>레벨</t>
  </si>
  <si>
    <t>alarmStep</t>
  </si>
  <si>
    <t>발생 시퀀스 스텝</t>
  </si>
  <si>
    <t>message</t>
  </si>
  <si>
    <t>CST ID</t>
  </si>
  <si>
    <t>현재 위치 Conveyor.ID</t>
  </si>
  <si>
    <t>목적지 Conveyor.ID</t>
  </si>
  <si>
    <t>safetyOk</t>
  </si>
  <si>
    <t>Safety Condition 종합</t>
  </si>
  <si>
    <t>safetyConditions</t>
  </si>
  <si>
    <t>{ no, name, status }[]</t>
  </si>
  <si>
    <t>안전 조건 항목별 상태</t>
  </si>
  <si>
    <t>autoConditionOk</t>
  </si>
  <si>
    <t>Auto Condition 종합 — 설비 가동 버튼 활성 조건</t>
  </si>
  <si>
    <t>autoConditions</t>
  </si>
  <si>
    <t>Auto 조건 항목별 상태</t>
  </si>
  <si>
    <t>currentStatus</t>
  </si>
  <si>
    <t>현재 상태 문자열</t>
  </si>
  <si>
    <t>programStatus</t>
  </si>
  <si>
    <t>{ item, value }[]</t>
  </si>
  <si>
    <t>프로그램 상태 항목</t>
  </si>
  <si>
    <t>logTime</t>
  </si>
  <si>
    <t>string (ISO8601)</t>
  </si>
  <si>
    <t>로그 발생 시각</t>
  </si>
  <si>
    <t>logType</t>
  </si>
  <si>
    <t>Application / Conveyor n / Master 등</t>
  </si>
  <si>
    <t>logLevel</t>
  </si>
  <si>
    <t>'Normal'|'Warning'|'Error'</t>
  </si>
  <si>
    <t>title</t>
  </si>
  <si>
    <t>제목</t>
  </si>
  <si>
    <t>description</t>
  </si>
  <si>
    <t>내용</t>
  </si>
  <si>
    <t>status</t>
  </si>
  <si>
    <t>'ALIVE'</t>
  </si>
  <si>
    <t>고정값</t>
  </si>
  <si>
    <t>cmd</t>
  </si>
  <si>
    <t>명령 이름 (all_power_on / all_power_off / all_auto_run / all_auto_stop / alarm_reset)</t>
  </si>
  <si>
    <t>...extra</t>
  </si>
  <si>
    <t>Record&lt;string, unknown&gt;</t>
  </si>
  <si>
    <t>명령별 추가 파라미터 (확장용)</t>
  </si>
  <si>
    <t>SITE_CONNECT (수신)</t>
  </si>
  <si>
    <t>{
  "type": "SITE_CONNECT",
  "siteId": "site-A",
  "timestamp": "2026-07-11T09:00:00.000Z",
  "data": {
    "siteName": "음성공장",
    "programVersion": "3.1.0",
    "lineCount": 2,
    "conveyorCount": 24
  }
}</t>
  </si>
  <si>
    <t>CONVEYOR_STATUS (수신)</t>
  </si>
  <si>
    <t>{
  "type": "CONVEYOR_STATUS",
  "siteId": "site-A",
  "timestamp": "2026-07-11T09:00:01.000Z",
  "data": [
    {
      "id": 1,
      "lineId": 0,
      "name": "CV01",
      "conveyorType": "Normal",
      "controlMode": "MasterMode",
      "runStatus": "Run",
      "operationStatus": "Auto",
      "autoStatus": "Busy",
      "autoStep": 3,
      "power": "On",
      "alarm": false,
      "cstId": "CST-0077",
      "destination": 5
    }
  ]
}</t>
  </si>
  <si>
    <t>LINE_STATUS (수신)</t>
  </si>
  <si>
    <t>{
  "type": "LINE_STATUS",
  "siteId": "site-A",
  "timestamp": "2026-07-11T09:00:01.000Z",
  "data": [
    {
      "lineId": 0,
      "lineName": "LINE-1",
      "safetyStatus": "OK",
      "keyStatus": "Auto",
      "autoCondition": "Possible",
      "operationStatus": "Auto",
      "controlMode": "MasterMode",
      "totalConveyors": 12,
      "runningConveyors": 9,
      "alarmConveyors": 0
    }
  ]
}</t>
  </si>
  <si>
    <t>ALARM_EVENT (수신)</t>
  </si>
  <si>
    <t>{
  "type": "ALARM_EVENT",
  "siteId": "site-A",
  "timestamp": "2026-07-11T09:00:02.000Z",
  "data": {
    "eventType": "OCCUR",
    "conveyorId": 3,
    "lineId": 0,
    "alarmCode": "3001",
    "alarmLevel": "Error",
    "alarmStep": 4,
    "message": "CV03 MOTOR OVERLOAD"
  }
}</t>
  </si>
  <si>
    <t>CST_TRACKING (수신)</t>
  </si>
  <si>
    <t>{
  "type": "CST_TRACKING",
  "siteId": "site-A",
  "timestamp": "2026-07-11T09:00:03.000Z",
  "data": [
    {
      "cstId": "CST-0077",
      "conveyorId": 2,
      "lineId": 0,
      "destination": 5
    }
  ]
}</t>
  </si>
  <si>
    <t>IO_STATUS (수신)</t>
  </si>
  <si>
    <t>{
  "type": "IO_STATUS",
  "siteId": "site-A",
  "timestamp": "2026-07-11T09:00:04.000Z",
  "data": {
    "safetyOk": true,
    "safetyConditions": [
      {
        "no": 1,
        "name": "EMO",
        "status": true
      }
    ],
    "autoConditionOk": false,
    "autoConditions": [
      {
        "no": 1,
        "name": "Home Done",
        "status": false
      }
    ],
    "currentStatus": "Standby",
    "programStatus": [
      {
        "item": "Version",
        "value": "3.1.0"
      }
    ]
  }
}</t>
  </si>
  <si>
    <t>LOG_EVENT (수신)</t>
  </si>
  <si>
    <t>{
  "type": "LOG_EVENT",
  "siteId": "site-A",
  "timestamp": "2026-07-11T09:00:05.000Z",
  "data": {
    "logTime": "2026-07-11T09:00:05.000",
    "logType": "Application",
    "logLevel": "Normal",
    "title": "Auto Run",
    "description": "All conveyor auto run started"
  }
}</t>
  </si>
  <si>
    <t>HEARTBEAT (수신)</t>
  </si>
  <si>
    <t>{
  "type": "HEARTBEAT",
  "siteId": "site-A",
  "timestamp": "2026-07-11T09:00:06.000Z",
  "data": {
    "status": "ALIVE"
  }
}</t>
  </si>
  <si>
    <t>COMMAND (송신)</t>
  </si>
  <si>
    <t>{
  "type": "COMMAND",
  "data": {
    "cmd": "all_auto_run"
  }
}</t>
  </si>
  <si>
    <t>수신</t>
    <phoneticPr fontId="9" type="noConversion"/>
  </si>
  <si>
    <t>초안자</t>
    <phoneticPr fontId="9" type="noConversion"/>
  </si>
  <si>
    <t>장병찬K</t>
    <phoneticPr fontId="9" type="noConversion"/>
  </si>
  <si>
    <t>SS-One &lt;--&gt; MST Communication BIT Map</t>
    <phoneticPr fontId="12" type="noConversion"/>
  </si>
  <si>
    <t>Master Program Comment</t>
    <phoneticPr fontId="14" type="noConversion"/>
  </si>
  <si>
    <t>[SS-One] --&gt; [Master]</t>
    <phoneticPr fontId="12" type="noConversion"/>
  </si>
  <si>
    <t>Comment</t>
    <phoneticPr fontId="12" type="noConversion"/>
  </si>
  <si>
    <t>비고</t>
    <phoneticPr fontId="12" type="noConversion"/>
  </si>
  <si>
    <t>Bit</t>
    <phoneticPr fontId="14" type="noConversion"/>
  </si>
  <si>
    <t>[Master] --&gt; [SS-One]</t>
    <phoneticPr fontId="12" type="noConversion"/>
  </si>
  <si>
    <t>Dec</t>
    <phoneticPr fontId="14" type="noConversion"/>
  </si>
  <si>
    <t>Hex</t>
    <phoneticPr fontId="14" type="noConversion"/>
  </si>
  <si>
    <t>Per Word</t>
    <phoneticPr fontId="14" type="noConversion"/>
  </si>
  <si>
    <t>WMX Output 연동</t>
    <phoneticPr fontId="14" type="noConversion"/>
  </si>
  <si>
    <t>Door Open</t>
    <phoneticPr fontId="14" type="noConversion"/>
  </si>
  <si>
    <t>1이면 오픈 0이면 닫음</t>
    <phoneticPr fontId="14" type="noConversion"/>
  </si>
  <si>
    <t>HP Door 열림 상태</t>
    <phoneticPr fontId="12" type="noConversion"/>
  </si>
  <si>
    <t>1 열림, 0 닫힘</t>
    <phoneticPr fontId="14" type="noConversion"/>
  </si>
  <si>
    <t>WMX Input 연동</t>
    <phoneticPr fontId="14" type="noConversion"/>
  </si>
  <si>
    <t>HP EMO 눌림 상태</t>
    <phoneticPr fontId="12" type="noConversion"/>
  </si>
  <si>
    <t>1 눌림, 0 정상</t>
    <phoneticPr fontId="14" type="noConversion"/>
  </si>
  <si>
    <t>Not Update</t>
    <phoneticPr fontId="14" type="noConversion"/>
  </si>
  <si>
    <t>SSO-&gt;MST Online/Offline 상    태********</t>
    <phoneticPr fontId="12" type="noConversion"/>
  </si>
  <si>
    <t>HP MASTER KEY 자동 Mode 상태</t>
    <phoneticPr fontId="12" type="noConversion"/>
  </si>
  <si>
    <t>1이 정상, 0이 비정상</t>
    <phoneticPr fontId="14" type="noConversion"/>
  </si>
  <si>
    <t>SSO-&gt;MSTCST Full상    태********</t>
    <phoneticPr fontId="12" type="noConversion"/>
  </si>
  <si>
    <t>SSO-&gt;MST 타워램프 Green</t>
    <phoneticPr fontId="12" type="noConversion"/>
  </si>
  <si>
    <t>HP 비상탈출 눌림상태</t>
    <phoneticPr fontId="12" type="noConversion"/>
  </si>
  <si>
    <t>SSO-&gt;MST 타워램프 YELLOW</t>
    <phoneticPr fontId="12" type="noConversion"/>
  </si>
  <si>
    <t>SSO-&gt;MST 타워램프 RED</t>
    <phoneticPr fontId="12" type="noConversion"/>
  </si>
  <si>
    <t>OP Door 열림 상태</t>
    <phoneticPr fontId="12" type="noConversion"/>
  </si>
  <si>
    <t>SSO-&gt;MST 타워램프 BUZZER 경알람</t>
    <phoneticPr fontId="12" type="noConversion"/>
  </si>
  <si>
    <t>마스터 알람 발생 시</t>
    <phoneticPr fontId="14" type="noConversion"/>
  </si>
  <si>
    <t>OP EMO 눌림 상태</t>
  </si>
  <si>
    <t>SSO-&gt;MST 타워램프 BUZZER 중알람</t>
    <phoneticPr fontId="12" type="noConversion"/>
  </si>
  <si>
    <t>포트 알람 발생 시</t>
    <phoneticPr fontId="14" type="noConversion"/>
  </si>
  <si>
    <t>RM HP Handy Touch EMO 눌림상태</t>
    <phoneticPr fontId="12" type="noConversion"/>
  </si>
  <si>
    <t>2023.07.28</t>
    <phoneticPr fontId="14" type="noConversion"/>
  </si>
  <si>
    <t>SSO-&gt;MST 타워램프 BUZZER Active</t>
    <phoneticPr fontId="12" type="noConversion"/>
  </si>
  <si>
    <t>랙마스터 액티브 상태</t>
    <phoneticPr fontId="14" type="noConversion"/>
  </si>
  <si>
    <t>RM OP Handy Touch EMO 눌림상태</t>
    <phoneticPr fontId="12" type="noConversion"/>
  </si>
  <si>
    <t>SSO-&gt;MST 타워램프 BUZZER MUTE</t>
    <phoneticPr fontId="12" type="noConversion"/>
  </si>
  <si>
    <t>OP 비상탈출 눌림상태</t>
    <phoneticPr fontId="12" type="noConversion"/>
  </si>
  <si>
    <t>RM HP EMO 눌림상태</t>
    <phoneticPr fontId="12" type="noConversion"/>
  </si>
  <si>
    <t>SSO-&gt;MST 비상 정지 요구</t>
    <phoneticPr fontId="14" type="noConversion"/>
  </si>
  <si>
    <t>RM OP EMO 눌림상태</t>
    <phoneticPr fontId="12" type="noConversion"/>
  </si>
  <si>
    <t>SSO-&gt;MST 에러 리셋 요구</t>
    <phoneticPr fontId="14" type="noConversion"/>
  </si>
  <si>
    <t>RM Handy Touch EMO 눌림상태</t>
    <phoneticPr fontId="12" type="noConversion"/>
  </si>
  <si>
    <t>SSO-&gt;MST형광등  ON</t>
  </si>
  <si>
    <t>MST-&gt;CIM형광등  ON 상태</t>
    <phoneticPr fontId="12" type="noConversion"/>
  </si>
  <si>
    <t>SSO-&gt;MST형광등  OFF</t>
  </si>
  <si>
    <t>SSO-&gt;MST형광등  시간적용</t>
    <phoneticPr fontId="12" type="noConversion"/>
  </si>
  <si>
    <t>CPS#1 RUN 상태</t>
    <phoneticPr fontId="12" type="noConversion"/>
  </si>
  <si>
    <t>CPS#1 ERROR 상태</t>
    <phoneticPr fontId="12" type="noConversion"/>
  </si>
  <si>
    <t>CPS#1 FAILOVER 상태</t>
    <phoneticPr fontId="12" type="noConversion"/>
  </si>
  <si>
    <t>CPS#2 RUN 상태</t>
    <phoneticPr fontId="12" type="noConversion"/>
  </si>
  <si>
    <t>CPS#2 ERROR 상태</t>
    <phoneticPr fontId="12" type="noConversion"/>
  </si>
  <si>
    <t>CPS#2 FAILOVER 상태</t>
    <phoneticPr fontId="12" type="noConversion"/>
  </si>
  <si>
    <t>SS-One &gt; MST CPS#1 Power On Enable</t>
    <phoneticPr fontId="12" type="noConversion"/>
  </si>
  <si>
    <t>MST &gt; SS-One CPS#1 Power On Enable Lamp</t>
    <phoneticPr fontId="12" type="noConversion"/>
  </si>
  <si>
    <t>MST &gt; SS-One CPS#1 1st Run Lamp</t>
  </si>
  <si>
    <t>SS-One &gt; MST CPS#2 Power On Enable</t>
    <phoneticPr fontId="12" type="noConversion"/>
  </si>
  <si>
    <t>MST &gt; SS-One CPS#2 Power On Enable Lamp</t>
    <phoneticPr fontId="12" type="noConversion"/>
  </si>
  <si>
    <t>MST &gt; SS-One CPS#2 1st Run Lamp</t>
  </si>
  <si>
    <t>MST &gt; SS-One RM#1 2nd Run Lamp</t>
    <phoneticPr fontId="12" type="noConversion"/>
  </si>
  <si>
    <t>SS-One &gt; MST CPS#1 Power On Request</t>
    <phoneticPr fontId="12" type="noConversion"/>
  </si>
  <si>
    <t>MST &gt; SS-One CPS#1 Power On Request Lamp</t>
    <phoneticPr fontId="12" type="noConversion"/>
  </si>
  <si>
    <t>SS-One &gt; MST CPS#2 Power On Request</t>
    <phoneticPr fontId="12" type="noConversion"/>
  </si>
  <si>
    <t>MST &gt; SS-One CPS#2 Power On Request Lamp</t>
    <phoneticPr fontId="12" type="noConversion"/>
  </si>
  <si>
    <t>SS-One &gt; MST CPS#1 Error Reset Request</t>
    <phoneticPr fontId="12" type="noConversion"/>
  </si>
  <si>
    <t>MST &gt; SS-One CPS#1 Error Reset Request Lamp</t>
    <phoneticPr fontId="12" type="noConversion"/>
  </si>
  <si>
    <t>SS-One &gt; MST CPS#2 Error Reset Request</t>
    <phoneticPr fontId="12" type="noConversion"/>
  </si>
  <si>
    <t>MST &gt; SS-One CPS#2 Error Reset Request Lamp</t>
    <phoneticPr fontId="12" type="noConversion"/>
  </si>
  <si>
    <t>MST &gt; SS-One CPS#1 Error Lamp</t>
    <phoneticPr fontId="12" type="noConversion"/>
  </si>
  <si>
    <t>MST &gt; SS-One CPS#2 Error Lamp</t>
    <phoneticPr fontId="12" type="noConversion"/>
  </si>
  <si>
    <t>Light Curatin #1 이상감지</t>
    <phoneticPr fontId="14" type="noConversion"/>
  </si>
  <si>
    <t>MST &gt; SS-One 흡기팬  이상감지</t>
    <phoneticPr fontId="12" type="noConversion"/>
  </si>
  <si>
    <t>MST &gt; SS-One 배기팬  이상감지</t>
    <phoneticPr fontId="12" type="noConversion"/>
  </si>
  <si>
    <t>SS-One &lt;--&gt; R/M Communication BIT Map</t>
    <phoneticPr fontId="12" type="noConversion"/>
  </si>
  <si>
    <t>Hex</t>
    <phoneticPr fontId="12" type="noConversion"/>
  </si>
  <si>
    <t>MASTER
RM#1
임시버퍼</t>
    <phoneticPr fontId="12" type="noConversion"/>
  </si>
  <si>
    <t>MASTER
RM#2
임시버퍼</t>
    <phoneticPr fontId="12" type="noConversion"/>
  </si>
  <si>
    <t>R/M#1</t>
    <phoneticPr fontId="12" type="noConversion"/>
  </si>
  <si>
    <t>R/M#2</t>
  </si>
  <si>
    <t>Port Emergency Stop (전 축 정지)</t>
    <phoneticPr fontId="14" type="noConversion"/>
  </si>
  <si>
    <t>MST-&gt;R/M비상정지요    구********</t>
    <phoneticPr fontId="14" type="noConversion"/>
  </si>
  <si>
    <t>EMO 효과로</t>
    <phoneticPr fontId="14" type="noConversion"/>
  </si>
  <si>
    <t>R/M-&gt;MST서 보 온가능조건********</t>
    <phoneticPr fontId="12" type="noConversion"/>
  </si>
  <si>
    <t>EtherCAT 통신중이며 한 축이더라도 Servo Off인 경우 true</t>
    <phoneticPr fontId="14" type="noConversion"/>
  </si>
  <si>
    <t>Master Program UI Mapping (Power On Button)</t>
    <phoneticPr fontId="14" type="noConversion"/>
  </si>
  <si>
    <t>MST-&gt;R/M서 보 온요    구********</t>
    <phoneticPr fontId="12" type="noConversion"/>
  </si>
  <si>
    <t>R/M-&gt;MST서 보 온상    태********</t>
    <phoneticPr fontId="12" type="noConversion"/>
  </si>
  <si>
    <t>모든 축이 Servo On인 경우 true</t>
    <phoneticPr fontId="14" type="noConversion"/>
  </si>
  <si>
    <t>R/M-&gt;MST서보오프가능조건********</t>
    <phoneticPr fontId="12" type="noConversion"/>
  </si>
  <si>
    <t>Master Program UI Mapping (Power Off Button)</t>
    <phoneticPr fontId="14" type="noConversion"/>
  </si>
  <si>
    <t>MST-&gt;R/M서보오프요    구********</t>
    <phoneticPr fontId="12" type="noConversion"/>
  </si>
  <si>
    <t>R/M-&gt;MST서보오프상    태********</t>
    <phoneticPr fontId="12" type="noConversion"/>
  </si>
  <si>
    <t>한 축이더라도 Servo Off인 경우 true</t>
    <phoneticPr fontId="14" type="noConversion"/>
  </si>
  <si>
    <t>R/M-&gt;MST자    동가능조건********</t>
    <phoneticPr fontId="12" type="noConversion"/>
  </si>
  <si>
    <t>모든 축이 Servo On이며 Error나 EMO 상태가 아닌 경우 true</t>
    <phoneticPr fontId="14" type="noConversion"/>
  </si>
  <si>
    <t>Master Program UI Mapping (Auto Run Button)</t>
    <phoneticPr fontId="14" type="noConversion"/>
  </si>
  <si>
    <t>MST-&gt;R/M자    동요    구********</t>
    <phoneticPr fontId="12" type="noConversion"/>
  </si>
  <si>
    <t>R/M-&gt;MST자    동상    태********</t>
    <phoneticPr fontId="12" type="noConversion"/>
  </si>
  <si>
    <t>Auto 상태인 경우 true</t>
    <phoneticPr fontId="14" type="noConversion"/>
  </si>
  <si>
    <t>R/M-&gt;MST매뉴얼가능조건********</t>
    <phoneticPr fontId="12" type="noConversion"/>
  </si>
  <si>
    <t>Master Program UI Mapping (Auto Stop Button)</t>
    <phoneticPr fontId="14" type="noConversion"/>
  </si>
  <si>
    <t>MST-&gt;R/M자동정지요    구********</t>
    <phoneticPr fontId="12" type="noConversion"/>
  </si>
  <si>
    <t>R/M-&gt;MST매뉴얼상    태********</t>
    <phoneticPr fontId="12" type="noConversion"/>
  </si>
  <si>
    <t>Auto 상태가 아닌 경우 true</t>
    <phoneticPr fontId="14" type="noConversion"/>
  </si>
  <si>
    <r>
      <t xml:space="preserve">Synustech 회신 (어디서 명령을 내리는지?, UI에서 조작하는 영역 없음) &lt;CIM Only??&gt;
</t>
    </r>
    <r>
      <rPr>
        <b/>
        <sz val="8"/>
        <color theme="0"/>
        <rFont val="맑은 고딕"/>
        <family val="3"/>
        <charset val="129"/>
        <scheme val="minor"/>
      </rPr>
      <t>Master Error Reset 명령을 내립니다(Button 생성 필요)</t>
    </r>
    <phoneticPr fontId="14" type="noConversion"/>
  </si>
  <si>
    <t>MST-&gt;R/M에러릿셋요    구********</t>
    <phoneticPr fontId="12" type="noConversion"/>
  </si>
  <si>
    <t>R/M-&gt;MST에    러상    태********</t>
    <phoneticPr fontId="12" type="noConversion"/>
  </si>
  <si>
    <t>Error가 1개라도 있으면 true</t>
    <phoneticPr fontId="14" type="noConversion"/>
  </si>
  <si>
    <r>
      <t xml:space="preserve">Synustech 회신 (Master에서 어떤 행동을 하면 되는지 ?) &lt;CIM Only??&gt;
</t>
    </r>
    <r>
      <rPr>
        <b/>
        <sz val="8"/>
        <color theme="0"/>
        <rFont val="맑은 고딕"/>
        <family val="3"/>
        <charset val="129"/>
        <scheme val="minor"/>
      </rPr>
      <t xml:space="preserve">&lt;CIM Only&gt; </t>
    </r>
    <phoneticPr fontId="14" type="noConversion"/>
  </si>
  <si>
    <t>MST-&gt;R/M에러상    태********</t>
    <phoneticPr fontId="14" type="noConversion"/>
  </si>
  <si>
    <t>R/M-&gt;MST원점정상상    태********</t>
    <phoneticPr fontId="12" type="noConversion"/>
  </si>
  <si>
    <t>전 축 HomeDone(WMX Flag)인 경우 true</t>
    <phoneticPr fontId="14" type="noConversion"/>
  </si>
  <si>
    <t>CIM Mode 상태(Only RackMaster)</t>
    <phoneticPr fontId="14" type="noConversion"/>
  </si>
  <si>
    <t>1 CIM Mode, 0  Master Mode</t>
    <phoneticPr fontId="14" type="noConversion"/>
  </si>
  <si>
    <t>R/M-&gt;MST FAN #1 온 상 태********</t>
    <phoneticPr fontId="12" type="noConversion"/>
  </si>
  <si>
    <r>
      <t xml:space="preserve">Synustech 회신 (어디서 업데이트 하는지? 관련 IO 없음, 현장에는 있는지?)
</t>
    </r>
    <r>
      <rPr>
        <b/>
        <sz val="8"/>
        <color theme="0"/>
        <rFont val="맑은 고딕"/>
        <family val="3"/>
        <charset val="129"/>
        <scheme val="minor"/>
      </rPr>
      <t>현장 RM Panel에 있습니다.</t>
    </r>
    <phoneticPr fontId="14" type="noConversion"/>
  </si>
  <si>
    <t>R/M-&gt;MST FAN #2 온 상 태********</t>
    <phoneticPr fontId="12" type="noConversion"/>
  </si>
  <si>
    <r>
      <t xml:space="preserve">Synustech 회신 (해당 플래그가 1인 경우 CIM(Master) -&gt; RM Word 0x40 Update? ) &lt;CIM Only??&gt;
</t>
    </r>
    <r>
      <rPr>
        <b/>
        <sz val="8"/>
        <color theme="0"/>
        <rFont val="맑은 고딕"/>
        <family val="3"/>
        <charset val="129"/>
        <scheme val="minor"/>
      </rPr>
      <t>&lt;CIM Only&gt;(해당 플래그가 1인 경우 Master-&gt; RM Word 0x40 Update가 맞습니다.)</t>
    </r>
    <phoneticPr fontId="14" type="noConversion"/>
  </si>
  <si>
    <t>MST-&gt;R/M시    간동기화</t>
    <phoneticPr fontId="12" type="noConversion"/>
  </si>
  <si>
    <t>R/M-&gt;MST오토티칭진행상태&lt;********&gt;</t>
    <phoneticPr fontId="12" type="noConversion"/>
  </si>
  <si>
    <t>현재 구성 못함</t>
    <phoneticPr fontId="14" type="noConversion"/>
  </si>
  <si>
    <r>
      <t xml:space="preserve">Synustech 회신 (어디서 명령을 내리는지?, UI에서 조작하는 영역 없음) &lt;CIM Only??&gt;
</t>
    </r>
    <r>
      <rPr>
        <b/>
        <sz val="8"/>
        <color theme="0"/>
        <rFont val="맑은 고딕"/>
        <family val="3"/>
        <charset val="129"/>
        <scheme val="minor"/>
      </rPr>
      <t xml:space="preserve">&lt;CIM Only&gt;(RM UI상에서 Manual Auto Teaching UI 구성 필요) </t>
    </r>
    <phoneticPr fontId="14" type="noConversion"/>
  </si>
  <si>
    <t>MST-&gt;R/M오토티칭개시요구********</t>
    <phoneticPr fontId="12" type="noConversion"/>
  </si>
  <si>
    <t>R/M-&gt;MST오토티칭개시요구&lt;A C K&gt;</t>
    <phoneticPr fontId="12" type="noConversion"/>
  </si>
  <si>
    <r>
      <t xml:space="preserve">Synustech 회신 (어디서 명령을 내리는지?, UI에서 조작하는 영역 없음) &lt;CIM Only??&gt;
</t>
    </r>
    <r>
      <rPr>
        <b/>
        <sz val="8"/>
        <color theme="0"/>
        <rFont val="맑은 고딕"/>
        <family val="3"/>
        <charset val="129"/>
        <scheme val="minor"/>
      </rPr>
      <t>&lt;CIM Only&gt;(RM UI상에서 Manual Auto Teaching UI 구성 필요)</t>
    </r>
    <phoneticPr fontId="14" type="noConversion"/>
  </si>
  <si>
    <t>MST-&gt;R/M오토티칭Complete&lt;A C K&gt;</t>
    <phoneticPr fontId="12" type="noConversion"/>
  </si>
  <si>
    <t>R/M-&gt;MST오토티칭Complete&lt;********&gt;</t>
    <phoneticPr fontId="12" type="noConversion"/>
  </si>
  <si>
    <t>MST-&gt;R/M오토티칭이상완료&lt;A C K&gt;</t>
    <phoneticPr fontId="12" type="noConversion"/>
  </si>
  <si>
    <t>R/M-&gt;MST오토티칭이상완료&lt;********&gt;</t>
    <phoneticPr fontId="12" type="noConversion"/>
  </si>
  <si>
    <t>MST -&gt; R/M오토티칭 Stop 요구</t>
    <phoneticPr fontId="14" type="noConversion"/>
  </si>
  <si>
    <t>R/M-&gt;MST접속셀프상    태&lt;셀  프&gt;</t>
    <phoneticPr fontId="12" type="noConversion"/>
  </si>
  <si>
    <t>R/M-&gt;MST접속셀프상    태Conveyor</t>
    <phoneticPr fontId="12" type="noConversion"/>
  </si>
  <si>
    <t>R/M-&gt;MST접속셀프상    태&lt;Index&gt;</t>
    <phoneticPr fontId="12" type="noConversion"/>
  </si>
  <si>
    <t>Cycle Mode에서 Step에 따라 Update</t>
    <phoneticPr fontId="14" type="noConversion"/>
  </si>
  <si>
    <t>MST-&gt;R/MFrom동작개시요구********</t>
    <phoneticPr fontId="12" type="noConversion"/>
  </si>
  <si>
    <t>R/M-&gt;MSTFrom동작개시요구&lt;A C K&gt;</t>
    <phoneticPr fontId="12" type="noConversion"/>
  </si>
  <si>
    <t>From REQ 신호를 받고 정상적으로 From Step 진입 시 true
From REQ 신호가 꺼지면 false</t>
    <phoneticPr fontId="14" type="noConversion"/>
  </si>
  <si>
    <t>MST-&gt;R/MFrom동작Complete&lt;A C K&gt;</t>
    <phoneticPr fontId="12" type="noConversion"/>
  </si>
  <si>
    <t>R/M-&gt;MSTFrom동작Complete&lt;********&gt;</t>
    <phoneticPr fontId="12" type="noConversion"/>
  </si>
  <si>
    <t>From Sequence가 정상적으로 완료되면 true
From Complete ACK 신호가 켜지면 false</t>
    <phoneticPr fontId="14" type="noConversion"/>
  </si>
  <si>
    <t>MST-&gt;R/M To 동작개시요구********</t>
    <phoneticPr fontId="12" type="noConversion"/>
  </si>
  <si>
    <t>R/M-&gt;MST To 동작개시요구&lt;A C K&gt;</t>
    <phoneticPr fontId="12" type="noConversion"/>
  </si>
  <si>
    <t>From 동작 개시 요구와 동일</t>
    <phoneticPr fontId="14" type="noConversion"/>
  </si>
  <si>
    <t>MST-&gt;R/M To 동작Complete&lt;A C K&gt;</t>
    <phoneticPr fontId="12" type="noConversion"/>
  </si>
  <si>
    <t>R/M-&gt;MST To 동작Complete&lt;********&gt;</t>
    <phoneticPr fontId="12" type="noConversion"/>
  </si>
  <si>
    <t>To Complete 와 동일</t>
    <phoneticPr fontId="14" type="noConversion"/>
  </si>
  <si>
    <r>
      <t xml:space="preserve">Synustech 회신 (어디서 명령을 내리는지?, UI에서 조작하는 영역 없음) &lt;CIM Only??&gt;
</t>
    </r>
    <r>
      <rPr>
        <b/>
        <sz val="8"/>
        <color theme="0"/>
        <rFont val="맑은 고딕"/>
        <family val="3"/>
        <charset val="129"/>
        <scheme val="minor"/>
      </rPr>
      <t xml:space="preserve"> &lt;CIM Only&gt; CIM 명령 시, Maint 위치로 이동</t>
    </r>
    <phoneticPr fontId="14" type="noConversion"/>
  </si>
  <si>
    <t>MST-&gt;R/Maint 개시요구********</t>
    <phoneticPr fontId="12" type="noConversion"/>
  </si>
  <si>
    <t>R/M-&gt;MST Maint Move 동작개시요구&lt;A C K&gt;</t>
    <phoneticPr fontId="12" type="noConversion"/>
  </si>
  <si>
    <r>
      <t xml:space="preserve">Synustech 회신 (Maint Move에 대한 동작 정의(Flow Map 같은 Sequence ? 참고 할만한 것이 있는지?))
</t>
    </r>
    <r>
      <rPr>
        <b/>
        <sz val="8"/>
        <color theme="0"/>
        <rFont val="맑은 고딕"/>
        <family val="3"/>
        <charset val="129"/>
        <scheme val="minor"/>
      </rPr>
      <t>From Flow 참고하여 Maint Teaching 위치로 이동.(X,Z,T)</t>
    </r>
    <phoneticPr fontId="14" type="noConversion"/>
  </si>
  <si>
    <t>MST-&gt;R/Maint Complete&lt;A C K&gt;</t>
    <phoneticPr fontId="12" type="noConversion"/>
  </si>
  <si>
    <t>R/M-&gt;MST Maint Move Complete&lt;******&gt;</t>
    <phoneticPr fontId="12" type="noConversion"/>
  </si>
  <si>
    <t>MST-&gt;R/M SCAN 개시요구********</t>
    <phoneticPr fontId="12" type="noConversion"/>
  </si>
  <si>
    <t>R/M-&gt;MST Scan Move 동작개시요구&lt;A C K&gt;</t>
    <phoneticPr fontId="12" type="noConversion"/>
  </si>
  <si>
    <t>MST-&gt;R/M SCAN Complete&lt;A C K&gt;</t>
    <phoneticPr fontId="12" type="noConversion"/>
  </si>
  <si>
    <t>R/M-&gt;MST Scan Move Complete&lt;******&gt;</t>
    <phoneticPr fontId="12" type="noConversion"/>
  </si>
  <si>
    <t>R/M-&gt;MST Scan Move CST On 상태</t>
    <phoneticPr fontId="12" type="noConversion"/>
  </si>
  <si>
    <r>
      <t xml:space="preserve">Synustech 회신 (어느 상황에서 응답하는지? 프로그램 내에 관련 Step 없음) &lt;CIM Only??&gt;
</t>
    </r>
    <r>
      <rPr>
        <b/>
        <sz val="8"/>
        <color theme="0"/>
        <rFont val="맑은 고딕"/>
        <family val="3"/>
        <charset val="129"/>
        <scheme val="minor"/>
      </rPr>
      <t>RM &amp; Port To Mode시, PORT Ready Check상태가 OFF일 경우 - CIM ACK</t>
    </r>
    <phoneticPr fontId="14" type="noConversion"/>
  </si>
  <si>
    <t>MST-&gt;R/M StoreAlt&lt;A C K&gt;</t>
    <phoneticPr fontId="12" type="noConversion"/>
  </si>
  <si>
    <t>R/M-&gt;MST StoreAlt&lt;요구&gt;</t>
    <phoneticPr fontId="12" type="noConversion"/>
  </si>
  <si>
    <r>
      <t xml:space="preserve">Synustech 회신 (어느 상황에서 응답하는지? 프로그램 내에 관련 Step 없음) &lt;CIM Only?&gt;
</t>
    </r>
    <r>
      <rPr>
        <b/>
        <sz val="8"/>
        <color theme="0"/>
        <rFont val="맑은 고딕"/>
        <family val="3"/>
        <charset val="129"/>
        <scheme val="minor"/>
      </rPr>
      <t>RM &amp; Port To Mode시, PORT Ready Check상태가 OFF일 경우</t>
    </r>
    <phoneticPr fontId="14" type="noConversion"/>
  </si>
  <si>
    <r>
      <t xml:space="preserve">Synustech 회신 (어느 상황에서 응답하는지? 프로그램 내에 관련 Step 없음) &lt;CIM Only??&gt;
</t>
    </r>
    <r>
      <rPr>
        <b/>
        <sz val="8"/>
        <color theme="0"/>
        <rFont val="맑은 고딕"/>
        <family val="3"/>
        <charset val="129"/>
        <scheme val="minor"/>
      </rPr>
      <t>RM &amp; Shelf From이후 자재가 없는 상황에서 발생 - CIM ACK</t>
    </r>
    <phoneticPr fontId="14" type="noConversion"/>
  </si>
  <si>
    <t>MST-&gt;R/M Source  Empty  &lt;A C K&gt;</t>
    <phoneticPr fontId="12" type="noConversion"/>
  </si>
  <si>
    <t>R/M-&gt;MST Source  Empty  &lt;요  구&gt;</t>
    <phoneticPr fontId="12" type="noConversion"/>
  </si>
  <si>
    <r>
      <t xml:space="preserve">Synustech 회신 (어느 상황에서 응답하는지? 프로그램 내에 관련 Step 없음) &lt;CIM Only??&gt;
</t>
    </r>
    <r>
      <rPr>
        <b/>
        <sz val="8"/>
        <color theme="0"/>
        <rFont val="맑은 고딕"/>
        <family val="3"/>
        <charset val="129"/>
        <scheme val="minor"/>
      </rPr>
      <t>RM &amp; Shelf From이후 자재가 없는 상황에서 발생</t>
    </r>
    <phoneticPr fontId="14" type="noConversion"/>
  </si>
  <si>
    <r>
      <t xml:space="preserve">Synustech 회신 (어느 상황에서 응답하는지? 프로그램 내에 관련 Step 없음) &lt;CIM Only??&gt;
</t>
    </r>
    <r>
      <rPr>
        <b/>
        <sz val="8"/>
        <color theme="0"/>
        <rFont val="맑은 고딕"/>
        <family val="3"/>
        <charset val="129"/>
        <scheme val="minor"/>
      </rPr>
      <t>To Mode시 Shelft 이동 후 Forking 이전 Double Sensor로 이중 반입 Check 시 발생 - CIM ACK</t>
    </r>
    <phoneticPr fontId="14" type="noConversion"/>
  </si>
  <si>
    <t>MST-&gt;R/M Double Storage &lt;A C K&gt;</t>
    <phoneticPr fontId="12" type="noConversion"/>
  </si>
  <si>
    <t>R/M-&gt;MST Double Storage &lt;요  구&gt;</t>
    <phoneticPr fontId="12" type="noConversion"/>
  </si>
  <si>
    <r>
      <t xml:space="preserve">Synustech 회신 (어느 상황에서 응답하는지? 프로그램 내에 관련 Step 없음) &lt;CIM Only??&gt;
</t>
    </r>
    <r>
      <rPr>
        <b/>
        <sz val="8"/>
        <color theme="0"/>
        <rFont val="맑은 고딕"/>
        <family val="3"/>
        <charset val="129"/>
        <scheme val="minor"/>
      </rPr>
      <t>To Mode시 Shelft 이동 후 Forking 이전 Double Sensor로 이중 반입 Check 시 발생</t>
    </r>
    <phoneticPr fontId="14" type="noConversion"/>
  </si>
  <si>
    <r>
      <t xml:space="preserve">Synustech 회신 (어느 상황에서 응답하는지? 프로그램 내에 관련 Step 없음) &lt;CIM Only??&gt;
</t>
    </r>
    <r>
      <rPr>
        <b/>
        <sz val="8"/>
        <color theme="0"/>
        <rFont val="맑은 고딕"/>
        <family val="3"/>
        <charset val="129"/>
        <scheme val="minor"/>
      </rPr>
      <t>RM &amp; Port From Mode시, PORT Ready Check상태가 OFF일 경우 - CIM ACK</t>
    </r>
    <phoneticPr fontId="14" type="noConversion"/>
  </si>
  <si>
    <t>MST-&gt;R/M Resume Request &lt;A C K&gt;</t>
    <phoneticPr fontId="12" type="noConversion"/>
  </si>
  <si>
    <t>R/M-&gt;MST Resume Request &lt;요  구&gt;</t>
    <phoneticPr fontId="12" type="noConversion"/>
  </si>
  <si>
    <r>
      <t xml:space="preserve">Synustech 회신 (어느 상황에서 응답하는지? 프로그램 내에 관련 Step 없음) &lt;CIM Only??&gt;
</t>
    </r>
    <r>
      <rPr>
        <b/>
        <sz val="8"/>
        <color theme="0"/>
        <rFont val="맑은 고딕"/>
        <family val="3"/>
        <charset val="129"/>
        <scheme val="minor"/>
      </rPr>
      <t>RM &amp; Port From Mode시, PORT Ready Check상태가 OFF일 경우</t>
    </r>
    <phoneticPr fontId="14" type="noConversion"/>
  </si>
  <si>
    <r>
      <t xml:space="preserve">Synustech 회신 (어디서 명령을 내리는지?, UI에서 조작하는 영역 없음) &lt;CIM Only??&gt;
</t>
    </r>
    <r>
      <rPr>
        <b/>
        <sz val="8"/>
        <color theme="0"/>
        <rFont val="맑은 고딕"/>
        <family val="3"/>
        <charset val="129"/>
        <scheme val="minor"/>
      </rPr>
      <t>&lt;CIM Only&gt;</t>
    </r>
    <phoneticPr fontId="14" type="noConversion"/>
  </si>
  <si>
    <t>MST-&gt;R/MTeachingR/W Start</t>
    <phoneticPr fontId="12" type="noConversion"/>
  </si>
  <si>
    <t>R/M-&gt;MSTTeachingR/W 가능조    건</t>
    <phoneticPr fontId="12" type="noConversion"/>
  </si>
  <si>
    <r>
      <t xml:space="preserve">Synustech 회신 (어떤 상황을 판단해야 True, False?)
</t>
    </r>
    <r>
      <rPr>
        <b/>
        <sz val="8"/>
        <color theme="0"/>
        <rFont val="맑은 고딕"/>
        <family val="3"/>
        <charset val="129"/>
        <scheme val="minor"/>
      </rPr>
      <t>Auto상태 IDLE 상태일 경우</t>
    </r>
    <phoneticPr fontId="14" type="noConversion"/>
  </si>
  <si>
    <t>R/M-&gt;MSTTeaching읽    기완    료</t>
    <phoneticPr fontId="12" type="noConversion"/>
  </si>
  <si>
    <r>
      <t xml:space="preserve">Synustech 회신 (Teaching 읽기에 대한 동작이 무엇인지?)
</t>
    </r>
    <r>
      <rPr>
        <b/>
        <sz val="8"/>
        <color theme="0"/>
        <rFont val="맑은 고딕"/>
        <family val="3"/>
        <charset val="129"/>
        <scheme val="minor"/>
      </rPr>
      <t>MST-&gt;R/MTeachingR/W Start 들어올 경우, Word영역[MST-&gt;RMTeachingR/W 아이디]에 써질 경우 OK</t>
    </r>
    <phoneticPr fontId="14" type="noConversion"/>
  </si>
  <si>
    <t>To MSTAccess중 R/M Down_From</t>
    <phoneticPr fontId="12" type="noConversion"/>
  </si>
  <si>
    <t>Clear CIM</t>
    <phoneticPr fontId="14" type="noConversion"/>
  </si>
  <si>
    <t>To MSTAccess중 R/M Down_To</t>
    <phoneticPr fontId="12" type="noConversion"/>
  </si>
  <si>
    <r>
      <t>Synustech 회신 (어떤 상황을 판단해야 True, False?)</t>
    </r>
    <r>
      <rPr>
        <b/>
        <sz val="8"/>
        <color theme="0"/>
        <rFont val="맑은 고딕"/>
        <family val="3"/>
        <charset val="129"/>
        <scheme val="minor"/>
      </rPr>
      <t xml:space="preserve">
To Mode, Foking 상태시점 부터 Down하여 Homing 시점까지 True</t>
    </r>
    <phoneticPr fontId="14" type="noConversion"/>
  </si>
  <si>
    <t>R/M-&gt;MSTFrom동작대기상태&lt;******&gt;</t>
    <phoneticPr fontId="12" type="noConversion"/>
  </si>
  <si>
    <t>Fork에 Cassette가 없으면 true(CST 판단 조건은 Fork Presence Sensor, Fork Placement Sensor#1, 2 모두 On일 때)</t>
    <phoneticPr fontId="14" type="noConversion"/>
  </si>
  <si>
    <t>R/M-&gt;MST"To"동작대기상태&lt;******&gt;</t>
    <phoneticPr fontId="12" type="noConversion"/>
  </si>
  <si>
    <t>Fork에 Cassette가 있으면 true(CST 판단 조건은 Fork Presence Sensor, Fork Placement Sensor#1, 2 모두 On일 때)</t>
    <phoneticPr fontId="14" type="noConversion"/>
  </si>
  <si>
    <t>R/M-&gt;MSTIDLE    상태</t>
    <phoneticPr fontId="12" type="noConversion"/>
  </si>
  <si>
    <t>From or To 동작을 안하고 있으면 true</t>
    <phoneticPr fontId="14" type="noConversion"/>
  </si>
  <si>
    <t>R/M-&gt;MSTACTIVE  상태</t>
    <phoneticPr fontId="12" type="noConversion"/>
  </si>
  <si>
    <t>From or To 동작 중이면 true</t>
    <phoneticPr fontId="14" type="noConversion"/>
  </si>
  <si>
    <t>MST-&gt;R/MHP Door 열림 상태********</t>
    <phoneticPr fontId="12" type="noConversion"/>
  </si>
  <si>
    <t>230224추가</t>
    <phoneticPr fontId="14" type="noConversion"/>
  </si>
  <si>
    <t>R/M-&gt;MSTKZTGoing상    태&lt;******&gt;</t>
  </si>
  <si>
    <t>From or To 동작 중 XZT가 움직이는 Step인 경우 true 그 외에는 false</t>
    <phoneticPr fontId="14" type="noConversion"/>
  </si>
  <si>
    <t>MST-&gt;R/MOP Door 열림 상태********</t>
    <phoneticPr fontId="12" type="noConversion"/>
  </si>
  <si>
    <t>230224추가</t>
  </si>
  <si>
    <t>MST-&gt;R/MHPEMO 눌림 상태********</t>
    <phoneticPr fontId="12" type="noConversion"/>
  </si>
  <si>
    <t>MST-&gt;R/MOPEMO 눌림 상태********</t>
    <phoneticPr fontId="12" type="noConversion"/>
  </si>
  <si>
    <t>R/M-&gt;MST Maint Move 동작상    태&lt;******&gt;</t>
    <phoneticPr fontId="12" type="noConversion"/>
  </si>
  <si>
    <r>
      <t xml:space="preserve">Synustech 회신 (Maint Move에 대한 동작 정의(Flow Map 같은 Sequence ? 참고 할만한 것이 있는지?))
</t>
    </r>
    <r>
      <rPr>
        <b/>
        <sz val="8"/>
        <color theme="0"/>
        <rFont val="맑은 고딕"/>
        <family val="3"/>
        <charset val="129"/>
        <scheme val="minor"/>
      </rPr>
      <t>From Flow 참고하여 Maint 위치로 이동 중일 때.(X,Z,T)</t>
    </r>
    <phoneticPr fontId="14" type="noConversion"/>
  </si>
  <si>
    <t>MST-&gt;R/MHPEscape 눌림 상태********</t>
    <phoneticPr fontId="12" type="noConversion"/>
  </si>
  <si>
    <t>R/M-&gt;MSTFrom동작상    태&lt;******&gt;</t>
    <phoneticPr fontId="12" type="noConversion"/>
  </si>
  <si>
    <t>From Sequence 중에는 true</t>
    <phoneticPr fontId="14" type="noConversion"/>
  </si>
  <si>
    <t>MST-&gt;R/MOPEscape 눌림 상태********</t>
    <phoneticPr fontId="12" type="noConversion"/>
  </si>
  <si>
    <t>R/M-&gt;MST"To"동작상    태&lt;******&gt;</t>
    <phoneticPr fontId="12" type="noConversion"/>
  </si>
  <si>
    <t>To Sequence 중에는 true</t>
    <phoneticPr fontId="14" type="noConversion"/>
  </si>
  <si>
    <t>MST-&gt;R/MKey Auto 상태********</t>
    <phoneticPr fontId="14" type="noConversion"/>
  </si>
  <si>
    <t>R/M-&gt;MST"Scan"동작상    태&lt;******&gt;</t>
    <phoneticPr fontId="12" type="noConversion"/>
  </si>
  <si>
    <t>MST-&gt;R/MHP Handy EMO 눌림 상태********</t>
    <phoneticPr fontId="12" type="noConversion"/>
  </si>
  <si>
    <t>MST-&gt;R/MOP Handy EMO 눌림 상태********</t>
    <phoneticPr fontId="12" type="noConversion"/>
  </si>
  <si>
    <t>R/M-&gt;MSTK-축FWD 동작상태&lt;******&gt;</t>
  </si>
  <si>
    <r>
      <t xml:space="preserve">Synustech 회신 ( + 값으로 가면 On ?) </t>
    </r>
    <r>
      <rPr>
        <b/>
        <sz val="8"/>
        <color theme="0"/>
        <rFont val="맑은 고딕"/>
        <family val="3"/>
        <charset val="129"/>
        <scheme val="minor"/>
      </rPr>
      <t>- 비활성 영역</t>
    </r>
    <phoneticPr fontId="14" type="noConversion"/>
  </si>
  <si>
    <t>R/M-&gt;MSTK-축BWD 동작상태&lt;******&gt;</t>
  </si>
  <si>
    <t>R/M-&gt;MSTK-축고속동작상태&lt;******&gt;</t>
  </si>
  <si>
    <t>R/M-&gt;MSTArm Home위치상태&lt;******&gt;</t>
    <phoneticPr fontId="12" type="noConversion"/>
  </si>
  <si>
    <r>
      <t xml:space="preserve">Synustech 회신 ( Arm 축 Home Sensor On이면 On ?)
</t>
    </r>
    <r>
      <rPr>
        <b/>
        <sz val="8"/>
        <color theme="0"/>
        <rFont val="맑은 고딕"/>
        <family val="3"/>
        <charset val="129"/>
        <scheme val="minor"/>
      </rPr>
      <t>Arm 축 Home Sensor On이면 On</t>
    </r>
    <phoneticPr fontId="14" type="noConversion"/>
  </si>
  <si>
    <t>R/M-&gt;MST Turn Left위치상태&lt;******&gt;</t>
    <phoneticPr fontId="12" type="noConversion"/>
  </si>
  <si>
    <r>
      <t xml:space="preserve">Synustech 회신 ( Sensor Input을 통해 Update ?)
</t>
    </r>
    <r>
      <rPr>
        <b/>
        <sz val="8"/>
        <color theme="0"/>
        <rFont val="맑은 고딕"/>
        <family val="3"/>
        <charset val="129"/>
        <scheme val="minor"/>
      </rPr>
      <t>Position 값으로 90도 이내면 On</t>
    </r>
    <phoneticPr fontId="14" type="noConversion"/>
  </si>
  <si>
    <t>R/M-&gt;MST Turn Righ위치상태&lt;******&gt;</t>
    <phoneticPr fontId="12" type="noConversion"/>
  </si>
  <si>
    <r>
      <t xml:space="preserve">Synustech 회신 ( Sensor Input을 통해 Update ?)
</t>
    </r>
    <r>
      <rPr>
        <b/>
        <sz val="8"/>
        <color theme="0"/>
        <rFont val="맑은 고딕"/>
        <family val="3"/>
        <charset val="129"/>
        <scheme val="minor"/>
      </rPr>
      <t>Position 값으로 90도 이상이면 On</t>
    </r>
    <phoneticPr fontId="14" type="noConversion"/>
  </si>
  <si>
    <t>R/M-&gt;MST카 세 트없음상태&lt;******&gt;</t>
    <phoneticPr fontId="12" type="noConversion"/>
  </si>
  <si>
    <t>Fork Presence Sensor, Fork Placement #1,2 Sensor 체크해서 1개라도 Off면 false</t>
    <phoneticPr fontId="14" type="noConversion"/>
  </si>
  <si>
    <t>R/M-&gt;MST카 세 트정 위 치상    태</t>
    <phoneticPr fontId="12" type="noConversion"/>
  </si>
  <si>
    <t>R/M-&gt;MST&lt;X-Axis&gt;파워"온"상    태</t>
  </si>
  <si>
    <r>
      <t>Synustech 회신 (어떤 상황을 판단해야 True, False?)</t>
    </r>
    <r>
      <rPr>
        <b/>
        <sz val="8"/>
        <color theme="0"/>
        <rFont val="맑은 고딕"/>
        <family val="3"/>
        <charset val="129"/>
        <scheme val="minor"/>
      </rPr>
      <t xml:space="preserve"> - 파나소닉 Servo 에서 받아옴</t>
    </r>
    <phoneticPr fontId="14" type="noConversion"/>
  </si>
  <si>
    <t>R/M-&gt;MST&lt;X-Axis&gt;서보"온"상    태</t>
  </si>
  <si>
    <t>WMX Servo Status Update</t>
    <phoneticPr fontId="14" type="noConversion"/>
  </si>
  <si>
    <t>R/M-&gt;MST&lt;X-Axis&gt;원점복귀상    태</t>
  </si>
  <si>
    <t>R/M-&gt;MST&lt;Z-Axis&gt;파워"온"상    태</t>
    <phoneticPr fontId="12" type="noConversion"/>
  </si>
  <si>
    <r>
      <t>Synustech 회신 (어떤 상황을 판단해야 True, False?)</t>
    </r>
    <r>
      <rPr>
        <b/>
        <sz val="8"/>
        <color theme="0"/>
        <rFont val="맑은 고딕"/>
        <family val="3"/>
        <charset val="129"/>
        <scheme val="minor"/>
      </rPr>
      <t xml:space="preserve"> -파나소닉 Servo 에서 받아옴</t>
    </r>
    <phoneticPr fontId="14" type="noConversion"/>
  </si>
  <si>
    <t>R/M-&gt;MST&lt;Z-Axis&gt;서보"온"상    태</t>
    <phoneticPr fontId="12" type="noConversion"/>
  </si>
  <si>
    <t>R/M-&gt;MST&lt;Z-Axis&gt;원점복귀상    태</t>
    <phoneticPr fontId="12" type="noConversion"/>
  </si>
  <si>
    <t>R/M-&gt;MST&lt;A-Axis&gt;파워"온"상    태</t>
  </si>
  <si>
    <t>R/M-&gt;MST&lt;A-Axis&gt;서보"온"상    태</t>
  </si>
  <si>
    <t>R/M-&gt;MST&lt;A-Axis&gt;원점복귀상    태</t>
    <phoneticPr fontId="12" type="noConversion"/>
  </si>
  <si>
    <t>R/M-&gt;MST&lt;T-Axis&gt;파워"온"상    태</t>
    <phoneticPr fontId="12" type="noConversion"/>
  </si>
  <si>
    <t>R/M-&gt;MST&lt;T-Axis&gt;서보"온"상    태</t>
    <phoneticPr fontId="12" type="noConversion"/>
  </si>
  <si>
    <t>R/M-&gt;MST&lt;T-Axis&gt;원점복귀상    태</t>
    <phoneticPr fontId="12" type="noConversion"/>
  </si>
  <si>
    <t>Auto Teaching Start Request (사용/미사용 미정) - MJH</t>
    <phoneticPr fontId="12" type="noConversion"/>
  </si>
  <si>
    <t>Auto Teaching Complete Ack (사용/미사용 미정) - MJH</t>
    <phoneticPr fontId="12" type="noConversion"/>
  </si>
  <si>
    <t>Auto Teaching Stop Request (사용/미사용 미정) - MJH</t>
    <phoneticPr fontId="12" type="noConversion"/>
  </si>
  <si>
    <t>R/M-&gt;MST 이중반입센서상태 #2</t>
    <phoneticPr fontId="12" type="noConversion"/>
  </si>
  <si>
    <t>Auto Teaching Abnormal Ack (사용/미사용 미정) - MJH</t>
    <phoneticPr fontId="12" type="noConversion"/>
  </si>
  <si>
    <t>R/M-&gt;MST&lt;E-Stop&gt;눌    림상    태</t>
    <phoneticPr fontId="12" type="noConversion"/>
  </si>
  <si>
    <t>R/M-&gt;MSTHandy EMO 눌    림상    태</t>
    <phoneticPr fontId="12" type="noConversion"/>
  </si>
  <si>
    <t>R/M-&gt;MST 이중반입센서상태</t>
    <phoneticPr fontId="12" type="noConversion"/>
  </si>
  <si>
    <r>
      <t xml:space="preserve">Synustech 회신 (어느 상황에서 명령을 주면 될지? Auto Run 명령 주기 직전?) &lt;CIM Only??&gt;
</t>
    </r>
    <r>
      <rPr>
        <b/>
        <sz val="8"/>
        <color theme="0"/>
        <rFont val="맑은 고딕"/>
        <family val="3"/>
        <charset val="129"/>
        <scheme val="minor"/>
      </rPr>
      <t>On시 Word영역 MST-&gt;R/M&lt;n-Axis&gt;최대부하현재 값을 초기화 함.(button 생성 필요)</t>
    </r>
    <phoneticPr fontId="14" type="noConversion"/>
  </si>
  <si>
    <t>MST-&gt;R/M&lt;X-Axis&gt;최대부하초기화</t>
    <phoneticPr fontId="12" type="noConversion"/>
  </si>
  <si>
    <t xml:space="preserve">R/M-&gt;MSTArmCST-전체 미감지 </t>
    <phoneticPr fontId="12" type="noConversion"/>
  </si>
  <si>
    <r>
      <t xml:space="preserve">Synustech 회신 (어느 상황에서 명령을 주면 될지? Auto Run 명령 주기 직전?) &lt;CIM Only??&gt;
</t>
    </r>
    <r>
      <rPr>
        <b/>
        <sz val="8"/>
        <color theme="0"/>
        <rFont val="맑은 고딕"/>
        <family val="3"/>
        <charset val="129"/>
        <scheme val="minor"/>
      </rPr>
      <t>On시 Word영역 MST-&gt;R/M&lt;n-Axis&gt;최대부하현재 값을 초기화 함.</t>
    </r>
    <phoneticPr fontId="14" type="noConversion"/>
  </si>
  <si>
    <t>MST-&gt;R/M&lt;Z-Axis&gt;최대부하초기화</t>
    <phoneticPr fontId="12" type="noConversion"/>
  </si>
  <si>
    <t>R/M-&gt;MSTArmCST-1감지센서상    태</t>
    <phoneticPr fontId="12" type="noConversion"/>
  </si>
  <si>
    <t>MST-&gt;R/M&lt;A-Axis&gt;최대부하초기화</t>
    <phoneticPr fontId="12" type="noConversion"/>
  </si>
  <si>
    <t>R/M-&gt;MSTArmCST-2감지센서상    태</t>
    <phoneticPr fontId="12" type="noConversion"/>
  </si>
  <si>
    <t>MST-&gt;R/M&lt;T-Axis&gt;최대부하초기화</t>
    <phoneticPr fontId="12" type="noConversion"/>
  </si>
  <si>
    <t>R/M-&gt;MSTArmCST-대각감지_센서</t>
    <phoneticPr fontId="12" type="noConversion"/>
  </si>
  <si>
    <t>R/M-&gt;MST Left From Sensor</t>
    <phoneticPr fontId="12" type="noConversion"/>
  </si>
  <si>
    <r>
      <t xml:space="preserve">Synustech 회신 (어느 상황에서 명령을 주면 될지? Auto Run 명령 주기 직전?) &lt;CIM Only??&gt;
</t>
    </r>
    <r>
      <rPr>
        <b/>
        <sz val="8"/>
        <color theme="0"/>
        <rFont val="맑은 고딕"/>
        <family val="3"/>
        <charset val="129"/>
        <scheme val="minor"/>
      </rPr>
      <t>On시 Word영역 MST-&gt;R/M&lt;n-Axis&gt;최대부하리밋입력값이 R/M-&gt;MST&lt;n-Axis&gt;최대부하설정값에 덮어씀</t>
    </r>
    <phoneticPr fontId="14" type="noConversion"/>
  </si>
  <si>
    <t>MST-&gt;R/M&lt;X-Axis&gt;최대부하리밋적용</t>
    <phoneticPr fontId="12" type="noConversion"/>
  </si>
  <si>
    <t>R/M-&gt;MST Left To Sensor</t>
    <phoneticPr fontId="12" type="noConversion"/>
  </si>
  <si>
    <t>MST-&gt;R/M&lt;Z-Axis&gt;최대부하리밋적용</t>
    <phoneticPr fontId="12" type="noConversion"/>
  </si>
  <si>
    <t>R/M-&gt;MST Right From Sensor</t>
    <phoneticPr fontId="12" type="noConversion"/>
  </si>
  <si>
    <t>MST-&gt;R/M&lt;A-Axis&gt;최대부하리밋적용</t>
    <phoneticPr fontId="12" type="noConversion"/>
  </si>
  <si>
    <t>R/M-&gt;MST Right To Sensor</t>
    <phoneticPr fontId="12" type="noConversion"/>
  </si>
  <si>
    <t>MST-&gt;R/M&lt;T-Axis&gt;최대부하리밋적용</t>
    <phoneticPr fontId="12" type="noConversion"/>
  </si>
  <si>
    <t>R/M-&gt;MST Left 1-돌출감지_센서(FRONT)</t>
    <phoneticPr fontId="12" type="noConversion"/>
  </si>
  <si>
    <t>R/M-&gt;MST Left 2-돌출감지_센서(REAR )</t>
    <phoneticPr fontId="12" type="noConversion"/>
  </si>
  <si>
    <t>R/M-&gt;MST Right 1-돌출감지_센서(FRONT)</t>
    <phoneticPr fontId="12" type="noConversion"/>
  </si>
  <si>
    <t>R/M-&gt;MST Right 2-돌출감지_센서(REAR )</t>
    <phoneticPr fontId="12" type="noConversion"/>
  </si>
  <si>
    <t>R/M-&gt;MST&lt;Z-Axis&gt;HP Home센서상    태</t>
    <phoneticPr fontId="12" type="noConversion"/>
  </si>
  <si>
    <t>R/M-&gt;MST&lt;Z-Axis&gt;HP NOT 센서상    태</t>
    <phoneticPr fontId="12" type="noConversion"/>
  </si>
  <si>
    <t>R/M-&gt;MST&lt;Z-Axis&gt;HP POT 센서상    태</t>
    <phoneticPr fontId="12" type="noConversion"/>
  </si>
  <si>
    <t>R/M-&gt;MST Maint Stopper 상태 #1</t>
    <phoneticPr fontId="14" type="noConversion"/>
  </si>
  <si>
    <r>
      <t>Synustech 회신 (어느 상황에서 명령을 주면 될지?) &lt;CIM Only??&gt;</t>
    </r>
    <r>
      <rPr>
        <b/>
        <sz val="8"/>
        <color theme="0"/>
        <rFont val="맑은 고딕"/>
        <family val="3"/>
        <charset val="129"/>
        <scheme val="minor"/>
      </rPr>
      <t xml:space="preserve"> - 비활성 영역</t>
    </r>
    <phoneticPr fontId="14" type="noConversion"/>
  </si>
  <si>
    <t>MST-&gt;R/M&lt;X-Axis&gt;자동원점현재리셋</t>
    <phoneticPr fontId="12" type="noConversion"/>
  </si>
  <si>
    <t>R/M-&gt;MST Maint Stopper 상태 #2</t>
    <phoneticPr fontId="14" type="noConversion"/>
  </si>
  <si>
    <t>MST-&gt;R/M&lt;Z-Axis&gt;자동원점현재리셋</t>
    <phoneticPr fontId="12" type="noConversion"/>
  </si>
  <si>
    <t>R/M-&gt;MST Z-Axis Wire Cut 센서상 태</t>
    <phoneticPr fontId="14" type="noConversion"/>
  </si>
  <si>
    <t>MST-&gt;R/M&lt;A-Axis&gt;자동원점현재리셋</t>
    <phoneticPr fontId="12" type="noConversion"/>
  </si>
  <si>
    <t>R/M-&gt;MST HP EMO PUSH 상태</t>
    <phoneticPr fontId="12" type="noConversion"/>
  </si>
  <si>
    <r>
      <t xml:space="preserve">Synustech 회신 (어느 상황에서 명령을 주면 될지?) &lt;CIM Only??&gt; </t>
    </r>
    <r>
      <rPr>
        <b/>
        <sz val="8"/>
        <color theme="0"/>
        <rFont val="맑은 고딕"/>
        <family val="3"/>
        <charset val="129"/>
        <scheme val="minor"/>
      </rPr>
      <t>- 비활성 영역</t>
    </r>
    <phoneticPr fontId="14" type="noConversion"/>
  </si>
  <si>
    <t>MST-&gt;R/M&lt;T-Axis&gt;자동원점현재리셋</t>
    <phoneticPr fontId="12" type="noConversion"/>
  </si>
  <si>
    <t>R/M-&gt;MST OP EMO PUSH 상태</t>
    <phoneticPr fontId="12" type="noConversion"/>
  </si>
  <si>
    <r>
      <t>Synustech 회신 (어디서 명령을 내리는지?, UI에서 조작하는 영역 없음) &lt;CIM Only??&gt;</t>
    </r>
    <r>
      <rPr>
        <b/>
        <sz val="8"/>
        <color theme="0"/>
        <rFont val="맑은 고딕"/>
        <family val="3"/>
        <charset val="129"/>
        <scheme val="minor"/>
      </rPr>
      <t>- 비활성 영역</t>
    </r>
    <phoneticPr fontId="14" type="noConversion"/>
  </si>
  <si>
    <t>MST-&gt;R/M&lt;X-Axis&gt;자동원점횟수적용</t>
    <phoneticPr fontId="12" type="noConversion"/>
  </si>
  <si>
    <t>MST-&gt;R/M&lt;Z-Axis&gt;자동원점횟수적용</t>
    <phoneticPr fontId="12" type="noConversion"/>
  </si>
  <si>
    <t>R/M-&gt;MST DTP Mode Select S/W #1</t>
    <phoneticPr fontId="14" type="noConversion"/>
  </si>
  <si>
    <t>MST-&gt;R/M&lt;A-Axis&gt;자동원점횟수적용</t>
    <phoneticPr fontId="12" type="noConversion"/>
  </si>
  <si>
    <t>R/M-&gt;MST DTP Mode Select S/W #2</t>
    <phoneticPr fontId="14" type="noConversion"/>
  </si>
  <si>
    <t>MST-&gt;R/M&lt;T-Axis&gt;자동원점횟수적용</t>
    <phoneticPr fontId="12" type="noConversion"/>
  </si>
  <si>
    <t>R/M-&gt;MST Handy Touch DETECT 상태</t>
  </si>
  <si>
    <t>Position Sensor 1</t>
    <phoneticPr fontId="14" type="noConversion"/>
  </si>
  <si>
    <t>Position Sensor 2</t>
    <phoneticPr fontId="14" type="noConversion"/>
  </si>
  <si>
    <t>R/M-&gt;MST&lt;X-Axis&gt;HP Home센서상    태</t>
    <phoneticPr fontId="12" type="noConversion"/>
  </si>
  <si>
    <t>R/M-&gt;MST&lt;X-Axis&gt;HP Slow센서상    태</t>
    <phoneticPr fontId="12" type="noConversion"/>
  </si>
  <si>
    <t>R/M-&gt;MST&lt;X-Axis&gt;HP NOT 센서상    태</t>
    <phoneticPr fontId="12" type="noConversion"/>
  </si>
  <si>
    <t>R/M-&gt;MST&lt;X-Axis&gt;OP Slow 센서상    태</t>
    <phoneticPr fontId="12" type="noConversion"/>
  </si>
  <si>
    <t>R/M-&gt;MST&lt;X-Axis&gt;OP POT 센서상    태</t>
    <phoneticPr fontId="12" type="noConversion"/>
  </si>
  <si>
    <t>R/M-&gt;MST&lt;A-Axis&gt;Home센서상    태</t>
  </si>
  <si>
    <t>R/M-&gt;MST&lt;A-Axis&gt;NOT 센서상    태</t>
  </si>
  <si>
    <t>제 외</t>
    <phoneticPr fontId="14" type="noConversion"/>
  </si>
  <si>
    <t>R/M-&gt;MST&lt;A-Axis&gt;POT 센서상    태</t>
  </si>
  <si>
    <t>R/M-&gt;MST&lt;A-Axis&gt;POS 1 센서상    태</t>
    <phoneticPr fontId="12" type="noConversion"/>
  </si>
  <si>
    <t>R/M-&gt;MST&lt;A-Axis&gt;POS 2 센서상    태</t>
    <phoneticPr fontId="12" type="noConversion"/>
  </si>
  <si>
    <t>R/M-&gt;MST&lt;A-Axis&gt;POS 3 센서상    태</t>
    <phoneticPr fontId="12" type="noConversion"/>
  </si>
  <si>
    <t>R/M-&gt;MST&lt;T-Axis&gt;Home센서상    태</t>
    <phoneticPr fontId="12" type="noConversion"/>
  </si>
  <si>
    <t>R/M-&gt;MST&lt;T-Axis&gt;NOT 센서상    태</t>
    <phoneticPr fontId="12" type="noConversion"/>
  </si>
  <si>
    <t>R/M-&gt;MST&lt;T-Axis&gt;POT 센서상    태</t>
    <phoneticPr fontId="12" type="noConversion"/>
  </si>
  <si>
    <t>R/M-&gt;MST&lt;T-Axis&gt;Pos'센서상    태</t>
    <phoneticPr fontId="12" type="noConversion"/>
  </si>
  <si>
    <t>R/M-&gt;MST CPS 2ND RUN</t>
    <phoneticPr fontId="12" type="noConversion"/>
  </si>
  <si>
    <t>R/M-&gt;MST CPS 2ND FAULT</t>
    <phoneticPr fontId="12" type="noConversion"/>
  </si>
  <si>
    <t>R/M-&gt;MSTFrom동작Step"#0"완료상태</t>
    <phoneticPr fontId="12" type="noConversion"/>
  </si>
  <si>
    <t>R/M-&gt;MSTFrom동작Step"#1"완료상태</t>
    <phoneticPr fontId="12" type="noConversion"/>
  </si>
  <si>
    <t>R/M-&gt;MSTFrom동작Step"#2"완료상태</t>
  </si>
  <si>
    <t>R/M-&gt;MSTFrom동작Step"#3"완료상태</t>
  </si>
  <si>
    <t>R/M-&gt;MSTFrom동작Step"#4"완료상태</t>
  </si>
  <si>
    <t>R/M-&gt;MST"To"동작Step"#0"완료상태</t>
    <phoneticPr fontId="12" type="noConversion"/>
  </si>
  <si>
    <t>R/M-&gt;MST"To"동작Step"#1"완료상태</t>
    <phoneticPr fontId="12" type="noConversion"/>
  </si>
  <si>
    <t>R/M-&gt;MST"To"동작Step"#2"완료상태</t>
  </si>
  <si>
    <t>R/M-&gt;MST"To"동작Step"#3"완료상태</t>
  </si>
  <si>
    <t>R/M-&gt;MST"To"동작Step"#4"완료상태</t>
  </si>
  <si>
    <t>R/M-&gt;MST통신상태체    크0.5Clock</t>
    <phoneticPr fontId="12" type="noConversion"/>
  </si>
  <si>
    <t>To MST&lt;X-Axis&gt;Busy상태&lt;******&gt;</t>
  </si>
  <si>
    <t>To MST&lt;Z-Axis&gt;Busy상태&lt;******&gt;</t>
    <phoneticPr fontId="12" type="noConversion"/>
  </si>
  <si>
    <t>To MST&lt;T-Axis&gt;Busy상태&lt;******&gt;</t>
  </si>
  <si>
    <t>To MST&lt;A-Axis&gt;Busy상태&lt;******&gt;</t>
    <phoneticPr fontId="12" type="noConversion"/>
  </si>
  <si>
    <t>Master Program에서 RackMaster를 Master Mode로 운용 중이며
RM의 From, To ID가 일치하는 Port의 PIO를 Update 하며
Port의 PIO는 Port가 Auto Run 상태에서 Update 됨</t>
    <phoneticPr fontId="14" type="noConversion"/>
  </si>
  <si>
    <t>L-REQ</t>
  </si>
  <si>
    <t>Master Area</t>
    <phoneticPr fontId="14" type="noConversion"/>
  </si>
  <si>
    <t>TR-REQ</t>
    <phoneticPr fontId="14" type="noConversion"/>
  </si>
  <si>
    <t>R/M PIO Status</t>
    <phoneticPr fontId="14" type="noConversion"/>
  </si>
  <si>
    <t>Port&amp;Shelf Check Step에서 Port인 경우 PIO 개시
(From or To ID를 받고 해당 ID가 Port인지 Shelf인지 ID로 체크)</t>
    <phoneticPr fontId="14" type="noConversion"/>
  </si>
  <si>
    <t>UL-REQ</t>
  </si>
  <si>
    <t>BUSY</t>
  </si>
  <si>
    <t>READY</t>
  </si>
  <si>
    <t>COMPLETE</t>
  </si>
  <si>
    <t>PORT ERROR</t>
  </si>
  <si>
    <t>STK ERROR</t>
  </si>
  <si>
    <t>TRANSFERLING</t>
  </si>
  <si>
    <t>INPUT STATUS</t>
  </si>
  <si>
    <t>OUTPUT STATUS</t>
  </si>
  <si>
    <t>ID Read Done</t>
  </si>
  <si>
    <t>ID Read Done ACK</t>
  </si>
  <si>
    <t>SS-One &lt;--&gt; MST Communication Word Map</t>
    <phoneticPr fontId="12" type="noConversion"/>
  </si>
  <si>
    <t>Word Group</t>
    <phoneticPr fontId="14" type="noConversion"/>
  </si>
  <si>
    <t>MST &gt; SS-ONE 에러워    드&lt;******&gt;</t>
    <phoneticPr fontId="12" type="noConversion"/>
  </si>
  <si>
    <t>Alarm List 중 Master 영역 Word Insert</t>
    <phoneticPr fontId="14" type="noConversion"/>
  </si>
  <si>
    <t>MST &gt; SS-ONE CPS#1 1st 에러워드</t>
    <phoneticPr fontId="12" type="noConversion"/>
  </si>
  <si>
    <r>
      <t xml:space="preserve">Synustech 회신 (CPS Error Word는 어디서 받아오는 지?)
</t>
    </r>
    <r>
      <rPr>
        <b/>
        <sz val="8"/>
        <color theme="0"/>
        <rFont val="맑은 고딕"/>
        <family val="3"/>
        <charset val="129"/>
        <scheme val="minor"/>
      </rPr>
      <t>CPS 에러워드는 CPS Type 에서 사용됩니다. 
해당 코멘트 및 영역은 AlarmList(RM)영역에 추가하였습니다. (추후 Silicon Box CPS 사용시 활성화)</t>
    </r>
    <r>
      <rPr>
        <b/>
        <sz val="8"/>
        <color theme="1"/>
        <rFont val="맑은 고딕"/>
        <family val="3"/>
        <charset val="129"/>
        <scheme val="minor"/>
      </rPr>
      <t xml:space="preserve">
</t>
    </r>
    <phoneticPr fontId="14" type="noConversion"/>
  </si>
  <si>
    <r>
      <t xml:space="preserve">Synustech 회신 (수신 한 경우 어떤 동작을 해야 하는지?)
</t>
    </r>
    <r>
      <rPr>
        <b/>
        <sz val="8"/>
        <color theme="0"/>
        <rFont val="맑은 고딕"/>
        <family val="3"/>
        <charset val="129"/>
        <scheme val="minor"/>
      </rPr>
      <t>수신한 경우 STK 내부 설치 된 형광은을 ON 합니다.
Manual(즉 PM상태인 경우에는 ON, Auto중일 때는 사용자 지정 시간(Default Value:1min)뒤 소등됩니다)</t>
    </r>
    <phoneticPr fontId="14" type="noConversion"/>
  </si>
  <si>
    <t>CIM-&gt;MST형광등  ON 시간</t>
    <phoneticPr fontId="14" type="noConversion"/>
  </si>
  <si>
    <t>미사용 (Demo Line)</t>
    <phoneticPr fontId="14" type="noConversion"/>
  </si>
  <si>
    <t>MST-&gt;CIM형광등  현재    적용시간</t>
    <phoneticPr fontId="12" type="noConversion"/>
  </si>
  <si>
    <r>
      <t xml:space="preserve">Synustech 회신  (어디서 받아오는 지?)
</t>
    </r>
    <r>
      <rPr>
        <b/>
        <sz val="8"/>
        <color theme="0"/>
        <rFont val="맑은 고딕"/>
        <family val="3"/>
        <charset val="129"/>
        <scheme val="minor"/>
      </rPr>
      <t>Auto중일 경우 사용자 지정 시간(Default Value:1min)뒤 소등됩니다)&gt;&gt;&gt;&gt;&gt;&gt;&gt;&gt;&gt;&gt;&gt;&gt;&gt;&gt;&gt;Silicon Box 적용</t>
    </r>
    <phoneticPr fontId="14" type="noConversion"/>
  </si>
  <si>
    <t>Synustech 회신 (수신 한 경우 어떤 동작을 해야 하는지?)</t>
    <phoneticPr fontId="14" type="noConversion"/>
  </si>
  <si>
    <t>CIM -&gt; MST Watch dog</t>
    <phoneticPr fontId="14" type="noConversion"/>
  </si>
  <si>
    <t>MST -&gt; CIM Watch dog</t>
    <phoneticPr fontId="12" type="noConversion"/>
  </si>
  <si>
    <t>Synustech 회신  (어디서 받아오는 지?)</t>
    <phoneticPr fontId="14" type="noConversion"/>
  </si>
  <si>
    <t>CPS#1 출력 전압</t>
    <phoneticPr fontId="12" type="noConversion"/>
  </si>
  <si>
    <r>
      <t xml:space="preserve">Synustech 회신  (어디서 받아오는 지?) 
</t>
    </r>
    <r>
      <rPr>
        <b/>
        <sz val="8"/>
        <color theme="0"/>
        <rFont val="맑은 고딕"/>
        <family val="3"/>
        <charset val="129"/>
        <scheme val="minor"/>
      </rPr>
      <t xml:space="preserve"> (추후 Silicon Box CPS 사용시 활성화)</t>
    </r>
    <phoneticPr fontId="14" type="noConversion"/>
  </si>
  <si>
    <t>CPS#1 DC 전류</t>
    <phoneticPr fontId="14" type="noConversion"/>
  </si>
  <si>
    <r>
      <t xml:space="preserve">Synustech 회신  (어디서 받아오는 지?)
</t>
    </r>
    <r>
      <rPr>
        <b/>
        <sz val="8"/>
        <color theme="0"/>
        <rFont val="맑은 고딕"/>
        <family val="3"/>
        <charset val="129"/>
        <scheme val="minor"/>
      </rPr>
      <t xml:space="preserve"> (추후 Silicon Box CPS 사용시 활성화)</t>
    </r>
    <phoneticPr fontId="14" type="noConversion"/>
  </si>
  <si>
    <t>CPS#1 IGBT 전류</t>
    <phoneticPr fontId="14" type="noConversion"/>
  </si>
  <si>
    <t>CPS#1 Track 전류</t>
    <phoneticPr fontId="14" type="noConversion"/>
  </si>
  <si>
    <t>CPS#1 출력 주파수1</t>
    <phoneticPr fontId="14" type="noConversion"/>
  </si>
  <si>
    <t>float</t>
    <phoneticPr fontId="14" type="noConversion"/>
  </si>
  <si>
    <t>CPS#1 출력 주파수2</t>
    <phoneticPr fontId="14" type="noConversion"/>
  </si>
  <si>
    <t>CPS#1 방열판 온도1</t>
    <phoneticPr fontId="12" type="noConversion"/>
  </si>
  <si>
    <t>CPS#1 방열판 온도2</t>
    <phoneticPr fontId="12" type="noConversion"/>
  </si>
  <si>
    <t>CPS#1 내부 온도1</t>
    <phoneticPr fontId="12" type="noConversion"/>
  </si>
  <si>
    <t>CPS#1 내부 온도2</t>
    <phoneticPr fontId="14" type="noConversion"/>
  </si>
  <si>
    <t>SS-One &lt;--&gt; R/M Communication Word Map</t>
    <phoneticPr fontId="12" type="noConversion"/>
  </si>
  <si>
    <t>Word</t>
    <phoneticPr fontId="14" type="noConversion"/>
  </si>
  <si>
    <t>R/M#2</t>
    <phoneticPr fontId="12" type="noConversion"/>
  </si>
  <si>
    <t>Group</t>
    <phoneticPr fontId="14" type="noConversion"/>
  </si>
  <si>
    <r>
      <t xml:space="preserve">Synustech 회신 (어떤 타이밍에 Cassette ID를 넘겨주는 지)
</t>
    </r>
    <r>
      <rPr>
        <b/>
        <sz val="11"/>
        <color theme="0"/>
        <rFont val="맑은 고딕"/>
        <family val="3"/>
        <charset val="129"/>
        <scheme val="minor"/>
      </rPr>
      <t>RM-&gt;MST Access Shelf ID를 확인 하여 Port ID인 경우</t>
    </r>
    <phoneticPr fontId="14" type="noConversion"/>
  </si>
  <si>
    <t>MST-&gt;R/MCassette아 이 디PIO Word</t>
    <phoneticPr fontId="12" type="noConversion"/>
  </si>
  <si>
    <t>R/M-&gt;MSTCassette아 이 디PIO Word</t>
  </si>
  <si>
    <r>
      <t xml:space="preserve">Synustech 회신 (어떤 타이밍에 Cassette ID를 넘겨주는 지)
</t>
    </r>
    <r>
      <rPr>
        <b/>
        <sz val="11"/>
        <color theme="0"/>
        <rFont val="맑은 고딕"/>
        <family val="3"/>
        <charset val="129"/>
        <scheme val="minor"/>
      </rPr>
      <t>TO Mode 시작 시, Master-&gt;RM 받아온다.
(TO Mode Complete를 보고 초기화 or RM이 Idle이고 CST가 없을 때 초기화)</t>
    </r>
    <phoneticPr fontId="14" type="noConversion"/>
  </si>
  <si>
    <t>23.06.19 Remove</t>
    <phoneticPr fontId="14" type="noConversion"/>
  </si>
  <si>
    <r>
      <t xml:space="preserve">Synustech 회신 (Master Program의 현재 시간 적용하면 되는지?)
</t>
    </r>
    <r>
      <rPr>
        <b/>
        <sz val="11"/>
        <color theme="0"/>
        <rFont val="맑은 고딕"/>
        <family val="3"/>
        <charset val="129"/>
        <scheme val="minor"/>
      </rPr>
      <t>네</t>
    </r>
    <phoneticPr fontId="14" type="noConversion"/>
  </si>
  <si>
    <t>MST-&gt;R/M 년(2015)</t>
    <phoneticPr fontId="12" type="noConversion"/>
  </si>
  <si>
    <t>R/M-&gt;MST&lt;X-Axis&gt;현    재위 치 값</t>
    <phoneticPr fontId="12" type="noConversion"/>
  </si>
  <si>
    <t>float</t>
  </si>
  <si>
    <t>WMX Motion Data Update</t>
    <phoneticPr fontId="14" type="noConversion"/>
  </si>
  <si>
    <t>MST-&gt;R/M 월(05)</t>
    <phoneticPr fontId="12" type="noConversion"/>
  </si>
  <si>
    <t>MST-&gt;R/M일(23)</t>
    <phoneticPr fontId="12" type="noConversion"/>
  </si>
  <si>
    <t>R/M-&gt;MST&lt;X-Axis&gt;목 적 지위 치 값</t>
    <phoneticPr fontId="12" type="noConversion"/>
  </si>
  <si>
    <t>MST-&gt;R/M 시(10)</t>
    <phoneticPr fontId="12" type="noConversion"/>
  </si>
  <si>
    <t>MST-&gt;R/M 분(20)</t>
    <phoneticPr fontId="12" type="noConversion"/>
  </si>
  <si>
    <t>R/M-&gt;MST&lt;X-Axis&gt;현    재속 도 값</t>
    <phoneticPr fontId="12" type="noConversion"/>
  </si>
  <si>
    <t>MST-&gt;R/M 초(45)</t>
    <phoneticPr fontId="12" type="noConversion"/>
  </si>
  <si>
    <t>MST-&gt;R/M 요일(0-일)</t>
    <phoneticPr fontId="12" type="noConversion"/>
  </si>
  <si>
    <t>R/M-&gt;MST&lt;X-Axis&gt;최대부하현재값</t>
    <phoneticPr fontId="12" type="noConversion"/>
  </si>
  <si>
    <t>알람 발생 시 측정 값</t>
    <phoneticPr fontId="14" type="noConversion"/>
  </si>
  <si>
    <t>R/M-&gt;MST&lt;X-Axis&gt;최대부하설정값</t>
    <phoneticPr fontId="12" type="noConversion"/>
  </si>
  <si>
    <t>알람 관련</t>
    <phoneticPr fontId="14" type="noConversion"/>
  </si>
  <si>
    <t>R/M-&gt;MST&lt;X-Axis&gt;자동원점현재수량</t>
    <phoneticPr fontId="12" type="noConversion"/>
  </si>
  <si>
    <r>
      <t>Synustech 회신  (어디서 받아오는 지?)</t>
    </r>
    <r>
      <rPr>
        <b/>
        <sz val="8"/>
        <color theme="0"/>
        <rFont val="맑은 고딕"/>
        <family val="3"/>
        <charset val="129"/>
        <scheme val="minor"/>
      </rPr>
      <t xml:space="preserve"> - 비활성 영역</t>
    </r>
    <phoneticPr fontId="14" type="noConversion"/>
  </si>
  <si>
    <t>R/M-&gt;MST&lt;X-Axis&gt;자동원점적용값</t>
    <phoneticPr fontId="12" type="noConversion"/>
  </si>
  <si>
    <t xml:space="preserve">R/M-&gt;MST&lt;X-Axis&gt;가속값 </t>
    <phoneticPr fontId="12" type="noConversion"/>
  </si>
  <si>
    <r>
      <t>Synustech 회신  (어디서 받아오는 지?)</t>
    </r>
    <r>
      <rPr>
        <b/>
        <sz val="8"/>
        <color theme="0"/>
        <rFont val="맑은 고딕"/>
        <family val="3"/>
        <charset val="129"/>
        <scheme val="minor"/>
      </rPr>
      <t xml:space="preserve"> - 사용자 가속 설정값</t>
    </r>
    <phoneticPr fontId="14" type="noConversion"/>
  </si>
  <si>
    <t>R/M-&gt;MST&lt;X-Axis&gt;감속값</t>
    <phoneticPr fontId="12" type="noConversion"/>
  </si>
  <si>
    <r>
      <t>Synustech 회신  (어디서 받아오는 지?)</t>
    </r>
    <r>
      <rPr>
        <b/>
        <sz val="8"/>
        <color theme="0"/>
        <rFont val="맑은 고딕"/>
        <family val="3"/>
        <charset val="129"/>
        <scheme val="minor"/>
      </rPr>
      <t xml:space="preserve"> - 사용자 감속 설정값</t>
    </r>
    <phoneticPr fontId="14" type="noConversion"/>
  </si>
  <si>
    <t>R/M-&gt;MSTX1-Axis 현    재토 크 값</t>
  </si>
  <si>
    <t>Master Cycle 공정 중 Update</t>
    <phoneticPr fontId="14" type="noConversion"/>
  </si>
  <si>
    <t>MST-&gt;R/MFrom셀프아 이 디&lt;******&gt;</t>
    <phoneticPr fontId="12" type="noConversion"/>
  </si>
  <si>
    <t>R/M-&gt;MSTZ1-Axis 현    재위 치 값</t>
    <phoneticPr fontId="12" type="noConversion"/>
  </si>
  <si>
    <t>MST-&gt;R/M"To"셀프아 이 디&lt;******&gt;</t>
    <phoneticPr fontId="12" type="noConversion"/>
  </si>
  <si>
    <t>R/M-&gt;MST&lt;Z-Axis&gt;목 적 지위 치 값</t>
    <phoneticPr fontId="12" type="noConversion"/>
  </si>
  <si>
    <t>R/M-&gt;MST&lt;Z-Axis&gt;현    재속 도 값</t>
    <phoneticPr fontId="12" type="noConversion"/>
  </si>
  <si>
    <t>R/M-&gt;MST&lt;Z-Axis&gt;최대부하현재값</t>
  </si>
  <si>
    <t>R/M-&gt;MST&lt;Z-Axis&gt;최대부하설정값</t>
  </si>
  <si>
    <r>
      <t xml:space="preserve">Synustech 회신  (어느 상황에서 어떤 값을 써줘야 하는지?)
</t>
    </r>
    <r>
      <rPr>
        <b/>
        <sz val="8"/>
        <color theme="0"/>
        <rFont val="맑은 고딕"/>
        <family val="3"/>
        <charset val="129"/>
        <scheme val="minor"/>
      </rPr>
      <t>-비활성 영역</t>
    </r>
    <phoneticPr fontId="14" type="noConversion"/>
  </si>
  <si>
    <t>MST-&gt;R/M Inventry셀프 ID &lt;******&gt;</t>
    <phoneticPr fontId="12" type="noConversion"/>
  </si>
  <si>
    <r>
      <t xml:space="preserve">Synustech 회신  (어느 상황에서 어떤 값을 써줘야 하는지?)
</t>
    </r>
    <r>
      <rPr>
        <b/>
        <sz val="8"/>
        <color theme="0"/>
        <rFont val="맑은 고딕"/>
        <family val="3"/>
        <charset val="129"/>
        <scheme val="minor"/>
      </rPr>
      <t>R/M-&gt;MSTTeachingR/W 가능조건 과 MST-&gt;R/MTeachingR/W Start 읽기 요구가 들어올 경우</t>
    </r>
    <phoneticPr fontId="14" type="noConversion"/>
  </si>
  <si>
    <t>MST-&gt;RMTeachingR/W 아이디</t>
    <phoneticPr fontId="12" type="noConversion"/>
  </si>
  <si>
    <t xml:space="preserve">Shelf ID </t>
    <phoneticPr fontId="14" type="noConversion"/>
  </si>
  <si>
    <t xml:space="preserve">R/M-&gt;MST&lt;Z-Axis&gt;가속값 </t>
    <phoneticPr fontId="12" type="noConversion"/>
  </si>
  <si>
    <t>R/M-&gt;MST&lt;Z-Axis&gt;감속값</t>
    <phoneticPr fontId="12" type="noConversion"/>
  </si>
  <si>
    <r>
      <t xml:space="preserve">Synustech 회신  (어느 상황에서 어떤 값을 써줘야 하는지?)
</t>
    </r>
    <r>
      <rPr>
        <b/>
        <sz val="8"/>
        <color theme="0"/>
        <rFont val="맑은 고딕"/>
        <family val="3"/>
        <charset val="129"/>
        <scheme val="minor"/>
      </rPr>
      <t xml:space="preserve">자동에서 CIM-&gt;R/M 오토티칭 개시요구가 들어올 경우 MST에서 입력된 오토티칭 아이디를 씀. </t>
    </r>
    <phoneticPr fontId="14" type="noConversion"/>
  </si>
  <si>
    <t>MST-&gt;R/M오토티칭아 이 디&lt;******&gt;</t>
    <phoneticPr fontId="12" type="noConversion"/>
  </si>
  <si>
    <t>R/M-&gt;MSTZ1-Axis 현    재토 크 값</t>
    <phoneticPr fontId="12" type="noConversion"/>
  </si>
  <si>
    <r>
      <t xml:space="preserve">Synustech 회신  (어느 상황에서 어떤 값을 써줘야 하는지?)
</t>
    </r>
    <r>
      <rPr>
        <b/>
        <sz val="8"/>
        <color theme="0"/>
        <rFont val="맑은 고딕"/>
        <family val="3"/>
        <charset val="129"/>
        <scheme val="minor"/>
      </rPr>
      <t>오토티칭 진행 이후 해당 주행 값을 씀</t>
    </r>
    <phoneticPr fontId="14" type="noConversion"/>
  </si>
  <si>
    <t>MST-&gt;R/M X-AXIS Data&lt;******&gt;</t>
    <phoneticPr fontId="12" type="noConversion"/>
  </si>
  <si>
    <t>MST-&gt;R/M Z-AXIS Data&lt;******&gt;</t>
    <phoneticPr fontId="12" type="noConversion"/>
  </si>
  <si>
    <t>R/M-&gt;MST&lt;A-Axis&gt; 현    재위 치 값</t>
    <phoneticPr fontId="12" type="noConversion"/>
  </si>
  <si>
    <t>R/M-&gt;MST&lt;A-Axis&gt;목 적 지위 치 값</t>
    <phoneticPr fontId="12" type="noConversion"/>
  </si>
  <si>
    <t>R/M-&gt;MST&lt;A-Axis&gt;현    재속 도 값</t>
    <phoneticPr fontId="12" type="noConversion"/>
  </si>
  <si>
    <t>R/M-&gt;MST&lt;A-Axis&gt;최대부하현재값</t>
  </si>
  <si>
    <t>R/M-&gt;MST&lt;A-Axis&gt;최대부하설정값</t>
  </si>
  <si>
    <t xml:space="preserve">R/M-&gt;MST&lt;A-Axis&gt;가속값 </t>
    <phoneticPr fontId="12" type="noConversion"/>
  </si>
  <si>
    <t>R/M-&gt;MST&lt;A-Axis&gt;감속값</t>
    <phoneticPr fontId="12" type="noConversion"/>
  </si>
  <si>
    <r>
      <t xml:space="preserve">Synustech 회신  (어느 상황에서 적용 하는지?, Master Program에는 조작하는 영역 없음)
</t>
    </r>
    <r>
      <rPr>
        <b/>
        <sz val="8"/>
        <color theme="0"/>
        <rFont val="맑은 고딕"/>
        <family val="3"/>
        <charset val="129"/>
        <scheme val="minor"/>
      </rPr>
      <t>Master에서 조작 할 수 있는 영역을 생성하여 넘겨주어야합니다.</t>
    </r>
    <phoneticPr fontId="14" type="noConversion"/>
  </si>
  <si>
    <t>MST-&gt;R/MR/M 속도X축 Data&lt; 100% &gt;</t>
    <phoneticPr fontId="12" type="noConversion"/>
  </si>
  <si>
    <t>R/M-&gt;MSTA1-Axis 현    재토 크 값</t>
    <phoneticPr fontId="12" type="noConversion"/>
  </si>
  <si>
    <t>MST-&gt;R/MR/M 속도Z축 Data&lt; 100% &gt;</t>
    <phoneticPr fontId="12" type="noConversion"/>
  </si>
  <si>
    <t>MST-&gt;R/MR/M 속도A축 Data&lt; 100% &gt;</t>
    <phoneticPr fontId="12" type="noConversion"/>
  </si>
  <si>
    <t>MST-&gt;R/MR/M 속도T축 Data&lt; 100% &gt;</t>
    <phoneticPr fontId="12" type="noConversion"/>
  </si>
  <si>
    <t>R/M-&gt;MST&lt;T-Axis&gt;현    재위 치 값</t>
    <phoneticPr fontId="12" type="noConversion"/>
  </si>
  <si>
    <t>MST-&gt;R/M&lt;X-Axis&gt;최대부하리밋입력</t>
    <phoneticPr fontId="12" type="noConversion"/>
  </si>
  <si>
    <t>MST-&gt;R/M&lt;Z-Axis&gt;최대부하리밋입력</t>
    <phoneticPr fontId="12" type="noConversion"/>
  </si>
  <si>
    <t>R/M-&gt;MST&lt;T-Axis&gt;목 적 지위 치 값</t>
    <phoneticPr fontId="12" type="noConversion"/>
  </si>
  <si>
    <t>MST-&gt;R/M&lt;A-Axis&gt;최대부하리밋입력</t>
    <phoneticPr fontId="12" type="noConversion"/>
  </si>
  <si>
    <t>MST-&gt;R/M&lt;T-Axis&gt;최대부하리밋입력</t>
    <phoneticPr fontId="12" type="noConversion"/>
  </si>
  <si>
    <t>R/M-&gt;MST&lt;T-Axis&gt;현    재속 도 값</t>
    <phoneticPr fontId="12" type="noConversion"/>
  </si>
  <si>
    <t>R/M-&gt;MST&lt;T-Axis&gt;최대부하현재값</t>
  </si>
  <si>
    <t>R/M-&gt;MST&lt;T-Axis&gt;최대부하설정값</t>
    <phoneticPr fontId="14" type="noConversion"/>
  </si>
  <si>
    <t>MST-&gt;R/M&lt;X-Axis&gt;자동원점수량입력</t>
    <phoneticPr fontId="12" type="noConversion"/>
  </si>
  <si>
    <t>MST-&gt;R/M&lt;Z-Axis&gt;자동원점수량입력</t>
    <phoneticPr fontId="12" type="noConversion"/>
  </si>
  <si>
    <t>MST-&gt;R/M&lt;A-Axis&gt;자동원점수량입력</t>
    <phoneticPr fontId="12" type="noConversion"/>
  </si>
  <si>
    <t xml:space="preserve">R/M-&gt;MST&lt;T-Axis&gt;가속값 </t>
    <phoneticPr fontId="12" type="noConversion"/>
  </si>
  <si>
    <t>MST-&gt;R/M&lt;T-Axis&gt;자동원점수량입력</t>
    <phoneticPr fontId="12" type="noConversion"/>
  </si>
  <si>
    <t>R/M-&gt;MST&lt;T-Axis&gt;감속값</t>
    <phoneticPr fontId="12" type="noConversion"/>
  </si>
  <si>
    <t>R/M-&gt;MST&lt;T-Axis&gt;현    재토 크 값</t>
    <phoneticPr fontId="12" type="noConversion"/>
  </si>
  <si>
    <t>R/M-&gt;MST R/M 속도X축 Data&lt; 100% &gt;</t>
    <phoneticPr fontId="12" type="noConversion"/>
  </si>
  <si>
    <t>R/M-&gt;MST R/M 속도Z축 Data&lt; 100% &gt;</t>
    <phoneticPr fontId="12" type="noConversion"/>
  </si>
  <si>
    <t>R/M-&gt;MST R/M 속도A축 Data&lt; 100% &gt;</t>
    <phoneticPr fontId="12" type="noConversion"/>
  </si>
  <si>
    <t>R/M-&gt;MST R/M 속도T축 Data&lt; 100% &gt;</t>
    <phoneticPr fontId="12" type="noConversion"/>
  </si>
  <si>
    <t>R/M-&gt;MSTR/M 에러워    드&lt;******&gt;</t>
    <phoneticPr fontId="12" type="noConversion"/>
  </si>
  <si>
    <t>발생 시 insert (Alarm List RackMaster)</t>
    <phoneticPr fontId="14" type="noConversion"/>
  </si>
  <si>
    <t>To MSTTeaching X축 Data &lt;******&gt;</t>
    <phoneticPr fontId="12" type="noConversion"/>
  </si>
  <si>
    <r>
      <t>Synustech 회신  (어떤 상황에서 받아오는 지?)</t>
    </r>
    <r>
      <rPr>
        <b/>
        <sz val="8"/>
        <color theme="0"/>
        <rFont val="맑은 고딕"/>
        <family val="3"/>
        <charset val="129"/>
        <scheme val="minor"/>
      </rPr>
      <t xml:space="preserve">
R/M-&gt;MSTTeachingR/W 가능조건 과 MST-&gt;R/MTeachingR/W Start 읽기 요구가 들어올 경우</t>
    </r>
    <phoneticPr fontId="14" type="noConversion"/>
  </si>
  <si>
    <r>
      <t xml:space="preserve">Synustech 회신  (어떤 값을 참조해서 보내면 되는지?)
</t>
    </r>
    <r>
      <rPr>
        <b/>
        <sz val="8"/>
        <color theme="0"/>
        <rFont val="맑은 고딕"/>
        <family val="3"/>
        <charset val="129"/>
        <scheme val="minor"/>
      </rPr>
      <t>Master&gt;R/M Word Date를 비교하여 3초이상 Data일치하지 않을 시 Alarm</t>
    </r>
    <phoneticPr fontId="14" type="noConversion"/>
  </si>
  <si>
    <t>MST-&gt;R/MWatchDokWordData********</t>
    <phoneticPr fontId="12" type="noConversion"/>
  </si>
  <si>
    <t>To MSTTeaching Z축 Data &lt;******&gt;</t>
    <phoneticPr fontId="12" type="noConversion"/>
  </si>
  <si>
    <t>To MSTTeaching A축 Data &lt;******&gt;</t>
    <phoneticPr fontId="12" type="noConversion"/>
  </si>
  <si>
    <t>To MSTTeaching T축 Data &lt;******&gt;</t>
    <phoneticPr fontId="12" type="noConversion"/>
  </si>
  <si>
    <t>R/M-&gt;MSTFrom셀프아 이 디&lt;******&gt;</t>
    <phoneticPr fontId="12" type="noConversion"/>
  </si>
  <si>
    <t>Idle 상태인 경우 0이며 From or To ID Word가 올 경우 동일한 값 저장</t>
    <phoneticPr fontId="14" type="noConversion"/>
  </si>
  <si>
    <t>R/M-&gt;MST"To"셀프아 이 디&lt;******&gt;</t>
    <phoneticPr fontId="12" type="noConversion"/>
  </si>
  <si>
    <t>&lt;X-Axis&gt;Average Torque값&lt;1-Axis&gt;</t>
    <phoneticPr fontId="12" type="noConversion"/>
  </si>
  <si>
    <t>한 사이클 당최대 값 기록 및 사용자 설정 시간 간격으로 클리어 or 파나소닉에서 가져오는 값</t>
    <phoneticPr fontId="14" type="noConversion"/>
  </si>
  <si>
    <t>&lt;X-Axis&gt;Peak Torque값&lt;1-Axis&gt;</t>
    <phoneticPr fontId="12" type="noConversion"/>
  </si>
  <si>
    <t>&lt;Z-Axis&gt;Average Torque값&lt;1-Axis&gt;</t>
    <phoneticPr fontId="12" type="noConversion"/>
  </si>
  <si>
    <t>&lt;Z-Axis&gt;Peak Torque값&lt;1-Axis&gt;</t>
    <phoneticPr fontId="12" type="noConversion"/>
  </si>
  <si>
    <t>&lt;A-Axis&gt;Average Torque값&lt;1-Axis&gt;</t>
    <phoneticPr fontId="12" type="noConversion"/>
  </si>
  <si>
    <t>&lt;A-Axis&gt;Peak Torque값&lt;1-Axis&gt;</t>
    <phoneticPr fontId="12" type="noConversion"/>
  </si>
  <si>
    <t>&lt;T-Axis&gt;Average Torque값&lt;1-Axis&gt;</t>
    <phoneticPr fontId="12" type="noConversion"/>
  </si>
  <si>
    <t>&lt;T-Axis&gt;Peak Torque값&lt;1-Axis&gt;</t>
    <phoneticPr fontId="12" type="noConversion"/>
  </si>
  <si>
    <t>R/M-&gt;MASTERWatchDokWordData********</t>
    <phoneticPr fontId="12" type="noConversion"/>
  </si>
  <si>
    <r>
      <t xml:space="preserve">Synustech 회신  (어디서 받아오는 지?)
</t>
    </r>
    <r>
      <rPr>
        <b/>
        <sz val="8"/>
        <color theme="0"/>
        <rFont val="맑은 고딕"/>
        <family val="3"/>
        <charset val="129"/>
        <scheme val="minor"/>
      </rPr>
      <t>자체 0.01Sec Clock를 발생 시켜 Data값에 Inc실행 특정 값 이상일시 초기화</t>
    </r>
    <phoneticPr fontId="14" type="noConversion"/>
  </si>
  <si>
    <t>&lt;X-Axis&gt;Limit  Torque 현재 값&lt;1-Axis&gt;</t>
    <phoneticPr fontId="12" type="noConversion"/>
  </si>
  <si>
    <r>
      <t>Synustech 회신  (각 축의 최대 부하 설정 값이랑 무슨 차이인지?)</t>
    </r>
    <r>
      <rPr>
        <b/>
        <sz val="8"/>
        <color theme="0"/>
        <rFont val="맑은 고딕"/>
        <family val="3"/>
        <charset val="129"/>
        <scheme val="minor"/>
      </rPr>
      <t xml:space="preserve"> - 비활성 영역</t>
    </r>
    <phoneticPr fontId="14" type="noConversion"/>
  </si>
  <si>
    <t>&lt;Z-Axis&gt;Limit  Torque 현재 값&lt;1-Axis&gt;</t>
    <phoneticPr fontId="12" type="noConversion"/>
  </si>
  <si>
    <t>&lt;A-Axis&gt;Limit  Torque 현재 값&lt;1-Axis&gt;</t>
    <phoneticPr fontId="12" type="noConversion"/>
  </si>
  <si>
    <r>
      <t xml:space="preserve">Synustech 회신  (각 축의 최대 부하 설정 값이랑 무슨 차이인지?) </t>
    </r>
    <r>
      <rPr>
        <b/>
        <sz val="8"/>
        <color theme="0"/>
        <rFont val="맑은 고딕"/>
        <family val="3"/>
        <charset val="129"/>
        <scheme val="minor"/>
      </rPr>
      <t>- 비활성 영역</t>
    </r>
    <phoneticPr fontId="14" type="noConversion"/>
  </si>
  <si>
    <t>&lt;T-Axis&gt;Limit  Torque 현재 값&lt;1-Axis&gt;</t>
    <phoneticPr fontId="12" type="noConversion"/>
  </si>
  <si>
    <t>R/M-&gt;MST R/M 자동스    텝번    호</t>
    <phoneticPr fontId="12" type="noConversion"/>
  </si>
  <si>
    <t>Auto 공정 중 Step 번호</t>
    <phoneticPr fontId="14" type="noConversion"/>
  </si>
  <si>
    <t>R/M-&gt;MST Access Shelf ID&lt;******&gt;</t>
    <phoneticPr fontId="12" type="noConversion"/>
  </si>
  <si>
    <r>
      <t xml:space="preserve">Synustech 회신  (어떤 상황에서 값을 적용해야 할지?)
</t>
    </r>
    <r>
      <rPr>
        <b/>
        <sz val="8"/>
        <color theme="0"/>
        <rFont val="맑은 고딕"/>
        <family val="3"/>
        <charset val="129"/>
        <scheme val="minor"/>
      </rPr>
      <t>자동 상태 시</t>
    </r>
    <phoneticPr fontId="14" type="noConversion"/>
  </si>
  <si>
    <t>R/M-&gt;MST X-Axis 주행 누적거리 Data</t>
    <phoneticPr fontId="12" type="noConversion"/>
  </si>
  <si>
    <r>
      <t xml:space="preserve">Synustech 회신  (누적 거리 계산 기준 (Program실행 후 종료까지 ?, Auto 공정 시작 후 부터 ?))
</t>
    </r>
    <r>
      <rPr>
        <b/>
        <sz val="8"/>
        <color theme="0"/>
        <rFont val="맑은 고딕"/>
        <family val="3"/>
        <charset val="129"/>
        <scheme val="minor"/>
      </rPr>
      <t>Program 시작 후 0.1km 이상 후 부터 측정</t>
    </r>
    <phoneticPr fontId="14" type="noConversion"/>
  </si>
  <si>
    <t>R/M-&gt;MST Z-Axis 주행 누적거리 Data</t>
    <phoneticPr fontId="12" type="noConversion"/>
  </si>
  <si>
    <t>R/M-&gt;MST A-Axis 주행 누적거리 Data</t>
    <phoneticPr fontId="12" type="noConversion"/>
  </si>
  <si>
    <t>R/M-&gt;MST T-Axis 주행 누적거리 Data</t>
    <phoneticPr fontId="12" type="noConversion"/>
  </si>
  <si>
    <t>CPS 2nd Regulator Boost 전압</t>
    <phoneticPr fontId="14" type="noConversion"/>
  </si>
  <si>
    <t>사용 (Demo Line)</t>
    <phoneticPr fontId="14" type="noConversion"/>
  </si>
  <si>
    <t>CPS 2nd Regulator 출력 전압</t>
    <phoneticPr fontId="14" type="noConversion"/>
  </si>
  <si>
    <t>CPS 2nd Regulator IBoost 전류</t>
    <phoneticPr fontId="14" type="noConversion"/>
  </si>
  <si>
    <t>CPS 2nd Regulator 출력 전류</t>
    <phoneticPr fontId="14" type="noConversion"/>
  </si>
  <si>
    <t>CPS 2nd Pickup 온도</t>
    <phoneticPr fontId="14" type="noConversion"/>
  </si>
  <si>
    <t>CPS 2nd Regulator 방열판 온도</t>
    <phoneticPr fontId="14" type="noConversion"/>
  </si>
  <si>
    <t>CPS 2nd Regulator 내부 온도</t>
    <phoneticPr fontId="14" type="noConversion"/>
  </si>
  <si>
    <t>Offset</t>
    <phoneticPr fontId="14" type="noConversion"/>
  </si>
  <si>
    <t>SSONE -&gt; CV</t>
    <phoneticPr fontId="12" type="noConversion"/>
  </si>
  <si>
    <t>EQP</t>
    <phoneticPr fontId="14" type="noConversion"/>
  </si>
  <si>
    <t>…</t>
    <phoneticPr fontId="14" type="noConversion"/>
  </si>
  <si>
    <t>DP-Fosb</t>
    <phoneticPr fontId="14" type="noConversion"/>
  </si>
  <si>
    <r>
      <t xml:space="preserve">MGV IN
</t>
    </r>
    <r>
      <rPr>
        <b/>
        <sz val="6"/>
        <rFont val="맑은 고딕"/>
        <family val="3"/>
        <charset val="129"/>
        <scheme val="minor"/>
      </rPr>
      <t>(AGV기능포함)</t>
    </r>
    <phoneticPr fontId="14" type="noConversion"/>
  </si>
  <si>
    <r>
      <t xml:space="preserve">MGV OUT
</t>
    </r>
    <r>
      <rPr>
        <b/>
        <sz val="6"/>
        <rFont val="맑은 고딕"/>
        <family val="3"/>
        <charset val="129"/>
        <scheme val="minor"/>
      </rPr>
      <t>(AGV기능포함)</t>
    </r>
    <phoneticPr fontId="14" type="noConversion"/>
  </si>
  <si>
    <t>AGV IN</t>
    <phoneticPr fontId="14" type="noConversion"/>
  </si>
  <si>
    <t>AGV OUT</t>
    <phoneticPr fontId="14" type="noConversion"/>
  </si>
  <si>
    <r>
      <t xml:space="preserve">OHT IN
</t>
    </r>
    <r>
      <rPr>
        <b/>
        <sz val="6"/>
        <rFont val="맑은 고딕"/>
        <family val="3"/>
        <charset val="129"/>
        <scheme val="minor"/>
      </rPr>
      <t>(MGV기능포함)</t>
    </r>
    <phoneticPr fontId="14" type="noConversion"/>
  </si>
  <si>
    <r>
      <t xml:space="preserve">OHT OUT
</t>
    </r>
    <r>
      <rPr>
        <b/>
        <sz val="6"/>
        <rFont val="맑은 고딕"/>
        <family val="3"/>
        <charset val="129"/>
        <scheme val="minor"/>
      </rPr>
      <t>(MGV기능포함)</t>
    </r>
    <phoneticPr fontId="14" type="noConversion"/>
  </si>
  <si>
    <t>AUTO IN</t>
    <phoneticPr fontId="14" type="noConversion"/>
  </si>
  <si>
    <t>AUTO OUT</t>
    <phoneticPr fontId="14" type="noConversion"/>
  </si>
  <si>
    <t>EQ</t>
    <phoneticPr fontId="14" type="noConversion"/>
  </si>
  <si>
    <t>DP-Wafer</t>
    <phoneticPr fontId="14" type="noConversion"/>
  </si>
  <si>
    <t>MGV IN</t>
    <phoneticPr fontId="14" type="noConversion"/>
  </si>
  <si>
    <t>MGV OUT</t>
    <phoneticPr fontId="14" type="noConversion"/>
  </si>
  <si>
    <t>RECON-CST</t>
    <phoneticPr fontId="14" type="noConversion"/>
  </si>
  <si>
    <t>RECON-OVEN</t>
    <phoneticPr fontId="14" type="noConversion"/>
  </si>
  <si>
    <t>RDL-FOUP</t>
    <phoneticPr fontId="14" type="noConversion"/>
  </si>
  <si>
    <t>추가 예정 항목</t>
    <phoneticPr fontId="14" type="noConversion"/>
  </si>
  <si>
    <t>RDL-OVEN</t>
    <phoneticPr fontId="14" type="noConversion"/>
  </si>
  <si>
    <t>EOL-CST</t>
    <phoneticPr fontId="14" type="noConversion"/>
  </si>
  <si>
    <t>DIE BANK</t>
    <phoneticPr fontId="14" type="noConversion"/>
  </si>
  <si>
    <t>Comment</t>
  </si>
  <si>
    <t>Description</t>
    <phoneticPr fontId="12" type="noConversion"/>
  </si>
  <si>
    <t>DEC</t>
    <phoneticPr fontId="14" type="noConversion"/>
  </si>
  <si>
    <t>Bit Per Word</t>
    <phoneticPr fontId="14" type="noConversion"/>
  </si>
  <si>
    <t>STK-&gt;PORT</t>
    <phoneticPr fontId="12" type="noConversion"/>
  </si>
  <si>
    <r>
      <t>RM에서 수신한 정보와 (RM From ID or RM To ID)가 (Port ID)와 일치하면 [CIM -&gt; Port Bit Map] 업데이트
([RM -&gt; CIM bit D0 ~ d3] 을 [CIM -&gt; Port bit Map 0 ~ 3]에 Write)(</t>
    </r>
    <r>
      <rPr>
        <sz val="8"/>
        <color rgb="FF7030A0"/>
        <rFont val="돋움"/>
        <family val="3"/>
        <charset val="129"/>
      </rPr>
      <t>Master Mode</t>
    </r>
    <r>
      <rPr>
        <sz val="8"/>
        <rFont val="돋움"/>
        <family val="3"/>
        <charset val="129"/>
      </rPr>
      <t>인 경우만)</t>
    </r>
    <phoneticPr fontId="14" type="noConversion"/>
  </si>
  <si>
    <t>TR-REQ</t>
    <phoneticPr fontId="12" type="noConversion"/>
  </si>
  <si>
    <t>BUSY</t>
    <phoneticPr fontId="12" type="noConversion"/>
  </si>
  <si>
    <t>COMPLETE</t>
    <phoneticPr fontId="12" type="noConversion"/>
  </si>
  <si>
    <t>STK ERROR</t>
    <phoneticPr fontId="12" type="noConversion"/>
  </si>
  <si>
    <t>RESERVED</t>
  </si>
  <si>
    <t>OUTPUT REQ</t>
    <phoneticPr fontId="12" type="noConversion"/>
  </si>
  <si>
    <t>RM 반송 진행중 (별 다른 체크 루틴 없음)</t>
    <phoneticPr fontId="14" type="noConversion"/>
  </si>
  <si>
    <t>TRANSFERLING</t>
    <phoneticPr fontId="12" type="noConversion"/>
  </si>
  <si>
    <t>LIGHT CURTIAN</t>
    <phoneticPr fontId="12" type="noConversion"/>
  </si>
  <si>
    <t>RESERVED</t>
    <phoneticPr fontId="12" type="noConversion"/>
  </si>
  <si>
    <t>CIM 지령</t>
    <phoneticPr fontId="12" type="noConversion"/>
  </si>
  <si>
    <r>
      <rPr>
        <sz val="8"/>
        <color rgb="FF0070C0"/>
        <rFont val="돋움"/>
        <family val="3"/>
        <charset val="129"/>
      </rPr>
      <t>Run Enable[Port-&gt;CIM bit 17]</t>
    </r>
    <r>
      <rPr>
        <sz val="8"/>
        <rFont val="돋움"/>
        <family val="3"/>
        <charset val="129"/>
      </rPr>
      <t xml:space="preserve"> true 상태면 Auto Control Start() 실행</t>
    </r>
    <phoneticPr fontId="14" type="noConversion"/>
  </si>
  <si>
    <t>RUN REQ - CIM</t>
    <phoneticPr fontId="12" type="noConversion"/>
  </si>
  <si>
    <r>
      <rPr>
        <sz val="8"/>
        <color rgb="FF0070C0"/>
        <rFont val="돋움"/>
        <family val="3"/>
        <charset val="129"/>
      </rPr>
      <t>Stop Enable [Port-&gt;CIM bit 18]</t>
    </r>
    <r>
      <rPr>
        <sz val="8"/>
        <rFont val="돋움"/>
        <family val="3"/>
        <charset val="129"/>
      </rPr>
      <t xml:space="preserve"> true 상태면 Stop Auto Control()</t>
    </r>
    <phoneticPr fontId="14" type="noConversion"/>
  </si>
  <si>
    <t>STOP REQ - CIM</t>
    <phoneticPr fontId="12" type="noConversion"/>
  </si>
  <si>
    <r>
      <rPr>
        <sz val="8"/>
        <color theme="7" tint="-0.249977111117893"/>
        <rFont val="돋움"/>
        <family val="3"/>
        <charset val="129"/>
      </rPr>
      <t>Power On Req</t>
    </r>
    <r>
      <rPr>
        <sz val="8"/>
        <rFont val="돋움"/>
        <family val="3"/>
        <charset val="129"/>
      </rPr>
      <t xml:space="preserve"> </t>
    </r>
    <r>
      <rPr>
        <sz val="8"/>
        <color theme="7" tint="-0.249977111117893"/>
        <rFont val="돋움"/>
        <family val="3"/>
        <charset val="129"/>
      </rPr>
      <t>[CIM -&gt; Port bit 20]</t>
    </r>
    <r>
      <rPr>
        <sz val="8"/>
        <rFont val="돋움"/>
        <family val="3"/>
        <charset val="129"/>
      </rPr>
      <t xml:space="preserve"> == true &amp;&amp; </t>
    </r>
    <r>
      <rPr>
        <sz val="8"/>
        <color rgb="FF0070C0"/>
        <rFont val="돋움"/>
        <family val="3"/>
        <charset val="129"/>
      </rPr>
      <t>Power On Enable [Port -&gt; CIM bit 20]</t>
    </r>
    <r>
      <rPr>
        <sz val="8"/>
        <rFont val="돋움"/>
        <family val="3"/>
        <charset val="129"/>
      </rPr>
      <t xml:space="preserve"> == true 면 Servo On</t>
    </r>
    <phoneticPr fontId="14" type="noConversion"/>
  </si>
  <si>
    <t>POWE ON REQ - CIM</t>
    <phoneticPr fontId="12" type="noConversion"/>
  </si>
  <si>
    <r>
      <rPr>
        <sz val="8"/>
        <color theme="7" tint="-0.249977111117893"/>
        <rFont val="돋움"/>
        <family val="3"/>
        <charset val="129"/>
      </rPr>
      <t>Power Off Req</t>
    </r>
    <r>
      <rPr>
        <sz val="8"/>
        <rFont val="돋움"/>
        <family val="3"/>
        <charset val="129"/>
      </rPr>
      <t xml:space="preserve"> </t>
    </r>
    <r>
      <rPr>
        <sz val="8"/>
        <color theme="7" tint="-0.249977111117893"/>
        <rFont val="돋움"/>
        <family val="3"/>
        <charset val="129"/>
      </rPr>
      <t>[CIM -&gt; Port bit 21]</t>
    </r>
    <r>
      <rPr>
        <sz val="8"/>
        <rFont val="돋움"/>
        <family val="3"/>
        <charset val="129"/>
      </rPr>
      <t xml:space="preserve"> == true &amp;&amp; </t>
    </r>
    <r>
      <rPr>
        <sz val="8"/>
        <color rgb="FF0070C0"/>
        <rFont val="돋움"/>
        <family val="3"/>
        <charset val="129"/>
      </rPr>
      <t>Power Off Enable [Port -&gt; CIM bit 21]</t>
    </r>
    <r>
      <rPr>
        <sz val="8"/>
        <rFont val="돋움"/>
        <family val="3"/>
        <charset val="129"/>
      </rPr>
      <t xml:space="preserve"> == true 면 Servo Off</t>
    </r>
    <phoneticPr fontId="14" type="noConversion"/>
  </si>
  <si>
    <t>POWER OFF REQ - CIM</t>
    <phoneticPr fontId="12" type="noConversion"/>
  </si>
  <si>
    <t>(Port Busy X  &amp;&amp; Cycle Run X &amp;&amp; Auto Control X) -&gt; Port Direction Change (Input Status [Port -&gt; CIM bit 10] true, Output Status [Port -&gt; CIM bit 11] = false)</t>
    <phoneticPr fontId="14" type="noConversion"/>
  </si>
  <si>
    <t>In Mode Req - CIM</t>
    <phoneticPr fontId="12" type="noConversion"/>
  </si>
  <si>
    <t>(Port Busy X  &amp;&amp; Cycle Run X &amp;&amp; Auto Control X) -&gt; Port Direction Change (Output Status [Port -&gt; CIM bit 11] true, Input Status [Port -&gt; CIM bit 10] = false)</t>
    <phoneticPr fontId="14" type="noConversion"/>
  </si>
  <si>
    <t>Out Mode Req -CIM</t>
    <phoneticPr fontId="12" type="noConversion"/>
  </si>
  <si>
    <t>AGV Type Req - CIM</t>
    <phoneticPr fontId="12" type="noConversion"/>
  </si>
  <si>
    <t>MGV Type Req - CIM</t>
    <phoneticPr fontId="12" type="noConversion"/>
  </si>
  <si>
    <t>RESERVEDOHTOHT</t>
    <phoneticPr fontId="12" type="noConversion"/>
  </si>
  <si>
    <t>Move Reserved - CIM</t>
    <phoneticPr fontId="12" type="noConversion"/>
  </si>
  <si>
    <t>WMX Alarm Clear, Error Code [Port -&gt; CIM Word 0 ~ 4] -&gt; 0</t>
    <phoneticPr fontId="14" type="noConversion"/>
  </si>
  <si>
    <t>ERROR RESET - CIM</t>
    <phoneticPr fontId="12" type="noConversion"/>
  </si>
  <si>
    <t>INTERFACE RESET</t>
    <phoneticPr fontId="12" type="noConversion"/>
  </si>
  <si>
    <t>MGV USER CALL</t>
    <phoneticPr fontId="12" type="noConversion"/>
  </si>
  <si>
    <t>경광등#1 REQ(Op Call)</t>
    <phoneticPr fontId="12" type="noConversion"/>
  </si>
  <si>
    <t>경광등#2 REQ(Alarm)</t>
    <phoneticPr fontId="12" type="noConversion"/>
  </si>
  <si>
    <t>경광등#3 REQ(Warning)</t>
    <phoneticPr fontId="12" type="noConversion"/>
  </si>
  <si>
    <t>SSONE &lt;- CV</t>
    <phoneticPr fontId="12" type="noConversion"/>
  </si>
  <si>
    <t>DEC</t>
    <phoneticPr fontId="12" type="noConversion"/>
  </si>
  <si>
    <t>STK&lt;-PORT</t>
    <phoneticPr fontId="12" type="noConversion"/>
  </si>
  <si>
    <r>
      <t>각 Bit는 Auto Control 중 Step 상황에 따라 Update 되며 RM에서 수신한 정보와 (RM From ID or RM To ID)가 (Port ID)와 일치하면 [CIM -&gt; RM Bit Map] 업데이트
([Port -&gt; CIM bit Map 0 ~ 3] 값 을 [CIM -&gt; RM bit D0 ~ d3] 에 Write)(</t>
    </r>
    <r>
      <rPr>
        <sz val="8"/>
        <color rgb="FF7030A0"/>
        <rFont val="돋움"/>
        <family val="3"/>
        <charset val="129"/>
      </rPr>
      <t>Master Mode</t>
    </r>
    <r>
      <rPr>
        <sz val="8"/>
        <rFont val="돋움"/>
        <family val="3"/>
        <charset val="129"/>
      </rPr>
      <t>인 경우만)</t>
    </r>
    <phoneticPr fontId="14" type="noConversion"/>
  </si>
  <si>
    <t>Port -&gt; Crane PIO 신호</t>
    <phoneticPr fontId="14" type="noConversion"/>
  </si>
  <si>
    <t>PORT ERROR</t>
    <phoneticPr fontId="12" type="noConversion"/>
  </si>
  <si>
    <t>PORT 자동 상태일 경우 1</t>
    <phoneticPr fontId="14" type="noConversion"/>
  </si>
  <si>
    <t>OP단에만 제품이 있으면 1</t>
    <phoneticPr fontId="14" type="noConversion"/>
  </si>
  <si>
    <t>TR-REQ</t>
  </si>
  <si>
    <t>Crane -&gt; Port PIO 신호</t>
    <phoneticPr fontId="14" type="noConversion"/>
  </si>
  <si>
    <t>WMX의 Estop Flag가 켜져 있는 경우 true, 아닌 경우 false</t>
    <phoneticPr fontId="14" type="noConversion"/>
  </si>
  <si>
    <t>CARRIER</t>
    <phoneticPr fontId="12" type="noConversion"/>
  </si>
  <si>
    <t>현재 Port의 운용 Direction이 Input인 경우 true 아닌 경우 false</t>
    <phoneticPr fontId="14" type="noConversion"/>
  </si>
  <si>
    <t>COMPLETE</t>
    <phoneticPr fontId="14" type="noConversion"/>
  </si>
  <si>
    <t>OUTPUT SUPPRESS_STK ACK</t>
    <phoneticPr fontId="12" type="noConversion"/>
  </si>
  <si>
    <t>현재 Port의 운용 Direction이 Output인 경우 true 아닌 경우 false</t>
    <phoneticPr fontId="14" type="noConversion"/>
  </si>
  <si>
    <t>STK AUTO</t>
    <phoneticPr fontId="14" type="noConversion"/>
  </si>
  <si>
    <t>E-STOP</t>
    <phoneticPr fontId="12" type="noConversion"/>
  </si>
  <si>
    <t>WMX Input</t>
    <phoneticPr fontId="14" type="noConversion"/>
  </si>
  <si>
    <t>STK ESTOP</t>
    <phoneticPr fontId="14" type="noConversion"/>
  </si>
  <si>
    <t>INPUT STATUS</t>
    <phoneticPr fontId="12" type="noConversion"/>
  </si>
  <si>
    <t>STK ERROR</t>
    <phoneticPr fontId="14" type="noConversion"/>
  </si>
  <si>
    <t>OUTPUT STATUS</t>
    <phoneticPr fontId="12" type="noConversion"/>
  </si>
  <si>
    <t>Auto RUN Status</t>
    <phoneticPr fontId="12" type="noConversion"/>
  </si>
  <si>
    <t>Online 신호 삭제 Run 으로 통일</t>
    <phoneticPr fontId="14" type="noConversion"/>
  </si>
  <si>
    <t>Auto Mode 면서 Auto Control 중이 아니며 Cycle Control 중이 아니고 Port가 Busy 상태가 아닌 경우 true</t>
    <phoneticPr fontId="14" type="noConversion"/>
  </si>
  <si>
    <t>RUN ENABLE</t>
    <phoneticPr fontId="12" type="noConversion"/>
  </si>
  <si>
    <t>Auto Control 동작 진입하면 true로 변경, Stop Req 수신한 경우 false로 변경</t>
    <phoneticPr fontId="14" type="noConversion"/>
  </si>
  <si>
    <t>STOP ENABLE</t>
  </si>
  <si>
    <t>Servo On인 경우 true, Servo Off인 경우 false</t>
    <phoneticPr fontId="14" type="noConversion"/>
  </si>
  <si>
    <t>POWER ON STATUS</t>
  </si>
  <si>
    <t>WMX가 통신 중이며 Servo On인 경우 false, WMX가 통신 중이며 Servo Off인 경우 true</t>
    <phoneticPr fontId="14" type="noConversion"/>
  </si>
  <si>
    <t>POWER ON ENABLE</t>
  </si>
  <si>
    <t>WMX가 통신 중이며 Servo Off인 경우 false, WMX가 통신 중이며 Servo On인 경우 true</t>
    <phoneticPr fontId="14" type="noConversion"/>
  </si>
  <si>
    <t>POWER OFF ENABLE</t>
  </si>
  <si>
    <t>MGV STATUS</t>
    <phoneticPr fontId="12" type="noConversion"/>
  </si>
  <si>
    <t>Operation Type이 MGV인 경우 true</t>
    <phoneticPr fontId="14" type="noConversion"/>
  </si>
  <si>
    <t>AGV STATUS</t>
    <phoneticPr fontId="12" type="noConversion"/>
  </si>
  <si>
    <t>Operation Type이 AGV인 경우 true</t>
    <phoneticPr fontId="14" type="noConversion"/>
  </si>
  <si>
    <t>TYPE CHANGE ENABLE</t>
    <phoneticPr fontId="12" type="noConversion"/>
  </si>
  <si>
    <t>CIM move reserved ON 시에는 OFF(MGV,AGV)</t>
    <phoneticPr fontId="14" type="noConversion"/>
  </si>
  <si>
    <t>Port가 Busy 상태가 아니며, Auto Mode가 아니며, Auto Control 동작 중이 아니며, Cycle 동작 중이 아닌 경우 true</t>
    <phoneticPr fontId="14" type="noConversion"/>
  </si>
  <si>
    <t>INPUT STATUS</t>
    <phoneticPr fontId="14" type="noConversion"/>
  </si>
  <si>
    <t>IN Port에 RM에서 PIO 중 RM Busy중일 때까지 ON</t>
    <phoneticPr fontId="14" type="noConversion"/>
  </si>
  <si>
    <t>OUTPUT STATUS</t>
    <phoneticPr fontId="14" type="noConversion"/>
  </si>
  <si>
    <t>OUT Port에서 RM PIO 중 CST 없음 확인할 때</t>
    <phoneticPr fontId="14" type="noConversion"/>
  </si>
  <si>
    <t>MODE CHANGE ENABLE</t>
    <phoneticPr fontId="14" type="noConversion"/>
  </si>
  <si>
    <t>CIM move reserved ON 시에는 OFF(In/Out)</t>
    <phoneticPr fontId="14" type="noConversion"/>
  </si>
  <si>
    <t xml:space="preserve">Buffer단 연결물류 구성일 경우 </t>
    <phoneticPr fontId="14" type="noConversion"/>
  </si>
  <si>
    <t>OHT가 From 하기 전, OHT와 PIO 중 OHT Busy중일 때까지 ON</t>
    <phoneticPr fontId="14" type="noConversion"/>
  </si>
  <si>
    <t>CIM Mode Status</t>
    <phoneticPr fontId="14" type="noConversion"/>
  </si>
  <si>
    <t xml:space="preserve">OHT와 PIO중 CST가 사라졌을때 </t>
    <phoneticPr fontId="14" type="noConversion"/>
  </si>
  <si>
    <t>BUFFER#1 CST ON</t>
    <phoneticPr fontId="14" type="noConversion"/>
  </si>
  <si>
    <t>INPUT: 3개 Sensor On:1, Output: 3개 Sensor Off:1</t>
    <phoneticPr fontId="14" type="noConversion"/>
  </si>
  <si>
    <t>Buffer 1의 CST Detect 1, 2, Precense bit가 모두 true면 true 아니면 false</t>
    <phoneticPr fontId="14" type="noConversion"/>
  </si>
  <si>
    <t>BUFFER#2 CST ON</t>
    <phoneticPr fontId="14" type="noConversion"/>
  </si>
  <si>
    <t>Buffer 2의 CST Detect 1, 2, Precense bit가 모두 true면 true 아니면 false</t>
    <phoneticPr fontId="14" type="noConversion"/>
  </si>
  <si>
    <t>BUFFER#3 CST ON</t>
    <phoneticPr fontId="12" type="noConversion"/>
  </si>
  <si>
    <t>BUFFER#4 CST ON</t>
  </si>
  <si>
    <t>BUFFER#5 CST ON</t>
  </si>
  <si>
    <t>Auto Door Open</t>
    <phoneticPr fontId="12" type="noConversion"/>
  </si>
  <si>
    <t>Auto Door Close</t>
    <phoneticPr fontId="12" type="noConversion"/>
  </si>
  <si>
    <t>OHT -&gt; CV VALID</t>
    <phoneticPr fontId="12" type="noConversion"/>
  </si>
  <si>
    <t>OHT Port Only</t>
    <phoneticPr fontId="12" type="noConversion"/>
  </si>
  <si>
    <t>OHT -&gt; CV CS0</t>
    <phoneticPr fontId="12" type="noConversion"/>
  </si>
  <si>
    <t>OHT -&gt; CV CS1</t>
    <phoneticPr fontId="12" type="noConversion"/>
  </si>
  <si>
    <t>OHT -&gt; CV CS2</t>
    <phoneticPr fontId="12" type="noConversion"/>
  </si>
  <si>
    <t>OHT -&gt; CV CS3</t>
    <phoneticPr fontId="12" type="noConversion"/>
  </si>
  <si>
    <t>OHT -&gt; CV TR-REQ</t>
    <phoneticPr fontId="12" type="noConversion"/>
  </si>
  <si>
    <t>OHT -&gt; CV BUSY</t>
    <phoneticPr fontId="12" type="noConversion"/>
  </si>
  <si>
    <t>OHT -&gt; CV COMPLETE</t>
    <phoneticPr fontId="12" type="noConversion"/>
  </si>
  <si>
    <t>Auto Control 동작 중 Step별 PIO 상황에 따라 업데이트, WMX Output 연동</t>
    <phoneticPr fontId="14" type="noConversion"/>
  </si>
  <si>
    <t>CV-&gt; OHT LOAD REQ</t>
    <phoneticPr fontId="12" type="noConversion"/>
  </si>
  <si>
    <t>CV-&gt; OHT UNLOAD REQ</t>
    <phoneticPr fontId="12" type="noConversion"/>
  </si>
  <si>
    <t>CV-&gt; OHT ES</t>
    <phoneticPr fontId="12" type="noConversion"/>
  </si>
  <si>
    <t>CV-&gt; OHT READY</t>
    <phoneticPr fontId="12" type="noConversion"/>
  </si>
  <si>
    <t>CV-&gt; OHT RESERVED</t>
    <phoneticPr fontId="12" type="noConversion"/>
  </si>
  <si>
    <t>OHT Door Close</t>
    <phoneticPr fontId="12" type="noConversion"/>
  </si>
  <si>
    <t>OHT PORT KEY 자동 Mode 상태</t>
    <phoneticPr fontId="12" type="noConversion"/>
  </si>
  <si>
    <t>AGV -&gt; CV VALID</t>
  </si>
  <si>
    <t>AGV Port Only</t>
    <phoneticPr fontId="14" type="noConversion"/>
  </si>
  <si>
    <t>AGV -&gt; CV CS0</t>
  </si>
  <si>
    <t>AGV -&gt; CV CS1</t>
  </si>
  <si>
    <t>AGV -&gt; CV CS2</t>
  </si>
  <si>
    <t>AGV -&gt; CV CS3</t>
  </si>
  <si>
    <t>AGV -&gt; CV TR-REQ</t>
  </si>
  <si>
    <t>AGV -&gt; CV BUSY</t>
  </si>
  <si>
    <t>AGV -&gt; CV COMPLETE</t>
  </si>
  <si>
    <t>CV-&gt; AGV LOAD REQ</t>
  </si>
  <si>
    <t>CV-&gt; AGV UNLOAD REQ</t>
  </si>
  <si>
    <t>CV-&gt; AGV ES</t>
    <phoneticPr fontId="14" type="noConversion"/>
  </si>
  <si>
    <t>CV-&gt; AGV READY</t>
  </si>
  <si>
    <t>CV-&gt; AGV RESERVED</t>
  </si>
  <si>
    <t>CS1 TR-REQ</t>
  </si>
  <si>
    <t>CS1 TR-REQ 2</t>
  </si>
  <si>
    <t>CS1 BUSY</t>
  </si>
  <si>
    <t>CS1 COMPLET</t>
  </si>
  <si>
    <t>CS2 TR-REQ</t>
  </si>
  <si>
    <t>CS2 TR-REQ 2</t>
  </si>
  <si>
    <t>CS2 BUSY</t>
  </si>
  <si>
    <t>CS2 COMPLET</t>
  </si>
  <si>
    <t>CS3 TR-REQ</t>
  </si>
  <si>
    <t>CS3 TR-REQ 2</t>
  </si>
  <si>
    <t>CS3 BUSY</t>
  </si>
  <si>
    <t>CS3 COMPLET</t>
  </si>
  <si>
    <t>EQ RUN ENABLE</t>
    <phoneticPr fontId="14" type="noConversion"/>
  </si>
  <si>
    <t>EQ PORT ERROR</t>
    <phoneticPr fontId="14" type="noConversion"/>
  </si>
  <si>
    <r>
      <t xml:space="preserve">MGV IN
</t>
    </r>
    <r>
      <rPr>
        <b/>
        <sz val="6"/>
        <rFont val="맑은 고딕"/>
        <family val="3"/>
        <charset val="129"/>
        <scheme val="minor"/>
      </rPr>
      <t>(AGV기능미사용)</t>
    </r>
    <phoneticPr fontId="14" type="noConversion"/>
  </si>
  <si>
    <r>
      <t xml:space="preserve">MGV OUT
</t>
    </r>
    <r>
      <rPr>
        <b/>
        <sz val="6"/>
        <rFont val="맑은 고딕"/>
        <family val="3"/>
        <charset val="129"/>
        <scheme val="minor"/>
      </rPr>
      <t>(AGV기능미사용)</t>
    </r>
    <phoneticPr fontId="14" type="noConversion"/>
  </si>
  <si>
    <r>
      <t xml:space="preserve">AGV IN
</t>
    </r>
    <r>
      <rPr>
        <b/>
        <sz val="6"/>
        <rFont val="맑은 고딕"/>
        <family val="3"/>
        <charset val="129"/>
        <scheme val="minor"/>
      </rPr>
      <t>(MGV기능미사용)</t>
    </r>
    <phoneticPr fontId="14" type="noConversion"/>
  </si>
  <si>
    <r>
      <t xml:space="preserve">AGV OUT
</t>
    </r>
    <r>
      <rPr>
        <b/>
        <sz val="6"/>
        <rFont val="맑은 고딕"/>
        <family val="3"/>
        <charset val="129"/>
        <scheme val="minor"/>
      </rPr>
      <t>(MGV기능미사용)</t>
    </r>
    <phoneticPr fontId="14" type="noConversion"/>
  </si>
  <si>
    <t>Buffer Sensor Detail</t>
  </si>
  <si>
    <t>Commet</t>
    <phoneticPr fontId="12" type="noConversion"/>
  </si>
  <si>
    <t>C/V High Speed FWD Move</t>
    <phoneticPr fontId="14" type="noConversion"/>
  </si>
  <si>
    <t>Buffer#1 Control - MST</t>
    <phoneticPr fontId="12" type="noConversion"/>
  </si>
  <si>
    <t>C/V Low Speed FWD Move</t>
    <phoneticPr fontId="14" type="noConversion"/>
  </si>
  <si>
    <t>Buffer#1 Control</t>
    <phoneticPr fontId="12" type="noConversion"/>
  </si>
  <si>
    <t>C/V High Speed BWD Move</t>
    <phoneticPr fontId="14" type="noConversion"/>
  </si>
  <si>
    <t>Buffer#2 Control- MST</t>
    <phoneticPr fontId="12" type="noConversion"/>
  </si>
  <si>
    <t>C/V Low Speed BWD Move</t>
    <phoneticPr fontId="14" type="noConversion"/>
  </si>
  <si>
    <t>Buffer#2 Control</t>
    <phoneticPr fontId="12" type="noConversion"/>
  </si>
  <si>
    <t>Reserve</t>
  </si>
  <si>
    <t>Bit</t>
  </si>
  <si>
    <t>Buffer#3 Control</t>
    <phoneticPr fontId="12" type="noConversion"/>
  </si>
  <si>
    <t>Buffer#4 Control</t>
    <phoneticPr fontId="12" type="noConversion"/>
  </si>
  <si>
    <t>C/V UP High Speed FWD Move</t>
    <phoneticPr fontId="14" type="noConversion"/>
  </si>
  <si>
    <t>Buffer#5 Control</t>
    <phoneticPr fontId="12" type="noConversion"/>
  </si>
  <si>
    <t>C/V UP Low Speed FWD Move</t>
    <phoneticPr fontId="14" type="noConversion"/>
  </si>
  <si>
    <t>C/V Down High Speed BWD Move</t>
    <phoneticPr fontId="14" type="noConversion"/>
  </si>
  <si>
    <t>Buffer 동시동작- MST</t>
    <phoneticPr fontId="12" type="noConversion"/>
  </si>
  <si>
    <t>C/V Down Low Speed BWD Move</t>
    <phoneticPr fontId="14" type="noConversion"/>
  </si>
  <si>
    <t>Servo Control</t>
    <phoneticPr fontId="12" type="noConversion"/>
  </si>
  <si>
    <t>T-Axis 최대부하 리밋 값 입력</t>
    <phoneticPr fontId="12" type="noConversion"/>
  </si>
  <si>
    <t>T-Axis 자동원점 동작 반송수량 입력</t>
    <phoneticPr fontId="12" type="noConversion"/>
  </si>
  <si>
    <t>CST ON Delay</t>
    <phoneticPr fontId="12" type="noConversion"/>
  </si>
  <si>
    <t>Write Flag가 1인 경우에 Write를 진행하며 
Input Mode인 경우 [Port -&gt; CIM Word Map 0x40(Buffer 1)] 영역에 Write, 
Output Mode인 경우 [Port -&gt; CIM Word Map 0x80(Buffer 2)] 영역에 Write</t>
    <phoneticPr fontId="14" type="noConversion"/>
  </si>
  <si>
    <t>Carrier ID#01 - CIM TO CV</t>
    <phoneticPr fontId="12" type="noConversion"/>
  </si>
  <si>
    <t>Carrier ID#02 - CIM TO CV</t>
    <phoneticPr fontId="12" type="noConversion"/>
  </si>
  <si>
    <t>Carrier ID#03 - CIM TO CV</t>
  </si>
  <si>
    <t>Carrier ID#04 - CIM TO CV</t>
  </si>
  <si>
    <t>Carrier ID#05 - CIM TO CV</t>
  </si>
  <si>
    <t>Carrier ID#06 - CIM TO CV</t>
  </si>
  <si>
    <t>Carrier ID#07 - CIM TO CV</t>
  </si>
  <si>
    <t>Carrier ID#08 - CIM TO CV</t>
  </si>
  <si>
    <t>Carrier ID#09 - CIM TO CV</t>
  </si>
  <si>
    <t>Carrier ID#10 - CIM TO CV</t>
  </si>
  <si>
    <t>Carrier ID#11 - CIM TO CV</t>
  </si>
  <si>
    <t>Carrier ID#12 - CIM TO CV</t>
  </si>
  <si>
    <t>Carrier ID#13 - CIM TO CV</t>
  </si>
  <si>
    <t>Carrier ID#14 - CIM TO CV</t>
  </si>
  <si>
    <t>Carrier ID#15 - CIM TO CV</t>
  </si>
  <si>
    <t>Carrier ID#16 - CIM TO CV</t>
  </si>
  <si>
    <t>Carrier ID#17 - CIM TO CV</t>
  </si>
  <si>
    <t>Carrier ID#18 - CIM TO CV</t>
  </si>
  <si>
    <t>Carrier ID#19 - CIM TO CV</t>
  </si>
  <si>
    <t>Carrier ID#20 - CIM TO CV</t>
  </si>
  <si>
    <t>Carrier ID#21 - CIM TO CV</t>
  </si>
  <si>
    <t>Carrier ID#22 - CIM TO CV</t>
  </si>
  <si>
    <t>Carrier ID#23 - CIM TO CV</t>
  </si>
  <si>
    <t>Carrier ID#24 - CIM TO CV</t>
  </si>
  <si>
    <t>Carrier ID#25 - CIM TO CV</t>
  </si>
  <si>
    <t>Carrier ID#26 - CIM TO CV</t>
  </si>
  <si>
    <t>Carrier ID#27 - CIM TO CV</t>
  </si>
  <si>
    <t>Carrier ID#28 - CIM TO CV</t>
  </si>
  <si>
    <t>Carrier ID#29 - CIM TO CV</t>
  </si>
  <si>
    <t>Buffer#1 Select</t>
  </si>
  <si>
    <t>Carrier ID#30 - CIM TO CV</t>
  </si>
  <si>
    <t>Buffer#2 Select</t>
  </si>
  <si>
    <t>Carrier ID#31 - CIM TO CV</t>
  </si>
  <si>
    <t>Carrier ID#32 - CIM TO CV</t>
  </si>
  <si>
    <t>Carrier ID#33 - CIM TO CV</t>
  </si>
  <si>
    <t>Carrier ID#34 - CIM TO CV</t>
  </si>
  <si>
    <t>Carrier ID#35 - CIM TO CV</t>
  </si>
  <si>
    <t>Buffer 동시 전진구동</t>
  </si>
  <si>
    <t>Carrier ID#36 - CIM TO CV</t>
  </si>
  <si>
    <t>Buffer 동시 후진구동</t>
  </si>
  <si>
    <t>Carrier ID#37 - CIM TO CV</t>
  </si>
  <si>
    <t>Carrier ID#38 - CIM TO CV</t>
  </si>
  <si>
    <t>Carrier ID#39 - CIM TO CV</t>
  </si>
  <si>
    <t>Carrier ID#40 - CIM TO CV</t>
  </si>
  <si>
    <t>Carrier ID#41 - CIM TO CV</t>
  </si>
  <si>
    <t>Carrier ID#42 - CIM TO CV</t>
  </si>
  <si>
    <t>Carrier ID#43 - CIM TO CV</t>
  </si>
  <si>
    <t>Carrier ID#44 - CIM TO CV</t>
  </si>
  <si>
    <t>Carrier ID#45 - CIM TO CV</t>
  </si>
  <si>
    <t>Carrier ID#46 - CIM TO CV</t>
  </si>
  <si>
    <t>Carrier ID#47 - CIM TO CV</t>
  </si>
  <si>
    <t>Carrier ID#48 - CIM TO CV</t>
  </si>
  <si>
    <t>Carrier ID#49 - CIM TO CV</t>
  </si>
  <si>
    <t>Carrier ID#50 - CIM TO CV</t>
  </si>
  <si>
    <t>Carrier ID#51 - CIM TO CV</t>
  </si>
  <si>
    <t>Carrier ID#52 - CIM TO CV</t>
  </si>
  <si>
    <t>Carrier ID#53 - CIM TO CV</t>
  </si>
  <si>
    <t>Carrier ID#54 - CIM TO CV</t>
  </si>
  <si>
    <t>Carrier ID#55 - CIM TO CV</t>
  </si>
  <si>
    <t>Carrier ID#56 - CIM TO CV</t>
  </si>
  <si>
    <t>Carrier ID#57 - CIM TO CV</t>
  </si>
  <si>
    <t>Carrier ID#58 -  "1" ID WRITE &amp; "2" ID NO WRITE</t>
    <phoneticPr fontId="14" type="noConversion"/>
  </si>
  <si>
    <t>Remark</t>
    <phoneticPr fontId="14" type="noConversion"/>
  </si>
  <si>
    <t>Comment</t>
    <phoneticPr fontId="14" type="noConversion"/>
  </si>
  <si>
    <t>Dec</t>
    <phoneticPr fontId="12" type="noConversion"/>
  </si>
  <si>
    <t>발생 시 insert (Alarm List Port)</t>
    <phoneticPr fontId="14" type="noConversion"/>
  </si>
  <si>
    <t>Error Code#1</t>
    <phoneticPr fontId="12" type="noConversion"/>
  </si>
  <si>
    <t>Error Code#2</t>
    <phoneticPr fontId="12" type="noConversion"/>
  </si>
  <si>
    <t>Error Code#3</t>
    <phoneticPr fontId="12" type="noConversion"/>
  </si>
  <si>
    <t>Error Code#4</t>
    <phoneticPr fontId="12" type="noConversion"/>
  </si>
  <si>
    <t>Error Code#5</t>
    <phoneticPr fontId="12" type="noConversion"/>
  </si>
  <si>
    <t>X-Axis NOT Sensor</t>
  </si>
  <si>
    <t>SHUTTLE</t>
    <phoneticPr fontId="14" type="noConversion"/>
  </si>
  <si>
    <t>X-Axis Current Posiiton</t>
  </si>
  <si>
    <t>X-Axis POT Sensor</t>
  </si>
  <si>
    <t>X-Axis HOME Sensor</t>
  </si>
  <si>
    <t>X-Axis Target Posiiton</t>
  </si>
  <si>
    <t>Not Update(현장 적용)</t>
    <phoneticPr fontId="14" type="noConversion"/>
  </si>
  <si>
    <t>X-Axis POS Sensor</t>
  </si>
  <si>
    <t>X-Axis Busy</t>
  </si>
  <si>
    <t>X-Axis Current Speed</t>
  </si>
  <si>
    <t>X-Axis Origin OK</t>
  </si>
  <si>
    <t>Delete (2023-02-02)</t>
    <phoneticPr fontId="14" type="noConversion"/>
  </si>
  <si>
    <t>X-Axis Setting Speed</t>
  </si>
  <si>
    <t>X-Axis Wait POS Sensor</t>
    <phoneticPr fontId="14" type="noConversion"/>
  </si>
  <si>
    <t>X-Axis Current Torque</t>
  </si>
  <si>
    <t>한 사이클 당최대 값 기록 및 시간 간격으로 클리어</t>
    <phoneticPr fontId="14" type="noConversion"/>
  </si>
  <si>
    <t>X-Axis Peak Torque</t>
  </si>
  <si>
    <t>한 사이클 당평균 값 기록 및 시간 간격으로 클리어</t>
    <phoneticPr fontId="14" type="noConversion"/>
  </si>
  <si>
    <t>X-Axis Average Torque</t>
  </si>
  <si>
    <t>X-Axis Sensor Monitoring</t>
  </si>
  <si>
    <t>X-Axis 최대부하 현재 측정 값</t>
    <phoneticPr fontId="14" type="noConversion"/>
  </si>
  <si>
    <t>X-Axis 최대부하 현재 설정 값</t>
  </si>
  <si>
    <t>X-Axis 자동원점 현재 반송진행 횟수</t>
  </si>
  <si>
    <t>X-Axis 자동원점 현재 적용 횟수</t>
  </si>
  <si>
    <t>Z-Axis Current Posiiton</t>
  </si>
  <si>
    <t>Z-Axis NOT Sensor</t>
  </si>
  <si>
    <t>Z-Axis Target Posiiton</t>
  </si>
  <si>
    <t>Z-Axis POT Sensor</t>
  </si>
  <si>
    <t>Z-Axis HOME Sensor</t>
  </si>
  <si>
    <t>Z-Axis Current Speed</t>
  </si>
  <si>
    <t>Z-Axis POS Sensor</t>
  </si>
  <si>
    <t>Z-Axis Setting Speed</t>
  </si>
  <si>
    <t>Z-Axis Busy</t>
  </si>
  <si>
    <t>Z-Axis Current Torque</t>
  </si>
  <si>
    <t>Z-Axis Origin OK</t>
  </si>
  <si>
    <t>Z-Axis Peak Torque</t>
  </si>
  <si>
    <t>Z-Axis Average Torque</t>
  </si>
  <si>
    <t>Z-Axis Sensor Monitoring</t>
  </si>
  <si>
    <t>Z-Axis Cylinder BWD Pos.</t>
    <phoneticPr fontId="14" type="noConversion"/>
  </si>
  <si>
    <t>Z-Axis 최대부하 현재 측정 값</t>
  </si>
  <si>
    <t>Z-Axis Cylinder FWD Pos.</t>
    <phoneticPr fontId="14" type="noConversion"/>
  </si>
  <si>
    <t>Z-Axis 최대부하 현재 설정 값</t>
  </si>
  <si>
    <t>Z-Axis 자동원점 현재 반송진행 횟수</t>
  </si>
  <si>
    <t>Z-Axis 자동원점 현재 적용 횟수</t>
  </si>
  <si>
    <t>T-Axis Current Posiiton</t>
    <phoneticPr fontId="12" type="noConversion"/>
  </si>
  <si>
    <t>T-Axis Target Posiiton</t>
    <phoneticPr fontId="12" type="noConversion"/>
  </si>
  <si>
    <t>T-Axis NOT Sensor</t>
  </si>
  <si>
    <t>T-Axis Current Speed</t>
    <phoneticPr fontId="12" type="noConversion"/>
  </si>
  <si>
    <t>T-Axis POT Sensor</t>
  </si>
  <si>
    <t>T-Axis Setting Speed</t>
    <phoneticPr fontId="12" type="noConversion"/>
  </si>
  <si>
    <t>T-Axis HOME Sensor</t>
  </si>
  <si>
    <t>T-Axis Current Torque</t>
    <phoneticPr fontId="12" type="noConversion"/>
  </si>
  <si>
    <t>T-Axis POS Sensor</t>
  </si>
  <si>
    <t>T-Axis Peak Torque</t>
    <phoneticPr fontId="12" type="noConversion"/>
  </si>
  <si>
    <t>T-Axis Busy</t>
  </si>
  <si>
    <t>T-Axis Average Torque</t>
    <phoneticPr fontId="12" type="noConversion"/>
  </si>
  <si>
    <t>T-Axis Origin OK</t>
  </si>
  <si>
    <t>T-Axis Sensor Monitoring</t>
  </si>
  <si>
    <t>T-Axis 0 Deg Position</t>
  </si>
  <si>
    <t>T-Axis 최대부하 현재 측정 값</t>
    <phoneticPr fontId="12" type="noConversion"/>
  </si>
  <si>
    <t>T-Axis 180 Deg Position</t>
  </si>
  <si>
    <t>T-Axis 최대부하 현재 설정 값</t>
    <phoneticPr fontId="12" type="noConversion"/>
  </si>
  <si>
    <t>T-Axis Cylinder BWD Pos.</t>
  </si>
  <si>
    <t>T-Axis 자동원점 현재 반송진행 횟수</t>
    <phoneticPr fontId="12" type="noConversion"/>
  </si>
  <si>
    <t>T-Axis Cylinder FWD Pos.</t>
  </si>
  <si>
    <t>T-Axis 자동원점 현재 적용 횟수</t>
    <phoneticPr fontId="12" type="noConversion"/>
  </si>
  <si>
    <t>Shuttle Sensor Monitoring</t>
    <phoneticPr fontId="12" type="noConversion"/>
  </si>
  <si>
    <t>1. CIM -&gt; Port Write Flag 및 Direction에 따라 Update
2. Auto Control 공정 Step에 따라 Update, Clear</t>
    <phoneticPr fontId="14" type="noConversion"/>
  </si>
  <si>
    <t>BUFFER #1</t>
    <phoneticPr fontId="14" type="noConversion"/>
  </si>
  <si>
    <t>BUFFER#1 Carrier ID#01</t>
  </si>
  <si>
    <t>BUFFER#1 Carrier ID#02</t>
  </si>
  <si>
    <t>BUFFER#1 Carrier ID#03</t>
  </si>
  <si>
    <t>BUFFER#1 Carrier ID#04</t>
  </si>
  <si>
    <t>BUFFER#1 Carrier ID#05</t>
  </si>
  <si>
    <t>BUFFER#1 Carrier ID#06</t>
  </si>
  <si>
    <t>WMX Input Update</t>
    <phoneticPr fontId="14" type="noConversion"/>
  </si>
  <si>
    <t>Shuttle CST Detect#1</t>
  </si>
  <si>
    <t>Shuttle CST InPlace#1</t>
  </si>
  <si>
    <t>BUFFER#1 Carrier ID#07</t>
  </si>
  <si>
    <t>Shuttle CST Detect#2</t>
  </si>
  <si>
    <t>Shuttle CST InPlace#2</t>
  </si>
  <si>
    <t>BUFFER#1 Carrier ID#08</t>
  </si>
  <si>
    <t>BUFFER#1 Carrier ID#09</t>
  </si>
  <si>
    <t>BUFFER#1 Carrier ID#10</t>
  </si>
  <si>
    <t>BUFFER#1 Carrier ID#11</t>
  </si>
  <si>
    <t>BUFFER#1 Carrier ID#12</t>
  </si>
  <si>
    <t>BUFFER#1 Carrier ID#13</t>
  </si>
  <si>
    <t>BUFFER#1 Carrier ID#14</t>
  </si>
  <si>
    <t>BUFFER#1 Carrier ID#15</t>
  </si>
  <si>
    <t>BUFFER#1 Carrier ID#16</t>
  </si>
  <si>
    <t>BUFFER#1 Carrier ID#17</t>
  </si>
  <si>
    <t>BUFFER#1 Carrier ID#18</t>
  </si>
  <si>
    <t>BUFFER#1 Carrier ID#19</t>
  </si>
  <si>
    <t>BUFFER#1 Carrier ID#30</t>
  </si>
  <si>
    <t>BUFFER#1 Carrier ID#31</t>
  </si>
  <si>
    <t>BUFFER#1 Carrier ID#32</t>
  </si>
  <si>
    <t>BUFFER#1 Carrier ID#33</t>
  </si>
  <si>
    <t>BUFFER#1 Carrier ID#34</t>
  </si>
  <si>
    <t>BUFFER#1 Carrier ID#35</t>
  </si>
  <si>
    <t>BUFFER#1 Carrier ID#36</t>
  </si>
  <si>
    <t>BUFFER#1 Carrier ID#37</t>
  </si>
  <si>
    <t>BUFFER#1 Carrier ID#38</t>
  </si>
  <si>
    <t>BUFFER#1 Carrier ID#39</t>
  </si>
  <si>
    <t>BUFFER#1 Carrier ID#40</t>
  </si>
  <si>
    <t>BUFFER#1 Carrier ID#41</t>
  </si>
  <si>
    <t>BUFFER#1 Carrier ID#42</t>
  </si>
  <si>
    <t>BUFFER#1 Carrier ID#43</t>
  </si>
  <si>
    <t>BUFFER#1 Carrier ID#44</t>
  </si>
  <si>
    <t>BUFFER#1 Carrier ID#45</t>
  </si>
  <si>
    <t>BUFFER#1 Carrier ID#46</t>
  </si>
  <si>
    <t>BUFFER#1 Carrier ID#47</t>
  </si>
  <si>
    <t>BUFFER#1 Carrier ID#48</t>
  </si>
  <si>
    <t>Buffer CST Detect#1</t>
    <phoneticPr fontId="12" type="noConversion"/>
  </si>
  <si>
    <t>Buffer CST InPlace#1</t>
  </si>
  <si>
    <t>BUFFER#1 Carrier ID#49</t>
  </si>
  <si>
    <t>Buffer CST Detect#2</t>
  </si>
  <si>
    <t>Buffer CST InPlace#2</t>
    <phoneticPr fontId="12" type="noConversion"/>
  </si>
  <si>
    <t>BUFFER#1 Carrier ID#50</t>
  </si>
  <si>
    <t>Buffer CST Presence</t>
    <phoneticPr fontId="12" type="noConversion"/>
  </si>
  <si>
    <t>BUFFER#1 Carrier ID#51</t>
  </si>
  <si>
    <t>BUFFER#1 Carrier ID#52</t>
  </si>
  <si>
    <t>BUFFER#1 Carrier ID#53</t>
  </si>
  <si>
    <t>Buffer Fork Detect</t>
    <phoneticPr fontId="14" type="noConversion"/>
  </si>
  <si>
    <r>
      <t xml:space="preserve">RM FORK </t>
    </r>
    <r>
      <rPr>
        <sz val="8"/>
        <color theme="9"/>
        <rFont val="돋움"/>
        <family val="3"/>
        <charset val="129"/>
      </rPr>
      <t>감지</t>
    </r>
    <phoneticPr fontId="14" type="noConversion"/>
  </si>
  <si>
    <t>BUFFER#1 Carrier ID#54</t>
  </si>
  <si>
    <t>Buffer Hoist Detect</t>
    <phoneticPr fontId="14" type="noConversion"/>
  </si>
  <si>
    <t>BUFFER#1 Carrier ID#55</t>
  </si>
  <si>
    <t>BUFFER#1 Carrier ID#56</t>
  </si>
  <si>
    <t>BUFFER#1 Carrier ID#57</t>
  </si>
  <si>
    <t>BUFFER#1 Carrier ID#58</t>
  </si>
  <si>
    <t>Buffer LED Green</t>
  </si>
  <si>
    <t>Buffer 입출입 가능</t>
  </si>
  <si>
    <t>Buffer Auto Control Step에 따라 업데이트</t>
    <phoneticPr fontId="14" type="noConversion"/>
  </si>
  <si>
    <t>BUFFER#1 Auto Step</t>
  </si>
  <si>
    <t>Buffer LED Red</t>
  </si>
  <si>
    <t>Buffer 입출입 불가능</t>
  </si>
  <si>
    <t>BUFFER#1 Sensor Status -1</t>
    <phoneticPr fontId="14" type="noConversion"/>
  </si>
  <si>
    <t>BUFFER#1 Sensor Status -2</t>
    <phoneticPr fontId="14" type="noConversion"/>
  </si>
  <si>
    <t>BUFFER #2</t>
    <phoneticPr fontId="14" type="noConversion"/>
  </si>
  <si>
    <t>BUFFER#2 Carrier ID#01</t>
  </si>
  <si>
    <t>BUFFER#2 Carrier ID#02</t>
  </si>
  <si>
    <t>BUFFER#2 Carrier ID#03</t>
  </si>
  <si>
    <t>BUFFER#2 Carrier ID#04</t>
  </si>
  <si>
    <t>BUFFER#2 Carrier ID#05</t>
  </si>
  <si>
    <t>Buffer CV #1</t>
    <phoneticPr fontId="12" type="noConversion"/>
  </si>
  <si>
    <t>Buffer CST Insert</t>
    <phoneticPr fontId="14" type="noConversion"/>
  </si>
  <si>
    <t>BUFFER#2 Carrier ID#06</t>
  </si>
  <si>
    <t>Buffer CV #2</t>
    <phoneticPr fontId="14" type="noConversion"/>
  </si>
  <si>
    <t>Buffer CST Slow</t>
    <phoneticPr fontId="12" type="noConversion"/>
  </si>
  <si>
    <t>BUFFER#2 Carrier ID#07</t>
  </si>
  <si>
    <t>Buffer CV #3</t>
    <phoneticPr fontId="12" type="noConversion"/>
  </si>
  <si>
    <t>Buffer CST Stop</t>
    <phoneticPr fontId="12" type="noConversion"/>
  </si>
  <si>
    <t>BUFFER#2 Carrier ID#08</t>
  </si>
  <si>
    <t>BUFFER#2 Carrier ID#09</t>
  </si>
  <si>
    <t>BUFFER#2 Carrier ID#10</t>
  </si>
  <si>
    <t>BUFFER#2 Carrier ID#11</t>
  </si>
  <si>
    <t>BUFFER#2 Carrier ID#12</t>
  </si>
  <si>
    <t>BUFFER#2 Carrier ID#13</t>
  </si>
  <si>
    <t>BUFFER#2 Carrier ID#14</t>
  </si>
  <si>
    <t>BUFFER#2 Carrier ID#15</t>
  </si>
  <si>
    <r>
      <t xml:space="preserve">Buffer C/V </t>
    </r>
    <r>
      <rPr>
        <sz val="8"/>
        <rFont val="돋움"/>
        <family val="3"/>
        <charset val="129"/>
      </rPr>
      <t>정방향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상태</t>
    </r>
    <phoneticPr fontId="14" type="noConversion"/>
  </si>
  <si>
    <t>BUFFER#2 Carrier ID#16</t>
  </si>
  <si>
    <r>
      <t xml:space="preserve">Buffer C/V </t>
    </r>
    <r>
      <rPr>
        <sz val="8"/>
        <rFont val="돋움"/>
        <family val="3"/>
        <charset val="129"/>
      </rPr>
      <t>역방향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상태</t>
    </r>
    <phoneticPr fontId="14" type="noConversion"/>
  </si>
  <si>
    <t>BUFFER#2 Carrier ID#17</t>
  </si>
  <si>
    <t>BUFFER#2 Carrier ID#18</t>
  </si>
  <si>
    <t>BUFFER#2 Carrier ID#19</t>
  </si>
  <si>
    <t>BUFFER#2 Carrier ID#20</t>
  </si>
  <si>
    <t>BUFFER#2 Carrier ID#21</t>
  </si>
  <si>
    <t>BUFFER#2 Carrier ID#22</t>
  </si>
  <si>
    <t>BUFFER#2 Carrier ID#23</t>
  </si>
  <si>
    <t>BUFFER#2 Carrier ID#24</t>
  </si>
  <si>
    <t>BUFFER#2 Carrier ID#25</t>
  </si>
  <si>
    <t>BUFFER#2 Carrier ID#26</t>
  </si>
  <si>
    <t>BUFFER#2 Carrier ID#27</t>
  </si>
  <si>
    <t>BUFFER#2 Carrier ID#28</t>
  </si>
  <si>
    <t>BUFFER#2 Carrier ID#29</t>
  </si>
  <si>
    <t>BUFFER#2 Carrier ID#30</t>
  </si>
  <si>
    <t>BUFFER#2 Carrier ID#31</t>
  </si>
  <si>
    <t>BUFFER#2 Carrier ID#32</t>
  </si>
  <si>
    <t>BUFFER#2 Carrier ID#33</t>
  </si>
  <si>
    <t>BUFFER#2 Carrier ID#34</t>
  </si>
  <si>
    <t>BUFFER#2 Carrier ID#35</t>
  </si>
  <si>
    <t>BUFFER#2 Carrier ID#36</t>
  </si>
  <si>
    <t>BUFFER#2 Carrier ID#37</t>
  </si>
  <si>
    <t>BUFFER#2 Carrier ID#38</t>
  </si>
  <si>
    <t>BUFFER#2 Carrier ID#39</t>
  </si>
  <si>
    <t>BUFFER#2 Carrier ID#40</t>
  </si>
  <si>
    <t>BUFFER#2 Carrier ID#41</t>
  </si>
  <si>
    <t>BUFFER#2 Carrier ID#42</t>
  </si>
  <si>
    <t>BUFFER#2 Carrier ID#43</t>
  </si>
  <si>
    <t>BUFFER#2 Carrier ID#44</t>
  </si>
  <si>
    <t>BUFFER#2 Carrier ID#45</t>
  </si>
  <si>
    <t>BUFFER#2 Carrier ID#46</t>
  </si>
  <si>
    <t>BUFFER#2 Carrier ID#47</t>
  </si>
  <si>
    <t>BUFFER#2 Carrier ID#48</t>
  </si>
  <si>
    <t>BUFFER#2 Carrier ID#49</t>
  </si>
  <si>
    <t>BUFFER#2 Carrier ID#50</t>
  </si>
  <si>
    <t>BUFFER#2 Carrier ID#51</t>
  </si>
  <si>
    <t>BUFFER#2 Carrier ID#52</t>
  </si>
  <si>
    <t>BUFFER#2 Carrier ID#53</t>
  </si>
  <si>
    <t>BUFFER#2 Carrier ID#54</t>
  </si>
  <si>
    <t>BUFFER#2 Carrier ID#55</t>
  </si>
  <si>
    <t>BUFFER#2 Carrier ID#56</t>
  </si>
  <si>
    <t>BUFFER#2 Carrier ID#57</t>
  </si>
  <si>
    <t>BUFFER#2 Carrier ID#58</t>
  </si>
  <si>
    <t>BUFFER#2 Auto Step</t>
  </si>
  <si>
    <t>BUFFER#2 Sensor Status -1</t>
  </si>
  <si>
    <t>BUFFER#2 Sensor Status -2</t>
  </si>
  <si>
    <t>BUFFER#3 Carrier ID#01</t>
  </si>
  <si>
    <t>BUFFER#3 Carrier ID#02</t>
  </si>
  <si>
    <t>BUFFER#3 Carrier ID#03</t>
  </si>
  <si>
    <r>
      <t xml:space="preserve">OHT Hoist </t>
    </r>
    <r>
      <rPr>
        <sz val="8"/>
        <color theme="9"/>
        <rFont val="돋움"/>
        <family val="3"/>
        <charset val="129"/>
      </rPr>
      <t>감지</t>
    </r>
    <phoneticPr fontId="14" type="noConversion"/>
  </si>
  <si>
    <t>BUFFER#3 Carrier ID#04</t>
  </si>
  <si>
    <t>Cart Detect#1</t>
    <phoneticPr fontId="14" type="noConversion"/>
  </si>
  <si>
    <r>
      <rPr>
        <sz val="8"/>
        <color theme="9"/>
        <rFont val="돋움"/>
        <family val="3"/>
        <charset val="129"/>
      </rPr>
      <t>대차</t>
    </r>
    <r>
      <rPr>
        <sz val="8"/>
        <color theme="9"/>
        <rFont val="Arial"/>
        <family val="2"/>
      </rPr>
      <t xml:space="preserve"> </t>
    </r>
    <r>
      <rPr>
        <sz val="8"/>
        <color theme="9"/>
        <rFont val="돋움"/>
        <family val="3"/>
        <charset val="129"/>
      </rPr>
      <t>감지</t>
    </r>
    <r>
      <rPr>
        <sz val="8"/>
        <color theme="9"/>
        <rFont val="Arial"/>
        <family val="2"/>
      </rPr>
      <t xml:space="preserve"> Left</t>
    </r>
    <phoneticPr fontId="14" type="noConversion"/>
  </si>
  <si>
    <t>BUFFER#3 Carrier ID#05</t>
  </si>
  <si>
    <r>
      <t>Cart Detect#2</t>
    </r>
    <r>
      <rPr>
        <sz val="11"/>
        <color theme="1"/>
        <rFont val="맑은 고딕"/>
        <family val="2"/>
        <scheme val="minor"/>
      </rPr>
      <t/>
    </r>
    <phoneticPr fontId="14" type="noConversion"/>
  </si>
  <si>
    <t>대차 감지 Right</t>
    <phoneticPr fontId="14" type="noConversion"/>
  </si>
  <si>
    <t>BUFFER#3 Carrier ID#06</t>
  </si>
  <si>
    <t>BUFFER#3 Carrier ID#07</t>
  </si>
  <si>
    <t>BUFFER#3 Carrier ID#08</t>
  </si>
  <si>
    <t>BUFFER#3 Carrier ID#09</t>
  </si>
  <si>
    <t>BUFFER#3 Carrier ID#10</t>
  </si>
  <si>
    <t>BUFFER#3 Carrier ID#11</t>
  </si>
  <si>
    <t>BUFFER#3 Carrier ID#12</t>
  </si>
  <si>
    <t>BUFFER#3 Carrier ID#13</t>
  </si>
  <si>
    <t>BUFFER#3 Carrier ID#14</t>
  </si>
  <si>
    <t>BUFFER#3 Carrier ID#15</t>
  </si>
  <si>
    <t>BUFFER#3 Carrier ID#16</t>
  </si>
  <si>
    <t>BUFFER#3 Carrier ID#17</t>
  </si>
  <si>
    <t>BUFFER#3 Carrier ID#18</t>
  </si>
  <si>
    <t>Buffer CV IN</t>
    <phoneticPr fontId="12" type="noConversion"/>
  </si>
  <si>
    <t>BUFFER#3 Carrier ID#19</t>
  </si>
  <si>
    <t>Buffer CV MID</t>
    <phoneticPr fontId="14" type="noConversion"/>
  </si>
  <si>
    <t>BUFFER#3 Carrier ID#30</t>
  </si>
  <si>
    <t>Buffer CV OUT</t>
    <phoneticPr fontId="12" type="noConversion"/>
  </si>
  <si>
    <t>BUFFER#3 Carrier ID#31</t>
  </si>
  <si>
    <t>Reserve</t>
    <phoneticPr fontId="14" type="noConversion"/>
  </si>
  <si>
    <t>BUFFER#3 Carrier ID#32</t>
  </si>
  <si>
    <t xml:space="preserve">Buffer Z-Axis NOT </t>
    <phoneticPr fontId="14" type="noConversion"/>
  </si>
  <si>
    <t>BUFFER#3 Carrier ID#33</t>
  </si>
  <si>
    <t xml:space="preserve">Buffer Z-Axis POS#1 </t>
    <phoneticPr fontId="14" type="noConversion"/>
  </si>
  <si>
    <t>BUFFER#3 Carrier ID#34</t>
  </si>
  <si>
    <t>Buffer Z-Axis POS#2</t>
    <phoneticPr fontId="14" type="noConversion"/>
  </si>
  <si>
    <t>BUFFER#3 Carrier ID#35</t>
  </si>
  <si>
    <t xml:space="preserve">Buffer Z-Axis POT </t>
    <phoneticPr fontId="14" type="noConversion"/>
  </si>
  <si>
    <t>BUFFER#3 Carrier ID#36</t>
  </si>
  <si>
    <t>BUFFER#3 Carrier ID#37</t>
  </si>
  <si>
    <t>BUFFER#3 Carrier ID#38</t>
  </si>
  <si>
    <t>BUFFER#3 Carrier ID#39</t>
  </si>
  <si>
    <t>BUFFER#3 Carrier ID#40</t>
  </si>
  <si>
    <t>BUFFER#3 Carrier ID#41</t>
  </si>
  <si>
    <t>BUFFER#3 Carrier ID#42</t>
  </si>
  <si>
    <t>BUFFER#3 Carrier ID#43</t>
  </si>
  <si>
    <t>BUFFER#3 Carrier ID#44</t>
  </si>
  <si>
    <t>BUFFER#3 Carrier ID#45</t>
  </si>
  <si>
    <t>BUFFER#3 Carrier ID#46</t>
  </si>
  <si>
    <t>BUFFER#3 Carrier ID#47</t>
  </si>
  <si>
    <t>BUFFER#3 Carrier ID#48</t>
  </si>
  <si>
    <t>BUFFER#3 Carrier ID#49</t>
  </si>
  <si>
    <t>BUFFER#3 Carrier ID#50</t>
  </si>
  <si>
    <t>BUFFER#3 Carrier ID#51</t>
  </si>
  <si>
    <t>BUFFER#3 Carrier ID#52</t>
  </si>
  <si>
    <t>BUFFER#3 Carrier ID#53</t>
  </si>
  <si>
    <t>BUFFER#3 Carrier ID#54</t>
  </si>
  <si>
    <t>BUFFER#3 Carrier ID#55</t>
  </si>
  <si>
    <t>BUFFER#3 Carrier ID#56</t>
  </si>
  <si>
    <t>BUFFER#3 Carrier ID</t>
  </si>
  <si>
    <t>BUFFER#3 Auto Step</t>
  </si>
  <si>
    <t>BUFFER#3 Sensor Status -1</t>
  </si>
  <si>
    <t>BUFFER#3 Sensor Status -2</t>
  </si>
  <si>
    <t>PORT</t>
    <phoneticPr fontId="14" type="noConversion"/>
  </si>
  <si>
    <t>V3 (Semi C/V, STOCKER) ↔ Web 관제 프로토콜 정의서</t>
  </si>
  <si>
    <t>v1.1</t>
  </si>
  <si>
    <t>V3 (Semi C/V · STOCKER 설비 제어 프로그램)</t>
  </si>
  <si>
    <t>설비 모드 선택</t>
  </si>
  <si>
    <r>
      <t xml:space="preserve">V3 </t>
    </r>
    <r>
      <rPr>
        <sz val="11"/>
        <color theme="1"/>
        <rFont val="맑은 고딕"/>
        <family val="2"/>
        <scheme val="minor"/>
      </rPr>
      <t>시작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시</t>
    </r>
    <r>
      <rPr>
        <sz val="11"/>
        <color theme="1"/>
        <rFont val="맑은 고딕"/>
        <family val="3"/>
        <scheme val="minor"/>
      </rPr>
      <t xml:space="preserve"> Semi C/V </t>
    </r>
    <r>
      <rPr>
        <sz val="11"/>
        <color theme="1"/>
        <rFont val="맑은 고딕"/>
        <family val="2"/>
        <scheme val="minor"/>
      </rPr>
      <t>또는</t>
    </r>
    <r>
      <rPr>
        <sz val="11"/>
        <color theme="1"/>
        <rFont val="맑은 고딕"/>
        <family val="3"/>
        <scheme val="minor"/>
      </rPr>
      <t xml:space="preserve"> STOCKER </t>
    </r>
    <r>
      <rPr>
        <sz val="11"/>
        <color theme="1"/>
        <rFont val="맑은 고딕"/>
        <family val="2"/>
        <scheme val="minor"/>
      </rPr>
      <t>모드를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선택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→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해당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모드의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메모리맵을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참조해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동일</t>
    </r>
    <r>
      <rPr>
        <sz val="11"/>
        <color theme="1"/>
        <rFont val="맑은 고딕"/>
        <family val="3"/>
        <scheme val="minor"/>
      </rPr>
      <t xml:space="preserve"> Envelope</t>
    </r>
    <r>
      <rPr>
        <sz val="11"/>
        <color theme="1"/>
        <rFont val="맑은 고딕"/>
        <family val="2"/>
        <scheme val="minor"/>
      </rPr>
      <t>로</t>
    </r>
    <r>
      <rPr>
        <sz val="11"/>
        <color theme="1"/>
        <rFont val="맑은 고딕"/>
        <family val="3"/>
        <scheme val="minor"/>
      </rPr>
      <t xml:space="preserve"> Web</t>
    </r>
    <r>
      <rPr>
        <sz val="11"/>
        <color theme="1"/>
        <rFont val="맑은 고딕"/>
        <family val="2"/>
        <scheme val="minor"/>
      </rPr>
      <t>에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전송</t>
    </r>
    <r>
      <rPr>
        <sz val="11"/>
        <color theme="1"/>
        <rFont val="맑은 고딕"/>
        <family val="3"/>
        <scheme val="minor"/>
      </rPr>
      <t xml:space="preserve">. </t>
    </r>
    <r>
      <rPr>
        <sz val="11"/>
        <color theme="1"/>
        <rFont val="맑은 고딕"/>
        <family val="2"/>
        <scheme val="minor"/>
      </rPr>
      <t>구분자</t>
    </r>
    <r>
      <rPr>
        <sz val="11"/>
        <color theme="1"/>
        <rFont val="맑은 고딕"/>
        <family val="3"/>
        <scheme val="minor"/>
      </rPr>
      <t xml:space="preserve">: data.equipmentType ('SEMI_CNV' | 'STOCKER'), </t>
    </r>
    <r>
      <rPr>
        <sz val="11"/>
        <color theme="1"/>
        <rFont val="맑은 고딕"/>
        <family val="2"/>
        <scheme val="minor"/>
      </rPr>
      <t>미지정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시</t>
    </r>
    <r>
      <rPr>
        <sz val="11"/>
        <color theme="1"/>
        <rFont val="맑은 고딕"/>
        <family val="3"/>
        <scheme val="minor"/>
      </rPr>
      <t xml:space="preserve"> 'SEMI_CNV'</t>
    </r>
    <r>
      <rPr>
        <sz val="11"/>
        <color theme="1"/>
        <rFont val="맑은 고딕"/>
        <family val="2"/>
        <scheme val="minor"/>
      </rPr>
      <t>로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간주</t>
    </r>
    <r>
      <rPr>
        <sz val="11"/>
        <color theme="1"/>
        <rFont val="맑은 고딕"/>
        <family val="3"/>
        <scheme val="minor"/>
      </rPr>
      <t>.</t>
    </r>
  </si>
  <si>
    <t>STOCKER 소스 기준</t>
  </si>
  <si>
    <r>
      <t>SS-One BIT/Word Communication · Port Bit/Word (</t>
    </r>
    <r>
      <rPr>
        <sz val="11"/>
        <color theme="1"/>
        <rFont val="맑은 고딕"/>
        <family val="2"/>
        <scheme val="minor"/>
      </rPr>
      <t>구</t>
    </r>
    <r>
      <rPr>
        <sz val="11"/>
        <color theme="1"/>
        <rFont val="맑은 고딕"/>
        <family val="3"/>
        <scheme val="minor"/>
      </rPr>
      <t xml:space="preserve"> STOCKER–CIM TCP/IP Memory Map) </t>
    </r>
    <r>
      <rPr>
        <sz val="11"/>
        <color theme="1"/>
        <rFont val="맑은 고딕"/>
        <family val="2"/>
        <scheme val="minor"/>
      </rPr>
      <t>을</t>
    </r>
    <r>
      <rPr>
        <sz val="11"/>
        <color theme="1"/>
        <rFont val="맑은 고딕"/>
        <family val="3"/>
        <scheme val="minor"/>
      </rPr>
      <t xml:space="preserve"> WebSocket JSON </t>
    </r>
    <r>
      <rPr>
        <sz val="11"/>
        <color theme="1"/>
        <rFont val="맑은 고딕"/>
        <family val="2"/>
        <scheme val="minor"/>
      </rPr>
      <t>으로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재정의</t>
    </r>
  </si>
  <si>
    <t>모드</t>
  </si>
  <si>
    <t>Semi C/V</t>
  </si>
  <si>
    <t>공용</t>
  </si>
  <si>
    <t>STOCKER</t>
  </si>
  <si>
    <t>현장 접속 통지 (스토커)</t>
  </si>
  <si>
    <t>V3가 STOCKER 모드로 연결 직후 1회 전송 — equipmentType=STOCKER, 스토커·랙마스터·포트·셀프 규모를 알린다.</t>
  </si>
  <si>
    <t>스토커 본체 상태</t>
  </si>
  <si>
    <t>스토커 본체 단위 요약 — 제어/운전 모드·온라인·안전·타워램프·도어·EMO·팬·CST Full·적재수·포트 요약·CPS 전원. 주기 전송.</t>
  </si>
  <si>
    <t>유닛 상태 (크레인·포트)</t>
  </si>
  <si>
    <t>유닛별 실시간 상태 배열 — unitType으로 Rack Master(크레인)/Port 구분. 크레인 서보·모드·반송동작·스텝, 포트 PIO 핸드셰이크·캐리어ID 등.</t>
  </si>
  <si>
    <t>알람 이벤트 (스토커)</t>
  </si>
  <si>
    <t>알람 발생(OCCUR)/해제(CLEAR) — source(Stocker/RackMaster/CPS/Port)별 통지. 에러워드 기반 코드·레벨·메시지.</t>
  </si>
  <si>
    <t>CST 위치 추적 (스토커)</t>
  </si>
  <si>
    <t>CST(카세트)가 셀프/포트/포크 중 어디에 있는지 통지 — locationType·shelfId·portId·from/to 셀프.</t>
  </si>
  <si>
    <t>IO·축 상태 상세</t>
  </si>
  <si>
    <t>안전/Auto 조건 항목별 + 크레인 X/Z/A/T 축 텔레메트리(위치·속도·토크·주행거리) + 주요 센서·프로그램 상태.</t>
  </si>
  <si>
    <t>제어 명령 (스토커)</t>
  </si>
  <si>
    <t>Web → V3 스토커 제어. 본체(비상정지·에러리셋·형광등·타워램프)·크레인(서보·자동·원점·반송·티칭·시간동기)·포트(run/stop/power/in-out mode/reset) 명령을 target으로 지정.</t>
  </si>
  <si>
    <t>equipmentType</t>
  </si>
  <si>
    <t>string ('STOCKER')</t>
  </si>
  <si>
    <t>설비 종류 구분자 (STOCKER 고정)</t>
  </si>
  <si>
    <t>stockerCount</t>
  </si>
  <si>
    <t>스토커 수</t>
  </si>
  <si>
    <t>rackMasterCount</t>
  </si>
  <si>
    <t>랙마스터(크레인) 수</t>
  </si>
  <si>
    <t>portCount</t>
  </si>
  <si>
    <t>포트 수</t>
  </si>
  <si>
    <t>shelfCount</t>
  </si>
  <si>
    <t>셀프(선반) 수</t>
  </si>
  <si>
    <t>설비 종류 구분자</t>
  </si>
  <si>
    <t>stockerId</t>
  </si>
  <si>
    <t>스토커 ID</t>
  </si>
  <si>
    <t>stockerName</t>
  </si>
  <si>
    <t>스토커 이름</t>
  </si>
  <si>
    <t>MasterMode'|'CIMMode'</t>
  </si>
  <si>
    <t>제어 모드 (CIM Mode 여부)</t>
  </si>
  <si>
    <t>Manual'|'Auto'</t>
  </si>
  <si>
    <t>운전 모드 (Master Key Auto)</t>
  </si>
  <si>
    <t>onlineStatus</t>
  </si>
  <si>
    <t>Online'|'Offline'</t>
  </si>
  <si>
    <t>SS-One↔MST 온라인 상태</t>
  </si>
  <si>
    <t>OK'|'NG'</t>
  </si>
  <si>
    <t>안전 종합 (EMO·도어·라이트커튼)</t>
  </si>
  <si>
    <t>alarmStatus</t>
  </si>
  <si>
    <t>알람 발생 여부 (Master/RM 종합)</t>
  </si>
  <si>
    <t>towerLamp</t>
  </si>
  <si>
    <t>{ green, yellow, red, buzzer }</t>
  </si>
  <si>
    <t>타워램프 상태 (경/중알람·부저)</t>
  </si>
  <si>
    <t>doorOpen</t>
  </si>
  <si>
    <t>도어 열림 (HP/OP Door)</t>
  </si>
  <si>
    <t>emoPushed</t>
  </si>
  <si>
    <t>비상정지(EMO) 눌림</t>
  </si>
  <si>
    <t>keyAuto</t>
  </si>
  <si>
    <t>Master Key 자동 모드</t>
  </si>
  <si>
    <t>fanStatus</t>
  </si>
  <si>
    <t>{ intake, exhaust }</t>
  </si>
  <si>
    <t>흡기/배기팬 정상 여부</t>
  </si>
  <si>
    <t>cstFull</t>
  </si>
  <si>
    <t>CST Full 상태</t>
  </si>
  <si>
    <t>storedCstCount</t>
  </si>
  <si>
    <t>적재 CST 수</t>
  </si>
  <si>
    <t>totalPorts</t>
  </si>
  <si>
    <t>전체 포트 수</t>
  </si>
  <si>
    <t>runningPorts</t>
  </si>
  <si>
    <t>가동 포트 수</t>
  </si>
  <si>
    <t>alarmCount</t>
  </si>
  <si>
    <t>cps</t>
  </si>
  <si>
    <t>{ no, run, error, failover }[]</t>
  </si>
  <si>
    <t>CPS 전원공급 상태 배열 (CPS#1/#2)</t>
  </si>
  <si>
    <t>유닛 ID</t>
  </si>
  <si>
    <t>소속 스토커 ID</t>
  </si>
  <si>
    <t>unitType</t>
  </si>
  <si>
    <t>RackMaster'|'Port'</t>
  </si>
  <si>
    <t>유닛 종류</t>
  </si>
  <si>
    <t>유닛 이름 (RM01 / MGV-IN 등)</t>
  </si>
  <si>
    <t>servoOn</t>
  </si>
  <si>
    <t>[RackMaster] 서보 온 상태</t>
  </si>
  <si>
    <t>[RackMaster] 제어 모드</t>
  </si>
  <si>
    <t>[RackMaster] 운전 모드</t>
  </si>
  <si>
    <t>activity</t>
  </si>
  <si>
    <t>Idle'|'Active'</t>
  </si>
  <si>
    <t>[RackMaster] IDLE/ACTIVE 상태</t>
  </si>
  <si>
    <t>transferType</t>
  </si>
  <si>
    <t>None'|'From'|'To'|'Scan'|'Maint'</t>
  </si>
  <si>
    <t>[RackMaster] 반송 동작 종류</t>
  </si>
  <si>
    <t>[RackMaster] 자동 시퀀스 스텝</t>
  </si>
  <si>
    <t>homeDone</t>
  </si>
  <si>
    <t>[RackMaster] 원점 복귀 완료</t>
  </si>
  <si>
    <t>fromShelfId</t>
  </si>
  <si>
    <t>number | null</t>
  </si>
  <si>
    <t>[RackMaster] From 셀프 ID</t>
  </si>
  <si>
    <t>toShelfId</t>
  </si>
  <si>
    <t>[RackMaster] To 셀프 ID</t>
  </si>
  <si>
    <t>accessShelfId</t>
  </si>
  <si>
    <t>[RackMaster] 현재 접근 셀프 ID</t>
  </si>
  <si>
    <t>[RackMaster] 포크 적재 CST ID</t>
  </si>
  <si>
    <t>cstPresent</t>
  </si>
  <si>
    <t>[RackMaster] 포크 카세트 유무</t>
  </si>
  <si>
    <t>portType</t>
  </si>
  <si>
    <t>MGV'|'AGV'|'OHT'|'AUTO'</t>
  </si>
  <si>
    <t>[Port] 포트 타입</t>
  </si>
  <si>
    <t>direction</t>
  </si>
  <si>
    <t>In'|'Out'</t>
  </si>
  <si>
    <t>[Port] 입출고 방향 (In/Out Mode)</t>
  </si>
  <si>
    <t>pioStatus</t>
  </si>
  <si>
    <t>Idle'|'TR_REQ'|'Busy'|'Transferring'|'Complete'|'Error'</t>
  </si>
  <si>
    <t>[Port] PIO 핸드셰이크 상태 (E84)</t>
  </si>
  <si>
    <t>carrierId</t>
  </si>
  <si>
    <t>[Port] 캐리어(CST) ID</t>
  </si>
  <si>
    <t>runEnable</t>
  </si>
  <si>
    <t>[Port] Run 가능 상태</t>
  </si>
  <si>
    <t>lightCurtain</t>
  </si>
  <si>
    <t>[Port] 라이트커튼 감지</t>
  </si>
  <si>
    <t>OCCUR'|'CLEAR'</t>
  </si>
  <si>
    <t>source</t>
  </si>
  <si>
    <t>Stocker'|'RackMaster'|'CPS'|'Port'</t>
  </si>
  <si>
    <t>알람 발생원</t>
  </si>
  <si>
    <t>unitId</t>
  </si>
  <si>
    <t>대상 유닛 ID (본체=0)</t>
  </si>
  <si>
    <t>알람 코드 (에러워드 기반)</t>
  </si>
  <si>
    <t>Error'|'Warning'|'Info'</t>
  </si>
  <si>
    <t>발생 스텝 (RM 자동 스텝)</t>
  </si>
  <si>
    <t>X'|'Z'|'A'|'T'|null</t>
  </si>
  <si>
    <t>관련 축 (RM 축 알람 시)</t>
  </si>
  <si>
    <t>locationType</t>
  </si>
  <si>
    <t>Shelf'|'Port'|'Fork'</t>
  </si>
  <si>
    <t>현재 위치 종류</t>
  </si>
  <si>
    <t>shelfId</t>
  </si>
  <si>
    <t>셀프 ID (Shelf일 때)</t>
  </si>
  <si>
    <t>portId</t>
  </si>
  <si>
    <t>포트 ID (Port일 때)</t>
  </si>
  <si>
    <t>출발 셀프 ID</t>
  </si>
  <si>
    <t>목적지 셀프 ID</t>
  </si>
  <si>
    <t>안전 조건 항목별 (EMO/Door/Escape/LightCurtain)</t>
  </si>
  <si>
    <t>Auto 전환 가능 종합</t>
  </si>
  <si>
    <t>Auto 조건 항목별 (ServoOn/HomeDone/NoError)</t>
  </si>
  <si>
    <t>axes</t>
  </si>
  <si>
    <t>{ axis, currentPos, targetPos, currentSpeed, torque, avgTorque, peakTorque, travelDistance, homeDone, servoOn }[]</t>
  </si>
  <si>
    <t>크레인 축(X/Z/A/T) 텔레메트리</t>
  </si>
  <si>
    <t>sensors</t>
  </si>
  <si>
    <t>{ name, status }[]</t>
  </si>
  <si>
    <t>주요 센서 상태 (카세트감지/돌출/Home/POT/NOT)</t>
  </si>
  <si>
    <t>명령 이름 — 본체: emergency_stop·error_reset·light_on·light_off·tower_lamp_set / 크레인: rm_servo_on·rm_servo_off·rm_auto_run·rm_auto_stop·rm_home·rm_transfer·rm_teaching_start·rm_scan_start·rm_maint_move·time_sync / 포트: port_run·port_stop·port_power_on·port_power_off·port_in_mode·port_out_mode·port_error_reset·port_interface_reset</t>
  </si>
  <si>
    <t>target</t>
  </si>
  <si>
    <t>{ kind: 'Stocker'|'RackMaster'|'Port', id: number }</t>
  </si>
  <si>
    <t>명령 대상 (본체 id=0)</t>
  </si>
  <si>
    <t>params</t>
  </si>
  <si>
    <t>명령별 추가 파라미터 (rm_transfer: fromShelfId/toShelfId, rm_teaching_start: shelfId, tower_lamp_set: color/mode 등)</t>
  </si>
  <si>
    <t>STOCKER 모드 예시 (equipmentType = "STOCKER")</t>
  </si>
  <si>
    <t>SITE_CONNECT (수신, STOCKER)</t>
  </si>
  <si>
    <t>{
  "type": "SITE_CONNECT",
  "siteId": "site-B",
  "timestamp": "2026-07-11T09:00:00.000Z",
  "data": {
    "equipmentType": "STOCKER",
    "siteName": "음성공장 STK-A",
    "programVersion": "3.1.0",
    "stockerCount": 1,
    "rackMasterCount": 1,
    "portCount": 4,
    "shelfCount": 240
  }
}</t>
  </si>
  <si>
    <t>LINE_STATUS (수신, STOCKER) — 스토커 본체 요약</t>
  </si>
  <si>
    <t>{
  "type": "LINE_STATUS",
  "siteId": "site-B",
  "timestamp": "2026-07-11T09:00:01.000Z",
  "data": [
    {
      "equipmentType": "STOCKER",
      "stockerId": 1,
      "stockerName": "STK-01",
      "controlMode": "CIMMode",
      "operationStatus": "Auto",
      "onlineStatus": "Online",
      "safetyStatus": "OK",
      "alarmStatus": false,
      "towerLamp": { "green": true, "yellow": false, "red": false, "buzzer": false },
      "doorOpen": false,
      "emoPushed": false,
      "keyAuto": true,
      "fanStatus": { "intake": true, "exhaust": true },
      "cstFull": false,
      "storedCstCount": 128,
      "totalPorts": 4,
      "runningPorts": 3,
      "alarmCount": 0,
      "cps": [
        { "no": 1, "run": true, "error": false, "failover": false },
        { "no": 2, "run": true, "error": false, "failover": false }
      ]
    }
  ]
}</t>
  </si>
  <si>
    <t>CONVEYOR_STATUS (수신, STOCKER) — 크레인·포트 유닛</t>
  </si>
  <si>
    <t>{
  "type": "CONVEYOR_STATUS",
  "siteId": "site-B",
  "timestamp": "2026-07-11T09:00:01.000Z",
  "data": [
    {
      "equipmentType": "STOCKER",
      "id": 1,
      "stockerId": 1,
      "unitType": "RackMaster",
      "name": "RM01",
      "alarm": false,
      "servoOn": true,
      "controlMode": "CIMMode",
      "operationStatus": "Auto",
      "activity": "Active",
      "transferType": "To",
      "autoStep": 12,
      "homeDone": true,
      "fromShelfId": 15,
      "toShelfId": 132,
      "accessShelfId": 132,
      "cstId": "CST-0077",
      "cstPresent": true
    },
    {
      "equipmentType": "STOCKER",
      "id": 101,
      "stockerId": 1,
      "unitType": "Port",
      "name": "MGV-IN",
      "alarm": false,
      "portType": "MGV",
      "direction": "In",
      "pioStatus": "Transferring",
      "carrierId": "CST-0091",
      "runEnable": true,
      "lightCurtain": false
    }
  ]
}</t>
  </si>
  <si>
    <t>ALARM_EVENT (수신, STOCKER)</t>
  </si>
  <si>
    <t>{
  "type": "ALARM_EVENT",
  "siteId": "site-B",
  "timestamp": "2026-07-11T09:00:02.000Z",
  "data": {
    "equipmentType": "STOCKER",
    "eventType": "OCCUR",
    "source": "RackMaster",
    "unitId": 1,
    "stockerId": 1,
    "alarmCode": "RM-2043",
    "alarmLevel": "Error",
    "alarmStep": 12,
    "message": "RM01 Z-AXIS SERVO ERROR",
    "axis": "Z"
  }
}</t>
  </si>
  <si>
    <t>CST_TRACKING (수신, STOCKER)</t>
  </si>
  <si>
    <t>{
  "type": "CST_TRACKING",
  "siteId": "site-B",
  "timestamp": "2026-07-11T09:00:03.000Z",
  "data": [
    {
      "equipmentType": "STOCKER",
      "cstId": "CST-0077",
      "locationType": "Fork",
      "shelfId": null,
      "portId": null,
      "stockerId": 1,
      "fromShelfId": 15,
      "toShelfId": 132
    }
  ]
}</t>
  </si>
  <si>
    <t>IO_STATUS (수신, STOCKER) — 조건·축 텔레메트리</t>
  </si>
  <si>
    <t>{
  "type": "IO_STATUS",
  "siteId": "site-B",
  "timestamp": "2026-07-11T09:00:04.000Z",
  "data": {
    "equipmentType": "STOCKER",
    "stockerId": 1,
    "safetyOk": true,
    "safetyConditions": [
      { "no": 1, "name": "EMO", "status": true },
      { "no": 2, "name": "Front Door", "status": true }
    ],
    "autoConditionOk": true,
    "autoConditions": [
      { "no": 1, "name": "Servo On", "status": true },
      { "no": 2, "name": "Home Done", "status": true }
    ],
    "axes": [
      { "axis": "X", "currentPos": 12450.5, "targetPos": 12450.5, "currentSpeed": 0.0, "torque": 8.2, "avgTorque": 7.5, "peakTorque": 22.1, "travelDistance": 184203.4, "homeDone": true, "servoOn": true },
      { "axis": "Z", "currentPos": 3200.0, "targetPos": 3200.0, "currentSpeed": 0.0, "torque": 5.1, "avgTorque": 4.8, "peakTorque": 18.7, "travelDistance": 95820.1, "homeDone": true, "servoOn": true }
    ],
    "sensors": [
      { "name": "Fork CST Present", "status": true },
      { "name": "Fork Protrusion", "status": false }
    ],
    "programStatus": [
      { "item": "Version", "value": "3.1.0" }
    ]
  }
}</t>
  </si>
  <si>
    <t>COMMAND (송신, STOCKER) — 반송 지시 예시</t>
  </si>
  <si>
    <t>{
  "type": "COMMAND",
  "data": {
    "equipmentType": "STOCKER",
    "cmd": "rm_transfer",
    "target": { "kind": "RackMaster", "id": 1 },
    "params": { "fromShelfId": 15, "toShelfId": 132 }
  }
}</t>
  </si>
  <si>
    <t>Semi C/V 모드 예시 (equipmentType = "Conveyor")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</si>
</sst>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Consolas"/>
      <family val="3"/>
    </font>
    <font>
      <b/>
      <sz val="10"/>
      <color rgb="FFFFFFFF"/>
      <name val="맑은 고딕"/>
      <family val="3"/>
      <charset val="129"/>
    </font>
    <font>
      <b/>
      <sz val="10"/>
      <color rgb="FFC55A11"/>
      <name val="맑은 고딕"/>
      <family val="3"/>
      <charset val="129"/>
    </font>
    <font>
      <b/>
      <sz val="12"/>
      <color rgb="FF1F4E7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8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9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6"/>
      <color theme="1"/>
      <name val="맑은 고딕"/>
      <family val="3"/>
      <charset val="129"/>
    </font>
    <font>
      <b/>
      <sz val="8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8"/>
      <color theme="1" tint="0.3499862666707357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i/>
      <sz val="14"/>
      <color theme="0"/>
      <name val="돋움"/>
      <family val="3"/>
      <charset val="129"/>
    </font>
    <font>
      <b/>
      <sz val="8"/>
      <name val="맑은 고딕"/>
      <family val="3"/>
      <charset val="129"/>
      <scheme val="minor"/>
    </font>
    <font>
      <b/>
      <sz val="8"/>
      <color theme="0"/>
      <name val="돋움"/>
      <family val="3"/>
      <charset val="129"/>
    </font>
    <font>
      <b/>
      <sz val="6"/>
      <name val="맑은 고딕"/>
      <family val="3"/>
      <charset val="129"/>
      <scheme val="minor"/>
    </font>
    <font>
      <b/>
      <sz val="6"/>
      <color theme="0"/>
      <name val="맑은 고딕"/>
      <family val="3"/>
      <charset val="129"/>
      <scheme val="minor"/>
    </font>
    <font>
      <sz val="8"/>
      <color rgb="FF7030A0"/>
      <name val="돋움"/>
      <family val="3"/>
      <charset val="129"/>
    </font>
    <font>
      <b/>
      <sz val="8"/>
      <color theme="1" tint="0.499984740745262"/>
      <name val="돋움"/>
      <family val="3"/>
      <charset val="129"/>
    </font>
    <font>
      <b/>
      <sz val="8"/>
      <name val="돋움"/>
      <family val="3"/>
      <charset val="129"/>
    </font>
    <font>
      <b/>
      <sz val="8"/>
      <color theme="1"/>
      <name val="돋움"/>
      <family val="3"/>
      <charset val="129"/>
    </font>
    <font>
      <sz val="8"/>
      <color rgb="FF0070C0"/>
      <name val="돋움"/>
      <family val="3"/>
      <charset val="129"/>
    </font>
    <font>
      <sz val="8"/>
      <color theme="7" tint="-0.249977111117893"/>
      <name val="돋움"/>
      <family val="3"/>
      <charset val="129"/>
    </font>
    <font>
      <sz val="8"/>
      <name val="Arial"/>
      <family val="2"/>
    </font>
    <font>
      <sz val="8"/>
      <color theme="9"/>
      <name val="Arial"/>
      <family val="2"/>
    </font>
    <font>
      <sz val="8"/>
      <color rgb="FFF79646"/>
      <name val="Arial"/>
      <family val="2"/>
    </font>
    <font>
      <b/>
      <sz val="8"/>
      <color theme="5" tint="0.59999389629810485"/>
      <name val="돋움"/>
      <family val="3"/>
      <charset val="129"/>
    </font>
    <font>
      <b/>
      <u/>
      <sz val="11"/>
      <name val="돋움"/>
      <family val="3"/>
      <charset val="129"/>
    </font>
    <font>
      <sz val="8"/>
      <color theme="9"/>
      <name val="돋움"/>
      <family val="3"/>
      <charset val="129"/>
    </font>
    <font>
      <sz val="11"/>
      <color theme="1"/>
      <name val="맑은 고딕"/>
      <family val="3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Consolas"/>
      <family val="3"/>
    </font>
    <font>
      <b/>
      <sz val="10"/>
      <color rgb="FFC55A11"/>
      <name val="맑은 고딕"/>
      <family val="3"/>
      <charset val="129"/>
      <scheme val="minor"/>
    </font>
    <font>
      <b/>
      <sz val="12"/>
      <color rgb="FF7030A0"/>
      <name val="맑은 고딕"/>
      <family val="3"/>
      <charset val="129"/>
      <scheme val="minor"/>
    </font>
    <font>
      <b/>
      <sz val="16"/>
      <color rgb="FF7030A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AFAFA"/>
        <bgColor indexed="64"/>
      </patternFill>
    </fill>
  </fills>
  <borders count="17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auto="1"/>
      </top>
      <bottom/>
      <diagonal/>
    </border>
    <border>
      <left style="double">
        <color indexed="64"/>
      </left>
      <right/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double">
        <color theme="1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theme="1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double">
        <color indexed="64"/>
      </right>
      <top style="double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uble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thin">
        <color theme="1"/>
      </right>
      <top style="thin">
        <color theme="1"/>
      </top>
      <bottom style="double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indexed="64"/>
      </bottom>
      <diagonal/>
    </border>
    <border>
      <left style="thin">
        <color theme="1"/>
      </left>
      <right style="double">
        <color indexed="64"/>
      </right>
      <top style="thin">
        <color theme="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auto="1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>
      <alignment vertical="center"/>
    </xf>
  </cellStyleXfs>
  <cellXfs count="6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5" fillId="6" borderId="1" xfId="0" applyFont="1" applyFill="1" applyBorder="1" applyAlignment="1">
      <alignment vertical="top" wrapText="1"/>
    </xf>
    <xf numFmtId="0" fontId="1" fillId="0" borderId="0" xfId="1">
      <alignment vertical="center"/>
    </xf>
    <xf numFmtId="0" fontId="11" fillId="0" borderId="2" xfId="2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1" fillId="7" borderId="4" xfId="2" applyFont="1" applyFill="1" applyBorder="1" applyAlignment="1">
      <alignment horizontal="center"/>
    </xf>
    <xf numFmtId="0" fontId="11" fillId="7" borderId="5" xfId="2" applyFont="1" applyFill="1" applyBorder="1" applyAlignment="1">
      <alignment horizontal="center"/>
    </xf>
    <xf numFmtId="176" fontId="11" fillId="7" borderId="6" xfId="2" applyNumberFormat="1" applyFont="1" applyFill="1" applyBorder="1" applyAlignment="1">
      <alignment horizontal="center"/>
    </xf>
    <xf numFmtId="176" fontId="11" fillId="7" borderId="7" xfId="2" applyNumberFormat="1" applyFont="1" applyFill="1" applyBorder="1" applyAlignment="1">
      <alignment horizontal="center"/>
    </xf>
    <xf numFmtId="176" fontId="11" fillId="7" borderId="8" xfId="2" applyNumberFormat="1" applyFont="1" applyFill="1" applyBorder="1" applyAlignment="1">
      <alignment horizontal="center"/>
    </xf>
    <xf numFmtId="176" fontId="11" fillId="7" borderId="9" xfId="2" applyNumberFormat="1" applyFont="1" applyFill="1" applyBorder="1" applyAlignment="1">
      <alignment horizontal="center"/>
    </xf>
    <xf numFmtId="0" fontId="11" fillId="7" borderId="9" xfId="2" applyFont="1" applyFill="1" applyBorder="1" applyAlignment="1">
      <alignment horizontal="center" vertical="center"/>
    </xf>
    <xf numFmtId="0" fontId="11" fillId="7" borderId="10" xfId="2" applyFont="1" applyFill="1" applyBorder="1" applyAlignment="1">
      <alignment horizontal="center" vertical="center"/>
    </xf>
    <xf numFmtId="0" fontId="11" fillId="7" borderId="11" xfId="2" applyFont="1" applyFill="1" applyBorder="1" applyAlignment="1">
      <alignment horizontal="center" vertical="center"/>
    </xf>
    <xf numFmtId="0" fontId="11" fillId="7" borderId="12" xfId="2" applyFont="1" applyFill="1" applyBorder="1" applyAlignment="1">
      <alignment horizontal="center"/>
    </xf>
    <xf numFmtId="0" fontId="11" fillId="7" borderId="13" xfId="2" applyFont="1" applyFill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1" fillId="7" borderId="15" xfId="2" applyFont="1" applyFill="1" applyBorder="1" applyAlignment="1">
      <alignment horizontal="center"/>
    </xf>
    <xf numFmtId="0" fontId="11" fillId="7" borderId="16" xfId="2" applyFont="1" applyFill="1" applyBorder="1" applyAlignment="1">
      <alignment horizontal="center"/>
    </xf>
    <xf numFmtId="0" fontId="11" fillId="7" borderId="16" xfId="2" applyFont="1" applyFill="1" applyBorder="1" applyAlignment="1">
      <alignment horizontal="center"/>
    </xf>
    <xf numFmtId="176" fontId="11" fillId="7" borderId="13" xfId="2" applyNumberFormat="1" applyFont="1" applyFill="1" applyBorder="1" applyAlignment="1">
      <alignment horizontal="center"/>
    </xf>
    <xf numFmtId="176" fontId="11" fillId="7" borderId="17" xfId="2" applyNumberFormat="1" applyFont="1" applyFill="1" applyBorder="1" applyAlignment="1">
      <alignment horizontal="center"/>
    </xf>
    <xf numFmtId="176" fontId="11" fillId="7" borderId="18" xfId="2" applyNumberFormat="1" applyFont="1" applyFill="1" applyBorder="1" applyAlignment="1">
      <alignment horizontal="center"/>
    </xf>
    <xf numFmtId="176" fontId="11" fillId="7" borderId="19" xfId="2" applyNumberFormat="1" applyFont="1" applyFill="1" applyBorder="1" applyAlignment="1">
      <alignment horizontal="center"/>
    </xf>
    <xf numFmtId="0" fontId="11" fillId="7" borderId="19" xfId="2" applyFont="1" applyFill="1" applyBorder="1" applyAlignment="1">
      <alignment horizontal="center" vertical="center"/>
    </xf>
    <xf numFmtId="0" fontId="11" fillId="7" borderId="20" xfId="2" applyFont="1" applyFill="1" applyBorder="1" applyAlignment="1">
      <alignment horizontal="center" vertical="center"/>
    </xf>
    <xf numFmtId="0" fontId="11" fillId="7" borderId="21" xfId="2" applyFont="1" applyFill="1" applyBorder="1" applyAlignment="1">
      <alignment horizontal="center" vertical="center"/>
    </xf>
    <xf numFmtId="0" fontId="11" fillId="7" borderId="22" xfId="2" applyFont="1" applyFill="1" applyBorder="1" applyAlignment="1">
      <alignment horizontal="center"/>
    </xf>
    <xf numFmtId="176" fontId="11" fillId="7" borderId="6" xfId="2" applyNumberFormat="1" applyFont="1" applyFill="1" applyBorder="1" applyAlignment="1">
      <alignment horizontal="center"/>
    </xf>
    <xf numFmtId="176" fontId="11" fillId="7" borderId="7" xfId="2" applyNumberFormat="1" applyFont="1" applyFill="1" applyBorder="1" applyAlignment="1">
      <alignment horizontal="center"/>
    </xf>
    <xf numFmtId="176" fontId="11" fillId="7" borderId="8" xfId="2" applyNumberFormat="1" applyFont="1" applyFill="1" applyBorder="1" applyAlignment="1">
      <alignment horizontal="center"/>
    </xf>
    <xf numFmtId="0" fontId="11" fillId="7" borderId="23" xfId="2" applyFont="1" applyFill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15" fillId="0" borderId="25" xfId="1" applyFont="1" applyBorder="1" applyAlignment="1">
      <alignment horizontal="left" vertical="center"/>
    </xf>
    <xf numFmtId="0" fontId="16" fillId="0" borderId="26" xfId="2" applyFont="1" applyBorder="1" applyAlignment="1">
      <alignment horizontal="center" vertical="center"/>
    </xf>
    <xf numFmtId="0" fontId="16" fillId="0" borderId="27" xfId="2" applyFont="1" applyBorder="1" applyAlignment="1">
      <alignment horizontal="center" vertical="center"/>
    </xf>
    <xf numFmtId="0" fontId="16" fillId="8" borderId="28" xfId="2" applyFont="1" applyFill="1" applyBorder="1" applyAlignment="1">
      <alignment horizontal="center" vertical="center"/>
    </xf>
    <xf numFmtId="176" fontId="16" fillId="0" borderId="28" xfId="2" applyNumberFormat="1" applyFont="1" applyBorder="1" applyAlignment="1">
      <alignment horizontal="center" vertical="center"/>
    </xf>
    <xf numFmtId="176" fontId="16" fillId="0" borderId="28" xfId="2" applyNumberFormat="1" applyFont="1" applyBorder="1" applyAlignment="1">
      <alignment horizontal="center" vertical="center"/>
    </xf>
    <xf numFmtId="0" fontId="17" fillId="0" borderId="28" xfId="3" applyFont="1" applyBorder="1" applyAlignment="1">
      <alignment horizontal="left" vertical="center"/>
    </xf>
    <xf numFmtId="0" fontId="16" fillId="0" borderId="29" xfId="2" applyFont="1" applyBorder="1" applyAlignment="1">
      <alignment horizontal="left"/>
    </xf>
    <xf numFmtId="0" fontId="18" fillId="9" borderId="30" xfId="2" applyFont="1" applyFill="1" applyBorder="1" applyAlignment="1">
      <alignment horizontal="center" vertical="center"/>
    </xf>
    <xf numFmtId="0" fontId="16" fillId="0" borderId="31" xfId="2" applyFont="1" applyBorder="1" applyAlignment="1">
      <alignment horizontal="center" vertical="center"/>
    </xf>
    <xf numFmtId="0" fontId="16" fillId="0" borderId="32" xfId="2" applyFont="1" applyBorder="1" applyAlignment="1">
      <alignment horizontal="center" vertical="center"/>
    </xf>
    <xf numFmtId="0" fontId="16" fillId="8" borderId="33" xfId="2" applyFont="1" applyFill="1" applyBorder="1" applyAlignment="1">
      <alignment horizontal="center" vertical="center"/>
    </xf>
    <xf numFmtId="176" fontId="16" fillId="0" borderId="33" xfId="2" applyNumberFormat="1" applyFont="1" applyBorder="1" applyAlignment="1">
      <alignment horizontal="center" vertical="center"/>
    </xf>
    <xf numFmtId="176" fontId="16" fillId="0" borderId="33" xfId="2" applyNumberFormat="1" applyFont="1" applyBorder="1" applyAlignment="1">
      <alignment horizontal="center" vertical="center"/>
    </xf>
    <xf numFmtId="0" fontId="16" fillId="10" borderId="33" xfId="2" applyFont="1" applyFill="1" applyBorder="1" applyAlignment="1">
      <alignment horizontal="left" vertical="center"/>
    </xf>
    <xf numFmtId="0" fontId="16" fillId="0" borderId="34" xfId="2" applyFont="1" applyBorder="1" applyAlignment="1">
      <alignment horizontal="left"/>
    </xf>
    <xf numFmtId="0" fontId="19" fillId="0" borderId="35" xfId="1" applyFont="1" applyBorder="1" applyAlignment="1">
      <alignment horizontal="left" vertical="center"/>
    </xf>
    <xf numFmtId="0" fontId="15" fillId="0" borderId="36" xfId="1" applyFont="1" applyBorder="1" applyAlignment="1">
      <alignment horizontal="left" vertical="center"/>
    </xf>
    <xf numFmtId="0" fontId="16" fillId="0" borderId="37" xfId="2" applyFont="1" applyBorder="1" applyAlignment="1">
      <alignment horizontal="center" vertical="center"/>
    </xf>
    <xf numFmtId="0" fontId="16" fillId="0" borderId="38" xfId="2" applyFont="1" applyBorder="1" applyAlignment="1">
      <alignment horizontal="center" vertical="center"/>
    </xf>
    <xf numFmtId="0" fontId="16" fillId="8" borderId="39" xfId="2" applyFont="1" applyFill="1" applyBorder="1" applyAlignment="1">
      <alignment horizontal="center" vertical="center"/>
    </xf>
    <xf numFmtId="176" fontId="16" fillId="0" borderId="40" xfId="2" applyNumberFormat="1" applyFont="1" applyBorder="1" applyAlignment="1">
      <alignment horizontal="center" vertical="center"/>
    </xf>
    <xf numFmtId="176" fontId="16" fillId="0" borderId="37" xfId="2" applyNumberFormat="1" applyFont="1" applyBorder="1" applyAlignment="1">
      <alignment horizontal="center" vertical="center"/>
    </xf>
    <xf numFmtId="176" fontId="16" fillId="0" borderId="38" xfId="2" applyNumberFormat="1" applyFont="1" applyBorder="1" applyAlignment="1">
      <alignment horizontal="center" vertical="center"/>
    </xf>
    <xf numFmtId="176" fontId="16" fillId="0" borderId="39" xfId="2" applyNumberFormat="1" applyFont="1" applyBorder="1" applyAlignment="1">
      <alignment horizontal="center" vertical="center"/>
    </xf>
    <xf numFmtId="0" fontId="20" fillId="0" borderId="39" xfId="3" applyFont="1" applyBorder="1" applyAlignment="1">
      <alignment horizontal="left" vertical="center"/>
    </xf>
    <xf numFmtId="0" fontId="16" fillId="0" borderId="41" xfId="2" applyFont="1" applyBorder="1" applyAlignment="1">
      <alignment horizontal="left"/>
    </xf>
    <xf numFmtId="0" fontId="16" fillId="0" borderId="42" xfId="2" applyFont="1" applyBorder="1" applyAlignment="1">
      <alignment horizontal="center" vertical="center"/>
    </xf>
    <xf numFmtId="0" fontId="16" fillId="10" borderId="39" xfId="2" applyFont="1" applyFill="1" applyBorder="1" applyAlignment="1">
      <alignment horizontal="left" vertical="center"/>
    </xf>
    <xf numFmtId="0" fontId="16" fillId="0" borderId="43" xfId="2" applyFont="1" applyBorder="1" applyAlignment="1">
      <alignment horizontal="left"/>
    </xf>
    <xf numFmtId="0" fontId="19" fillId="0" borderId="44" xfId="1" applyFont="1" applyBorder="1" applyAlignment="1">
      <alignment horizontal="left" vertical="center"/>
    </xf>
    <xf numFmtId="0" fontId="15" fillId="11" borderId="36" xfId="1" applyFont="1" applyFill="1" applyBorder="1" applyAlignment="1">
      <alignment horizontal="left" vertical="center"/>
    </xf>
    <xf numFmtId="0" fontId="16" fillId="10" borderId="43" xfId="2" applyFont="1" applyFill="1" applyBorder="1" applyAlignment="1">
      <alignment horizontal="left"/>
    </xf>
    <xf numFmtId="0" fontId="21" fillId="10" borderId="39" xfId="2" applyFont="1" applyFill="1" applyBorder="1" applyAlignment="1">
      <alignment horizontal="left" vertical="center"/>
    </xf>
    <xf numFmtId="0" fontId="16" fillId="10" borderId="39" xfId="2" applyFont="1" applyFill="1" applyBorder="1" applyAlignment="1">
      <alignment horizontal="left"/>
    </xf>
    <xf numFmtId="176" fontId="16" fillId="9" borderId="39" xfId="2" applyNumberFormat="1" applyFont="1" applyFill="1" applyBorder="1" applyAlignment="1">
      <alignment horizontal="center" vertical="center"/>
    </xf>
    <xf numFmtId="0" fontId="20" fillId="9" borderId="39" xfId="3" applyFont="1" applyFill="1" applyBorder="1" applyAlignment="1">
      <alignment horizontal="left" vertical="center"/>
    </xf>
    <xf numFmtId="0" fontId="15" fillId="11" borderId="44" xfId="1" applyFont="1" applyFill="1" applyBorder="1" applyAlignment="1">
      <alignment horizontal="left" vertical="center"/>
    </xf>
    <xf numFmtId="0" fontId="20" fillId="10" borderId="39" xfId="3" applyFont="1" applyFill="1" applyBorder="1" applyAlignment="1">
      <alignment horizontal="left" vertical="center"/>
    </xf>
    <xf numFmtId="0" fontId="16" fillId="8" borderId="45" xfId="2" applyFont="1" applyFill="1" applyBorder="1" applyAlignment="1">
      <alignment horizontal="center" vertical="center"/>
    </xf>
    <xf numFmtId="176" fontId="16" fillId="0" borderId="46" xfId="2" applyNumberFormat="1" applyFont="1" applyBorder="1" applyAlignment="1">
      <alignment horizontal="center" vertical="center"/>
    </xf>
    <xf numFmtId="176" fontId="16" fillId="0" borderId="47" xfId="2" applyNumberFormat="1" applyFont="1" applyBorder="1" applyAlignment="1">
      <alignment horizontal="center" vertical="center"/>
    </xf>
    <xf numFmtId="176" fontId="16" fillId="0" borderId="48" xfId="2" applyNumberFormat="1" applyFont="1" applyBorder="1" applyAlignment="1">
      <alignment horizontal="center" vertical="center"/>
    </xf>
    <xf numFmtId="176" fontId="16" fillId="0" borderId="45" xfId="2" applyNumberFormat="1" applyFont="1" applyBorder="1" applyAlignment="1">
      <alignment horizontal="center" vertical="center"/>
    </xf>
    <xf numFmtId="0" fontId="20" fillId="10" borderId="45" xfId="3" applyFont="1" applyFill="1" applyBorder="1" applyAlignment="1">
      <alignment horizontal="left" vertical="center"/>
    </xf>
    <xf numFmtId="0" fontId="16" fillId="0" borderId="49" xfId="2" applyFont="1" applyBorder="1" applyAlignment="1">
      <alignment horizontal="left"/>
    </xf>
    <xf numFmtId="0" fontId="18" fillId="9" borderId="50" xfId="2" applyFont="1" applyFill="1" applyBorder="1" applyAlignment="1">
      <alignment horizontal="center" vertical="center"/>
    </xf>
    <xf numFmtId="0" fontId="20" fillId="12" borderId="45" xfId="2" applyFont="1" applyFill="1" applyBorder="1" applyAlignment="1">
      <alignment horizontal="left" vertical="center"/>
    </xf>
    <xf numFmtId="0" fontId="16" fillId="10" borderId="51" xfId="2" applyFont="1" applyFill="1" applyBorder="1" applyAlignment="1">
      <alignment horizontal="left"/>
    </xf>
    <xf numFmtId="0" fontId="20" fillId="10" borderId="28" xfId="3" applyFont="1" applyFill="1" applyBorder="1" applyAlignment="1">
      <alignment horizontal="left" vertical="center"/>
    </xf>
    <xf numFmtId="0" fontId="18" fillId="9" borderId="52" xfId="2" applyFont="1" applyFill="1" applyBorder="1" applyAlignment="1">
      <alignment horizontal="center" vertical="center"/>
    </xf>
    <xf numFmtId="0" fontId="16" fillId="0" borderId="53" xfId="2" applyFont="1" applyBorder="1" applyAlignment="1">
      <alignment horizontal="center" vertical="center"/>
    </xf>
    <xf numFmtId="0" fontId="20" fillId="12" borderId="28" xfId="3" applyFont="1" applyFill="1" applyBorder="1" applyAlignment="1">
      <alignment horizontal="left" vertical="center"/>
    </xf>
    <xf numFmtId="0" fontId="16" fillId="0" borderId="54" xfId="2" applyFont="1" applyBorder="1" applyAlignment="1">
      <alignment horizontal="left"/>
    </xf>
    <xf numFmtId="0" fontId="16" fillId="0" borderId="37" xfId="2" applyFont="1" applyBorder="1" applyAlignment="1">
      <alignment horizontal="left"/>
    </xf>
    <xf numFmtId="0" fontId="19" fillId="0" borderId="36" xfId="1" applyFont="1" applyBorder="1" applyAlignment="1">
      <alignment horizontal="left" vertical="center"/>
    </xf>
    <xf numFmtId="0" fontId="17" fillId="0" borderId="39" xfId="3" applyFont="1" applyBorder="1" applyAlignment="1">
      <alignment horizontal="left" vertical="center"/>
    </xf>
    <xf numFmtId="0" fontId="16" fillId="10" borderId="39" xfId="1" applyFont="1" applyFill="1" applyBorder="1" applyAlignment="1">
      <alignment horizontal="left" vertical="center"/>
    </xf>
    <xf numFmtId="0" fontId="16" fillId="12" borderId="39" xfId="1" applyFont="1" applyFill="1" applyBorder="1" applyAlignment="1">
      <alignment horizontal="left" vertical="center"/>
    </xf>
    <xf numFmtId="0" fontId="17" fillId="0" borderId="45" xfId="3" applyFont="1" applyBorder="1" applyAlignment="1">
      <alignment horizontal="left" vertical="center"/>
    </xf>
    <xf numFmtId="0" fontId="16" fillId="12" borderId="45" xfId="1" applyFont="1" applyFill="1" applyBorder="1" applyAlignment="1">
      <alignment horizontal="left" vertical="center"/>
    </xf>
    <xf numFmtId="0" fontId="16" fillId="0" borderId="47" xfId="2" applyFont="1" applyBorder="1" applyAlignment="1">
      <alignment horizontal="left"/>
    </xf>
    <xf numFmtId="0" fontId="16" fillId="10" borderId="41" xfId="2" applyFont="1" applyFill="1" applyBorder="1" applyAlignment="1">
      <alignment horizontal="left"/>
    </xf>
    <xf numFmtId="0" fontId="20" fillId="12" borderId="39" xfId="3" applyFont="1" applyFill="1" applyBorder="1" applyAlignment="1">
      <alignment horizontal="left" vertical="center"/>
    </xf>
    <xf numFmtId="0" fontId="20" fillId="10" borderId="39" xfId="3" applyFont="1" applyFill="1" applyBorder="1" applyAlignment="1">
      <alignment vertical="center"/>
    </xf>
    <xf numFmtId="0" fontId="20" fillId="10" borderId="39" xfId="3" applyFont="1" applyFill="1" applyBorder="1" applyAlignment="1">
      <alignment horizontal="left" vertical="center" wrapText="1"/>
    </xf>
    <xf numFmtId="0" fontId="20" fillId="10" borderId="45" xfId="2" applyFont="1" applyFill="1" applyBorder="1" applyAlignment="1">
      <alignment horizontal="left"/>
    </xf>
    <xf numFmtId="0" fontId="20" fillId="12" borderId="28" xfId="2" applyFont="1" applyFill="1" applyBorder="1" applyAlignment="1">
      <alignment horizontal="left" vertical="center"/>
    </xf>
    <xf numFmtId="0" fontId="20" fillId="10" borderId="39" xfId="2" applyFont="1" applyFill="1" applyBorder="1" applyAlignment="1">
      <alignment horizontal="left" vertical="center"/>
    </xf>
    <xf numFmtId="0" fontId="20" fillId="0" borderId="45" xfId="3" applyFont="1" applyBorder="1" applyAlignment="1">
      <alignment horizontal="left" vertical="center"/>
    </xf>
    <xf numFmtId="0" fontId="16" fillId="10" borderId="45" xfId="2" applyFont="1" applyFill="1" applyBorder="1" applyAlignment="1">
      <alignment horizontal="left" vertical="center"/>
    </xf>
    <xf numFmtId="176" fontId="16" fillId="0" borderId="55" xfId="2" applyNumberFormat="1" applyFont="1" applyBorder="1" applyAlignment="1">
      <alignment horizontal="center" vertical="center"/>
    </xf>
    <xf numFmtId="176" fontId="16" fillId="0" borderId="54" xfId="2" applyNumberFormat="1" applyFont="1" applyBorder="1" applyAlignment="1">
      <alignment horizontal="center" vertical="center"/>
    </xf>
    <xf numFmtId="176" fontId="16" fillId="0" borderId="32" xfId="2" applyNumberFormat="1" applyFont="1" applyBorder="1" applyAlignment="1">
      <alignment horizontal="center" vertical="center"/>
    </xf>
    <xf numFmtId="0" fontId="16" fillId="12" borderId="28" xfId="2" applyFont="1" applyFill="1" applyBorder="1" applyAlignment="1">
      <alignment horizontal="left" vertical="center"/>
    </xf>
    <xf numFmtId="0" fontId="16" fillId="12" borderId="39" xfId="2" applyFont="1" applyFill="1" applyBorder="1" applyAlignment="1">
      <alignment horizontal="left" vertical="center"/>
    </xf>
    <xf numFmtId="0" fontId="20" fillId="0" borderId="56" xfId="3" applyFont="1" applyBorder="1" applyAlignment="1">
      <alignment horizontal="left" vertical="center"/>
    </xf>
    <xf numFmtId="176" fontId="16" fillId="0" borderId="40" xfId="2" applyNumberFormat="1" applyFont="1" applyBorder="1" applyAlignment="1">
      <alignment horizontal="center" vertical="center"/>
    </xf>
    <xf numFmtId="0" fontId="20" fillId="10" borderId="57" xfId="3" applyFont="1" applyFill="1" applyBorder="1" applyAlignment="1">
      <alignment horizontal="left" vertical="center"/>
    </xf>
    <xf numFmtId="0" fontId="20" fillId="0" borderId="33" xfId="3" applyFont="1" applyBorder="1" applyAlignment="1">
      <alignment horizontal="left" vertical="center"/>
    </xf>
    <xf numFmtId="0" fontId="16" fillId="0" borderId="47" xfId="2" applyFont="1" applyBorder="1" applyAlignment="1">
      <alignment horizontal="center" vertical="center"/>
    </xf>
    <xf numFmtId="0" fontId="16" fillId="0" borderId="48" xfId="2" applyFont="1" applyBorder="1" applyAlignment="1">
      <alignment horizontal="center" vertical="center"/>
    </xf>
    <xf numFmtId="0" fontId="16" fillId="0" borderId="58" xfId="2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60" xfId="2" applyFont="1" applyBorder="1" applyAlignment="1">
      <alignment horizontal="center" vertical="center"/>
    </xf>
    <xf numFmtId="0" fontId="13" fillId="0" borderId="61" xfId="2" applyFont="1" applyBorder="1" applyAlignment="1">
      <alignment horizontal="center" vertical="center"/>
    </xf>
    <xf numFmtId="0" fontId="22" fillId="13" borderId="62" xfId="2" applyFont="1" applyFill="1" applyBorder="1" applyAlignment="1">
      <alignment horizontal="center" vertical="center"/>
    </xf>
    <xf numFmtId="0" fontId="22" fillId="13" borderId="63" xfId="2" applyFont="1" applyFill="1" applyBorder="1" applyAlignment="1">
      <alignment horizontal="center" vertical="center"/>
    </xf>
    <xf numFmtId="0" fontId="11" fillId="13" borderId="9" xfId="2" applyFont="1" applyFill="1" applyBorder="1" applyAlignment="1">
      <alignment horizontal="center" vertical="center"/>
    </xf>
    <xf numFmtId="176" fontId="11" fillId="13" borderId="9" xfId="2" applyNumberFormat="1" applyFont="1" applyFill="1" applyBorder="1" applyAlignment="1">
      <alignment horizontal="center" vertical="center" wrapText="1"/>
    </xf>
    <xf numFmtId="176" fontId="11" fillId="13" borderId="9" xfId="2" applyNumberFormat="1" applyFont="1" applyFill="1" applyBorder="1" applyAlignment="1">
      <alignment horizontal="center" vertical="center" wrapText="1"/>
    </xf>
    <xf numFmtId="0" fontId="11" fillId="13" borderId="64" xfId="2" applyFont="1" applyFill="1" applyBorder="1" applyAlignment="1">
      <alignment horizontal="center" vertical="center"/>
    </xf>
    <xf numFmtId="0" fontId="11" fillId="13" borderId="17" xfId="2" applyFont="1" applyFill="1" applyBorder="1" applyAlignment="1">
      <alignment horizontal="center" vertical="center"/>
    </xf>
    <xf numFmtId="0" fontId="13" fillId="0" borderId="65" xfId="2" applyFont="1" applyBorder="1" applyAlignment="1">
      <alignment horizontal="center" vertical="center"/>
    </xf>
    <xf numFmtId="0" fontId="13" fillId="0" borderId="66" xfId="2" applyFont="1" applyBorder="1" applyAlignment="1">
      <alignment horizontal="center" vertical="center"/>
    </xf>
    <xf numFmtId="0" fontId="11" fillId="13" borderId="22" xfId="2" applyFont="1" applyFill="1" applyBorder="1" applyAlignment="1">
      <alignment horizontal="center"/>
    </xf>
    <xf numFmtId="0" fontId="11" fillId="13" borderId="16" xfId="2" applyFont="1" applyFill="1" applyBorder="1" applyAlignment="1">
      <alignment horizontal="center"/>
    </xf>
    <xf numFmtId="0" fontId="11" fillId="13" borderId="19" xfId="2" applyFont="1" applyFill="1" applyBorder="1" applyAlignment="1">
      <alignment horizontal="center" vertical="center"/>
    </xf>
    <xf numFmtId="176" fontId="11" fillId="13" borderId="19" xfId="2" applyNumberFormat="1" applyFont="1" applyFill="1" applyBorder="1" applyAlignment="1">
      <alignment horizontal="center" vertical="center"/>
    </xf>
    <xf numFmtId="176" fontId="11" fillId="13" borderId="19" xfId="2" applyNumberFormat="1" applyFont="1" applyFill="1" applyBorder="1" applyAlignment="1">
      <alignment horizontal="center" vertical="center"/>
    </xf>
    <xf numFmtId="0" fontId="11" fillId="13" borderId="67" xfId="2" applyFont="1" applyFill="1" applyBorder="1" applyAlignment="1">
      <alignment horizontal="center" vertical="center"/>
    </xf>
    <xf numFmtId="0" fontId="11" fillId="13" borderId="2" xfId="2" applyFont="1" applyFill="1" applyBorder="1" applyAlignment="1">
      <alignment horizontal="center" vertical="center"/>
    </xf>
    <xf numFmtId="0" fontId="13" fillId="0" borderId="68" xfId="2" applyFont="1" applyBorder="1" applyAlignment="1">
      <alignment horizontal="center" vertical="center"/>
    </xf>
    <xf numFmtId="0" fontId="19" fillId="0" borderId="69" xfId="1" applyFont="1" applyBorder="1">
      <alignment vertical="center"/>
    </xf>
    <xf numFmtId="0" fontId="16" fillId="10" borderId="70" xfId="2" applyFont="1" applyFill="1" applyBorder="1" applyAlignment="1">
      <alignment horizontal="center" vertical="center"/>
    </xf>
    <xf numFmtId="0" fontId="16" fillId="12" borderId="28" xfId="2" applyFont="1" applyFill="1" applyBorder="1" applyAlignment="1">
      <alignment horizontal="center" vertical="center"/>
    </xf>
    <xf numFmtId="176" fontId="16" fillId="14" borderId="28" xfId="2" applyNumberFormat="1" applyFont="1" applyFill="1" applyBorder="1" applyAlignment="1">
      <alignment horizontal="center" vertical="center"/>
    </xf>
    <xf numFmtId="176" fontId="16" fillId="14" borderId="28" xfId="2" applyNumberFormat="1" applyFont="1" applyFill="1" applyBorder="1" applyAlignment="1">
      <alignment vertical="center"/>
    </xf>
    <xf numFmtId="0" fontId="16" fillId="10" borderId="28" xfId="2" applyFont="1" applyFill="1" applyBorder="1" applyAlignment="1">
      <alignment horizontal="left" vertical="center"/>
    </xf>
    <xf numFmtId="0" fontId="16" fillId="0" borderId="71" xfId="2" applyFont="1" applyBorder="1" applyAlignment="1">
      <alignment horizontal="center"/>
    </xf>
    <xf numFmtId="0" fontId="16" fillId="0" borderId="71" xfId="2" applyFont="1" applyBorder="1" applyAlignment="1">
      <alignment horizontal="left"/>
    </xf>
    <xf numFmtId="0" fontId="15" fillId="0" borderId="44" xfId="1" applyFont="1" applyBorder="1" applyAlignment="1">
      <alignment horizontal="left" vertical="center"/>
    </xf>
    <xf numFmtId="0" fontId="16" fillId="0" borderId="72" xfId="2" applyFont="1" applyBorder="1" applyAlignment="1">
      <alignment horizontal="center" vertical="center"/>
    </xf>
    <xf numFmtId="0" fontId="16" fillId="12" borderId="39" xfId="2" applyFont="1" applyFill="1" applyBorder="1" applyAlignment="1">
      <alignment horizontal="center" vertical="center"/>
    </xf>
    <xf numFmtId="176" fontId="16" fillId="14" borderId="39" xfId="2" applyNumberFormat="1" applyFont="1" applyFill="1" applyBorder="1" applyAlignment="1">
      <alignment horizontal="center" vertical="center"/>
    </xf>
    <xf numFmtId="176" fontId="16" fillId="14" borderId="39" xfId="2" applyNumberFormat="1" applyFont="1" applyFill="1" applyBorder="1" applyAlignment="1">
      <alignment vertical="center"/>
    </xf>
    <xf numFmtId="0" fontId="16" fillId="0" borderId="73" xfId="2" applyFont="1" applyBorder="1" applyAlignment="1">
      <alignment horizontal="left"/>
    </xf>
    <xf numFmtId="0" fontId="13" fillId="15" borderId="74" xfId="1" applyFont="1" applyFill="1" applyBorder="1" applyAlignment="1">
      <alignment vertical="center" wrapText="1"/>
    </xf>
    <xf numFmtId="0" fontId="16" fillId="0" borderId="39" xfId="2" applyFont="1" applyBorder="1" applyAlignment="1">
      <alignment horizontal="left" vertical="center"/>
    </xf>
    <xf numFmtId="0" fontId="16" fillId="0" borderId="73" xfId="2" applyFont="1" applyBorder="1" applyAlignment="1">
      <alignment horizontal="left" vertical="center"/>
    </xf>
    <xf numFmtId="0" fontId="16" fillId="9" borderId="39" xfId="2" applyFont="1" applyFill="1" applyBorder="1" applyAlignment="1">
      <alignment horizontal="left" vertical="center"/>
    </xf>
    <xf numFmtId="0" fontId="16" fillId="9" borderId="43" xfId="2" applyFont="1" applyFill="1" applyBorder="1" applyAlignment="1">
      <alignment horizontal="left"/>
    </xf>
    <xf numFmtId="0" fontId="20" fillId="10" borderId="73" xfId="2" applyFont="1" applyFill="1" applyBorder="1" applyAlignment="1">
      <alignment horizontal="left"/>
    </xf>
    <xf numFmtId="0" fontId="13" fillId="15" borderId="44" xfId="1" applyFont="1" applyFill="1" applyBorder="1" applyAlignment="1">
      <alignment vertical="center" wrapText="1"/>
    </xf>
    <xf numFmtId="0" fontId="16" fillId="0" borderId="75" xfId="2" applyFont="1" applyBorder="1" applyAlignment="1">
      <alignment horizontal="center" vertical="center"/>
    </xf>
    <xf numFmtId="0" fontId="16" fillId="12" borderId="45" xfId="2" applyFont="1" applyFill="1" applyBorder="1" applyAlignment="1">
      <alignment horizontal="center" vertical="center"/>
    </xf>
    <xf numFmtId="176" fontId="16" fillId="14" borderId="45" xfId="2" applyNumberFormat="1" applyFont="1" applyFill="1" applyBorder="1" applyAlignment="1">
      <alignment horizontal="center" vertical="center"/>
    </xf>
    <xf numFmtId="176" fontId="16" fillId="14" borderId="45" xfId="2" applyNumberFormat="1" applyFont="1" applyFill="1" applyBorder="1" applyAlignment="1">
      <alignment vertical="center"/>
    </xf>
    <xf numFmtId="0" fontId="16" fillId="0" borderId="76" xfId="2" applyFont="1" applyBorder="1" applyAlignment="1">
      <alignment horizontal="left" vertical="center"/>
    </xf>
    <xf numFmtId="0" fontId="20" fillId="10" borderId="45" xfId="2" applyFont="1" applyFill="1" applyBorder="1" applyAlignment="1">
      <alignment horizontal="left" vertical="center"/>
    </xf>
    <xf numFmtId="0" fontId="20" fillId="10" borderId="76" xfId="2" applyFont="1" applyFill="1" applyBorder="1" applyAlignment="1">
      <alignment horizontal="left"/>
    </xf>
    <xf numFmtId="0" fontId="16" fillId="0" borderId="77" xfId="2" applyFont="1" applyBorder="1" applyAlignment="1">
      <alignment horizontal="center" vertical="center"/>
    </xf>
    <xf numFmtId="0" fontId="16" fillId="12" borderId="33" xfId="2" applyFont="1" applyFill="1" applyBorder="1" applyAlignment="1">
      <alignment horizontal="center" vertical="center"/>
    </xf>
    <xf numFmtId="0" fontId="16" fillId="10" borderId="39" xfId="2" applyFont="1" applyFill="1" applyBorder="1" applyAlignment="1">
      <alignment vertical="center"/>
    </xf>
    <xf numFmtId="0" fontId="16" fillId="10" borderId="73" xfId="2" applyFont="1" applyFill="1" applyBorder="1" applyAlignment="1">
      <alignment horizontal="left"/>
    </xf>
    <xf numFmtId="0" fontId="24" fillId="10" borderId="39" xfId="3" applyFont="1" applyFill="1" applyBorder="1" applyAlignment="1">
      <alignment horizontal="left" vertical="center"/>
    </xf>
    <xf numFmtId="0" fontId="16" fillId="0" borderId="76" xfId="2" applyFont="1" applyBorder="1" applyAlignment="1">
      <alignment horizontal="left"/>
    </xf>
    <xf numFmtId="0" fontId="19" fillId="0" borderId="78" xfId="1" applyFont="1" applyBorder="1" applyAlignment="1">
      <alignment horizontal="left" vertical="center"/>
    </xf>
    <xf numFmtId="0" fontId="15" fillId="0" borderId="44" xfId="1" applyFont="1" applyBorder="1" applyAlignment="1">
      <alignment horizontal="left" vertical="center" wrapText="1"/>
    </xf>
    <xf numFmtId="0" fontId="19" fillId="0" borderId="79" xfId="1" applyFont="1" applyBorder="1" applyAlignment="1">
      <alignment horizontal="left" vertical="center"/>
    </xf>
    <xf numFmtId="0" fontId="19" fillId="0" borderId="80" xfId="1" applyFont="1" applyBorder="1" applyAlignment="1">
      <alignment horizontal="left" vertical="center"/>
    </xf>
    <xf numFmtId="0" fontId="24" fillId="10" borderId="39" xfId="2" applyFont="1" applyFill="1" applyBorder="1" applyAlignment="1">
      <alignment horizontal="left" vertical="center"/>
    </xf>
    <xf numFmtId="0" fontId="13" fillId="15" borderId="81" xfId="1" applyFont="1" applyFill="1" applyBorder="1" applyAlignment="1">
      <alignment vertical="center" wrapText="1"/>
    </xf>
    <xf numFmtId="0" fontId="21" fillId="10" borderId="45" xfId="2" applyFont="1" applyFill="1" applyBorder="1" applyAlignment="1">
      <alignment horizontal="left" vertical="center"/>
    </xf>
    <xf numFmtId="0" fontId="16" fillId="10" borderId="45" xfId="2" applyFont="1" applyFill="1" applyBorder="1" applyAlignment="1">
      <alignment horizontal="left"/>
    </xf>
    <xf numFmtId="0" fontId="16" fillId="10" borderId="73" xfId="2" applyFont="1" applyFill="1" applyBorder="1" applyAlignment="1">
      <alignment horizontal="left" vertical="center"/>
    </xf>
    <xf numFmtId="0" fontId="13" fillId="15" borderId="44" xfId="1" applyFont="1" applyFill="1" applyBorder="1">
      <alignment vertical="center"/>
    </xf>
    <xf numFmtId="0" fontId="16" fillId="10" borderId="45" xfId="2" applyFont="1" applyFill="1" applyBorder="1" applyAlignment="1">
      <alignment vertical="center"/>
    </xf>
    <xf numFmtId="0" fontId="16" fillId="10" borderId="71" xfId="2" applyFont="1" applyFill="1" applyBorder="1" applyAlignment="1">
      <alignment horizontal="left"/>
    </xf>
    <xf numFmtId="0" fontId="15" fillId="0" borderId="44" xfId="1" applyFont="1" applyBorder="1" applyAlignment="1">
      <alignment horizontal="left" vertical="center"/>
    </xf>
    <xf numFmtId="0" fontId="16" fillId="10" borderId="39" xfId="2" applyFont="1" applyFill="1" applyBorder="1" applyAlignment="1">
      <alignment horizontal="left" vertical="center" wrapText="1"/>
    </xf>
    <xf numFmtId="0" fontId="20" fillId="12" borderId="39" xfId="2" applyFont="1" applyFill="1" applyBorder="1" applyAlignment="1">
      <alignment horizontal="left" vertical="center"/>
    </xf>
    <xf numFmtId="0" fontId="20" fillId="10" borderId="82" xfId="2" applyFont="1" applyFill="1" applyBorder="1" applyAlignment="1">
      <alignment horizontal="left"/>
    </xf>
    <xf numFmtId="0" fontId="16" fillId="0" borderId="82" xfId="2" applyFont="1" applyBorder="1" applyAlignment="1">
      <alignment horizontal="left"/>
    </xf>
    <xf numFmtId="0" fontId="13" fillId="12" borderId="74" xfId="1" applyFont="1" applyFill="1" applyBorder="1">
      <alignment vertical="center"/>
    </xf>
    <xf numFmtId="0" fontId="19" fillId="12" borderId="69" xfId="1" applyFont="1" applyFill="1" applyBorder="1">
      <alignment vertical="center"/>
    </xf>
    <xf numFmtId="0" fontId="20" fillId="10" borderId="28" xfId="2" applyFont="1" applyFill="1" applyBorder="1" applyAlignment="1">
      <alignment horizontal="left" vertical="center"/>
    </xf>
    <xf numFmtId="0" fontId="16" fillId="10" borderId="56" xfId="2" applyFont="1" applyFill="1" applyBorder="1" applyAlignment="1">
      <alignment horizontal="left" vertical="center"/>
    </xf>
    <xf numFmtId="0" fontId="16" fillId="0" borderId="83" xfId="2" applyFont="1" applyBorder="1" applyAlignment="1">
      <alignment horizontal="left"/>
    </xf>
    <xf numFmtId="176" fontId="16" fillId="14" borderId="40" xfId="2" applyNumberFormat="1" applyFont="1" applyFill="1" applyBorder="1" applyAlignment="1">
      <alignment horizontal="center" vertical="center"/>
    </xf>
    <xf numFmtId="0" fontId="16" fillId="12" borderId="84" xfId="2" applyFont="1" applyFill="1" applyBorder="1" applyAlignment="1">
      <alignment horizontal="left" vertical="center"/>
    </xf>
    <xf numFmtId="0" fontId="16" fillId="0" borderId="85" xfId="2" applyFont="1" applyBorder="1" applyAlignment="1">
      <alignment horizontal="center"/>
    </xf>
    <xf numFmtId="0" fontId="25" fillId="10" borderId="39" xfId="2" applyFont="1" applyFill="1" applyBorder="1" applyAlignment="1">
      <alignment vertical="center"/>
    </xf>
    <xf numFmtId="0" fontId="25" fillId="10" borderId="45" xfId="2" applyFont="1" applyFill="1" applyBorder="1" applyAlignment="1">
      <alignment vertical="center"/>
    </xf>
    <xf numFmtId="0" fontId="25" fillId="10" borderId="28" xfId="2" applyFont="1" applyFill="1" applyBorder="1" applyAlignment="1">
      <alignment vertical="center"/>
    </xf>
    <xf numFmtId="176" fontId="16" fillId="14" borderId="33" xfId="2" applyNumberFormat="1" applyFont="1" applyFill="1" applyBorder="1" applyAlignment="1">
      <alignment horizontal="center" vertical="center"/>
    </xf>
    <xf numFmtId="176" fontId="16" fillId="14" borderId="33" xfId="2" applyNumberFormat="1" applyFont="1" applyFill="1" applyBorder="1" applyAlignment="1">
      <alignment vertical="center"/>
    </xf>
    <xf numFmtId="0" fontId="19" fillId="0" borderId="78" xfId="1" applyFont="1" applyBorder="1" applyAlignment="1">
      <alignment horizontal="left" vertical="center" wrapText="1"/>
    </xf>
    <xf numFmtId="176" fontId="16" fillId="14" borderId="86" xfId="2" applyNumberFormat="1" applyFont="1" applyFill="1" applyBorder="1" applyAlignment="1">
      <alignment vertical="center"/>
    </xf>
    <xf numFmtId="0" fontId="12" fillId="10" borderId="28" xfId="4" applyFont="1" applyFill="1" applyBorder="1" applyAlignment="1">
      <alignment horizontal="left" vertical="center"/>
    </xf>
    <xf numFmtId="0" fontId="26" fillId="0" borderId="71" xfId="2" applyFont="1" applyBorder="1" applyAlignment="1">
      <alignment horizontal="left"/>
    </xf>
    <xf numFmtId="0" fontId="15" fillId="0" borderId="44" xfId="1" applyFont="1" applyBorder="1" applyAlignment="1">
      <alignment horizontal="left" vertical="center" wrapText="1"/>
    </xf>
    <xf numFmtId="176" fontId="16" fillId="14" borderId="40" xfId="2" applyNumberFormat="1" applyFont="1" applyFill="1" applyBorder="1" applyAlignment="1">
      <alignment vertical="center"/>
    </xf>
    <xf numFmtId="0" fontId="12" fillId="10" borderId="39" xfId="4" applyFont="1" applyFill="1" applyBorder="1" applyAlignment="1">
      <alignment horizontal="left" vertical="center"/>
    </xf>
    <xf numFmtId="0" fontId="26" fillId="0" borderId="73" xfId="2" applyFont="1" applyBorder="1" applyAlignment="1">
      <alignment horizontal="left"/>
    </xf>
    <xf numFmtId="0" fontId="12" fillId="10" borderId="39" xfId="4" applyFont="1" applyFill="1" applyBorder="1">
      <alignment vertical="center"/>
    </xf>
    <xf numFmtId="0" fontId="16" fillId="12" borderId="39" xfId="2" applyFont="1" applyFill="1" applyBorder="1" applyAlignment="1">
      <alignment horizontal="left"/>
    </xf>
    <xf numFmtId="0" fontId="12" fillId="12" borderId="39" xfId="4" applyFont="1" applyFill="1" applyBorder="1" applyAlignment="1">
      <alignment horizontal="left" vertical="center"/>
    </xf>
    <xf numFmtId="0" fontId="12" fillId="10" borderId="87" xfId="4" applyFont="1" applyFill="1" applyBorder="1">
      <alignment vertical="center"/>
    </xf>
    <xf numFmtId="0" fontId="12" fillId="12" borderId="87" xfId="4" applyFont="1" applyFill="1" applyBorder="1">
      <alignment vertical="center"/>
    </xf>
    <xf numFmtId="0" fontId="11" fillId="7" borderId="52" xfId="2" applyFont="1" applyFill="1" applyBorder="1" applyAlignment="1">
      <alignment horizontal="center" vertical="center"/>
    </xf>
    <xf numFmtId="0" fontId="11" fillId="7" borderId="64" xfId="2" applyFont="1" applyFill="1" applyBorder="1" applyAlignment="1">
      <alignment horizontal="center" vertical="center"/>
    </xf>
    <xf numFmtId="0" fontId="13" fillId="0" borderId="88" xfId="2" applyFont="1" applyBorder="1" applyAlignment="1">
      <alignment horizontal="center" vertical="center"/>
    </xf>
    <xf numFmtId="0" fontId="11" fillId="7" borderId="30" xfId="2" applyFont="1" applyFill="1" applyBorder="1" applyAlignment="1">
      <alignment horizontal="center" vertical="center"/>
    </xf>
    <xf numFmtId="0" fontId="11" fillId="7" borderId="67" xfId="2" applyFont="1" applyFill="1" applyBorder="1" applyAlignment="1">
      <alignment horizontal="center" vertical="center"/>
    </xf>
    <xf numFmtId="0" fontId="13" fillId="0" borderId="89" xfId="2" applyFont="1" applyBorder="1" applyAlignment="1">
      <alignment horizontal="center" vertical="center"/>
    </xf>
    <xf numFmtId="0" fontId="1" fillId="0" borderId="80" xfId="1" applyBorder="1">
      <alignment vertical="center"/>
    </xf>
    <xf numFmtId="0" fontId="1" fillId="9" borderId="35" xfId="1" applyFill="1" applyBorder="1">
      <alignment vertical="center"/>
    </xf>
    <xf numFmtId="0" fontId="1" fillId="0" borderId="69" xfId="1" applyBorder="1">
      <alignment vertical="center"/>
    </xf>
    <xf numFmtId="0" fontId="1" fillId="9" borderId="44" xfId="1" applyFill="1" applyBorder="1">
      <alignment vertical="center"/>
    </xf>
    <xf numFmtId="0" fontId="1" fillId="0" borderId="44" xfId="1" applyBorder="1">
      <alignment vertical="center"/>
    </xf>
    <xf numFmtId="0" fontId="13" fillId="15" borderId="90" xfId="1" applyFont="1" applyFill="1" applyBorder="1" applyAlignment="1">
      <alignment horizontal="left" vertical="center" wrapText="1"/>
    </xf>
    <xf numFmtId="0" fontId="13" fillId="15" borderId="91" xfId="1" applyFont="1" applyFill="1" applyBorder="1" applyAlignment="1">
      <alignment horizontal="left" vertical="center"/>
    </xf>
    <xf numFmtId="0" fontId="16" fillId="10" borderId="39" xfId="1" applyFont="1" applyFill="1" applyBorder="1" applyAlignment="1">
      <alignment horizontal="left"/>
    </xf>
    <xf numFmtId="0" fontId="13" fillId="15" borderId="35" xfId="1" applyFont="1" applyFill="1" applyBorder="1" applyAlignment="1">
      <alignment horizontal="left" vertical="center"/>
    </xf>
    <xf numFmtId="0" fontId="16" fillId="10" borderId="45" xfId="1" applyFont="1" applyFill="1" applyBorder="1" applyAlignment="1">
      <alignment horizontal="left"/>
    </xf>
    <xf numFmtId="0" fontId="16" fillId="10" borderId="28" xfId="1" applyFont="1" applyFill="1" applyBorder="1" applyAlignment="1">
      <alignment horizontal="left"/>
    </xf>
    <xf numFmtId="0" fontId="17" fillId="10" borderId="39" xfId="3" applyFont="1" applyFill="1" applyBorder="1" applyAlignment="1">
      <alignment horizontal="left" vertical="center"/>
    </xf>
    <xf numFmtId="0" fontId="13" fillId="15" borderId="69" xfId="1" applyFont="1" applyFill="1" applyBorder="1" applyAlignment="1">
      <alignment horizontal="left" vertical="center" wrapText="1"/>
    </xf>
    <xf numFmtId="0" fontId="20" fillId="10" borderId="33" xfId="3" applyFont="1" applyFill="1" applyBorder="1" applyAlignment="1">
      <alignment horizontal="left" vertical="center"/>
    </xf>
    <xf numFmtId="0" fontId="13" fillId="15" borderId="44" xfId="1" applyFont="1" applyFill="1" applyBorder="1" applyAlignment="1">
      <alignment horizontal="left" vertical="center" wrapText="1"/>
    </xf>
    <xf numFmtId="0" fontId="13" fillId="15" borderId="69" xfId="1" applyFont="1" applyFill="1" applyBorder="1" applyAlignment="1">
      <alignment horizontal="left" vertical="center"/>
    </xf>
    <xf numFmtId="0" fontId="17" fillId="10" borderId="28" xfId="3" applyFont="1" applyFill="1" applyBorder="1" applyAlignment="1">
      <alignment horizontal="left" vertical="center"/>
    </xf>
    <xf numFmtId="0" fontId="13" fillId="15" borderId="44" xfId="1" applyFont="1" applyFill="1" applyBorder="1" applyAlignment="1">
      <alignment horizontal="left" vertical="center"/>
    </xf>
    <xf numFmtId="0" fontId="20" fillId="10" borderId="39" xfId="1" applyFont="1" applyFill="1" applyBorder="1" applyAlignment="1">
      <alignment horizontal="left" vertical="center"/>
    </xf>
    <xf numFmtId="0" fontId="16" fillId="0" borderId="83" xfId="2" applyFont="1" applyBorder="1" applyAlignment="1">
      <alignment horizontal="center" vertical="center"/>
    </xf>
    <xf numFmtId="0" fontId="16" fillId="0" borderId="82" xfId="2" applyFont="1" applyBorder="1" applyAlignment="1">
      <alignment horizontal="center" vertical="center"/>
    </xf>
    <xf numFmtId="0" fontId="17" fillId="10" borderId="45" xfId="3" applyFont="1" applyFill="1" applyBorder="1" applyAlignment="1">
      <alignment horizontal="left" vertical="center"/>
    </xf>
    <xf numFmtId="0" fontId="20" fillId="10" borderId="45" xfId="1" applyFont="1" applyFill="1" applyBorder="1" applyAlignment="1">
      <alignment horizontal="left" vertical="center"/>
    </xf>
    <xf numFmtId="0" fontId="20" fillId="10" borderId="28" xfId="1" applyFont="1" applyFill="1" applyBorder="1" applyAlignment="1">
      <alignment horizontal="left" vertical="center"/>
    </xf>
    <xf numFmtId="0" fontId="22" fillId="14" borderId="62" xfId="2" applyFont="1" applyFill="1" applyBorder="1" applyAlignment="1">
      <alignment horizontal="center" vertical="center"/>
    </xf>
    <xf numFmtId="0" fontId="22" fillId="14" borderId="63" xfId="2" applyFont="1" applyFill="1" applyBorder="1" applyAlignment="1">
      <alignment horizontal="center" vertical="center"/>
    </xf>
    <xf numFmtId="0" fontId="11" fillId="14" borderId="9" xfId="2" applyFont="1" applyFill="1" applyBorder="1" applyAlignment="1">
      <alignment horizontal="center" vertical="center"/>
    </xf>
    <xf numFmtId="176" fontId="11" fillId="14" borderId="9" xfId="2" applyNumberFormat="1" applyFont="1" applyFill="1" applyBorder="1" applyAlignment="1">
      <alignment horizontal="center" vertical="center" wrapText="1"/>
    </xf>
    <xf numFmtId="176" fontId="11" fillId="14" borderId="9" xfId="2" applyNumberFormat="1" applyFont="1" applyFill="1" applyBorder="1" applyAlignment="1">
      <alignment horizontal="center" vertical="center" wrapText="1"/>
    </xf>
    <xf numFmtId="0" fontId="11" fillId="14" borderId="64" xfId="2" applyFont="1" applyFill="1" applyBorder="1" applyAlignment="1">
      <alignment horizontal="center" vertical="center"/>
    </xf>
    <xf numFmtId="0" fontId="11" fillId="14" borderId="17" xfId="2" applyFont="1" applyFill="1" applyBorder="1" applyAlignment="1">
      <alignment horizontal="center" vertical="center"/>
    </xf>
    <xf numFmtId="0" fontId="11" fillId="14" borderId="22" xfId="2" applyFont="1" applyFill="1" applyBorder="1" applyAlignment="1">
      <alignment horizontal="center"/>
    </xf>
    <xf numFmtId="0" fontId="11" fillId="14" borderId="19" xfId="2" applyFont="1" applyFill="1" applyBorder="1" applyAlignment="1">
      <alignment horizontal="center" vertical="center"/>
    </xf>
    <xf numFmtId="176" fontId="11" fillId="14" borderId="19" xfId="2" applyNumberFormat="1" applyFont="1" applyFill="1" applyBorder="1" applyAlignment="1">
      <alignment horizontal="center" vertical="center"/>
    </xf>
    <xf numFmtId="176" fontId="11" fillId="14" borderId="19" xfId="2" applyNumberFormat="1" applyFont="1" applyFill="1" applyBorder="1" applyAlignment="1">
      <alignment horizontal="center" vertical="center"/>
    </xf>
    <xf numFmtId="0" fontId="11" fillId="14" borderId="67" xfId="2" applyFont="1" applyFill="1" applyBorder="1" applyAlignment="1">
      <alignment horizontal="center" vertical="center"/>
    </xf>
    <xf numFmtId="0" fontId="11" fillId="14" borderId="2" xfId="2" applyFont="1" applyFill="1" applyBorder="1" applyAlignment="1">
      <alignment horizontal="center" vertical="center"/>
    </xf>
    <xf numFmtId="0" fontId="11" fillId="14" borderId="16" xfId="2" applyFont="1" applyFill="1" applyBorder="1" applyAlignment="1">
      <alignment horizontal="center"/>
    </xf>
    <xf numFmtId="0" fontId="1" fillId="15" borderId="69" xfId="1" applyFill="1" applyBorder="1" applyAlignment="1">
      <alignment horizontal="left" vertical="center" wrapText="1"/>
    </xf>
    <xf numFmtId="0" fontId="16" fillId="0" borderId="39" xfId="1" applyFont="1" applyBorder="1" applyAlignment="1">
      <alignment horizontal="left" vertical="center"/>
    </xf>
    <xf numFmtId="0" fontId="16" fillId="0" borderId="28" xfId="1" applyFont="1" applyBorder="1" applyAlignment="1">
      <alignment horizontal="left" vertical="center"/>
    </xf>
    <xf numFmtId="0" fontId="1" fillId="15" borderId="92" xfId="1" applyFill="1" applyBorder="1" applyAlignment="1">
      <alignment horizontal="left" vertical="center" wrapText="1"/>
    </xf>
    <xf numFmtId="0" fontId="1" fillId="15" borderId="69" xfId="1" applyFill="1" applyBorder="1" applyAlignment="1">
      <alignment horizontal="left" vertical="center"/>
    </xf>
    <xf numFmtId="0" fontId="1" fillId="15" borderId="92" xfId="1" applyFill="1" applyBorder="1" applyAlignment="1">
      <alignment horizontal="left" vertical="center"/>
    </xf>
    <xf numFmtId="0" fontId="16" fillId="0" borderId="45" xfId="1" applyFont="1" applyBorder="1" applyAlignment="1">
      <alignment horizontal="left" vertical="center"/>
    </xf>
    <xf numFmtId="0" fontId="16" fillId="0" borderId="73" xfId="2" applyFont="1" applyBorder="1" applyAlignment="1">
      <alignment horizontal="center"/>
    </xf>
    <xf numFmtId="0" fontId="1" fillId="15" borderId="69" xfId="1" applyFill="1" applyBorder="1" applyAlignment="1">
      <alignment horizontal="center" vertical="center" wrapText="1"/>
    </xf>
    <xf numFmtId="0" fontId="16" fillId="10" borderId="28" xfId="1" applyFont="1" applyFill="1" applyBorder="1" applyAlignment="1">
      <alignment horizontal="left" vertical="center"/>
    </xf>
    <xf numFmtId="0" fontId="16" fillId="16" borderId="71" xfId="2" applyFont="1" applyFill="1" applyBorder="1" applyAlignment="1">
      <alignment horizontal="center"/>
    </xf>
    <xf numFmtId="0" fontId="12" fillId="0" borderId="93" xfId="2" applyFont="1" applyBorder="1" applyAlignment="1">
      <alignment horizontal="center" vertical="center"/>
    </xf>
    <xf numFmtId="0" fontId="1" fillId="15" borderId="69" xfId="1" applyFill="1" applyBorder="1" applyAlignment="1">
      <alignment horizontal="center" vertical="center"/>
    </xf>
    <xf numFmtId="0" fontId="12" fillId="0" borderId="92" xfId="2" applyFont="1" applyBorder="1" applyAlignment="1">
      <alignment horizontal="center" vertical="center"/>
    </xf>
    <xf numFmtId="0" fontId="12" fillId="0" borderId="94" xfId="2" applyFont="1" applyBorder="1" applyAlignment="1">
      <alignment horizontal="center" vertical="center"/>
    </xf>
    <xf numFmtId="0" fontId="12" fillId="10" borderId="36" xfId="2" applyFont="1" applyFill="1" applyBorder="1" applyAlignment="1">
      <alignment horizontal="center" vertical="center"/>
    </xf>
    <xf numFmtId="0" fontId="13" fillId="12" borderId="36" xfId="1" applyFont="1" applyFill="1" applyBorder="1" applyAlignment="1">
      <alignment horizontal="left" vertical="center"/>
    </xf>
    <xf numFmtId="0" fontId="13" fillId="15" borderId="36" xfId="1" applyFont="1" applyFill="1" applyBorder="1" applyAlignment="1">
      <alignment horizontal="left" vertical="center"/>
    </xf>
    <xf numFmtId="0" fontId="12" fillId="0" borderId="36" xfId="2" applyFont="1" applyBorder="1" applyAlignment="1">
      <alignment horizontal="center" vertical="center"/>
    </xf>
    <xf numFmtId="0" fontId="16" fillId="10" borderId="45" xfId="1" applyFont="1" applyFill="1" applyBorder="1" applyAlignment="1">
      <alignment horizontal="left" vertical="center"/>
    </xf>
    <xf numFmtId="0" fontId="1" fillId="0" borderId="78" xfId="1" applyBorder="1" applyAlignment="1">
      <alignment horizontal="center" vertical="center"/>
    </xf>
    <xf numFmtId="0" fontId="1" fillId="0" borderId="79" xfId="1" applyBorder="1" applyAlignment="1">
      <alignment horizontal="center" vertical="center"/>
    </xf>
    <xf numFmtId="0" fontId="1" fillId="0" borderId="80" xfId="1" applyBorder="1" applyAlignment="1">
      <alignment horizontal="center" vertical="center"/>
    </xf>
    <xf numFmtId="0" fontId="12" fillId="9" borderId="36" xfId="2" applyFont="1" applyFill="1" applyBorder="1" applyAlignment="1">
      <alignment horizontal="center" vertical="center"/>
    </xf>
    <xf numFmtId="0" fontId="16" fillId="10" borderId="39" xfId="1" applyFont="1" applyFill="1" applyBorder="1" applyAlignment="1">
      <alignment horizontal="center" vertical="center"/>
    </xf>
    <xf numFmtId="0" fontId="13" fillId="12" borderId="74" xfId="1" applyFont="1" applyFill="1" applyBorder="1" applyAlignment="1">
      <alignment horizontal="left" vertical="center" wrapText="1"/>
    </xf>
    <xf numFmtId="0" fontId="16" fillId="10" borderId="40" xfId="1" applyFont="1" applyFill="1" applyBorder="1" applyAlignment="1">
      <alignment horizontal="left" vertical="center"/>
    </xf>
    <xf numFmtId="0" fontId="13" fillId="12" borderId="0" xfId="1" applyFont="1" applyFill="1" applyAlignment="1">
      <alignment horizontal="left" vertical="center"/>
    </xf>
    <xf numFmtId="0" fontId="13" fillId="15" borderId="74" xfId="1" applyFont="1" applyFill="1" applyBorder="1" applyAlignment="1">
      <alignment horizontal="left" vertical="center" wrapText="1"/>
    </xf>
    <xf numFmtId="0" fontId="13" fillId="15" borderId="0" xfId="1" applyFont="1" applyFill="1" applyAlignment="1">
      <alignment horizontal="left" vertical="center"/>
    </xf>
    <xf numFmtId="0" fontId="20" fillId="0" borderId="39" xfId="1" applyFont="1" applyBorder="1" applyAlignment="1">
      <alignment horizontal="left" vertical="center"/>
    </xf>
    <xf numFmtId="0" fontId="20" fillId="0" borderId="45" xfId="1" applyFont="1" applyBorder="1" applyAlignment="1">
      <alignment horizontal="left" vertical="center"/>
    </xf>
    <xf numFmtId="0" fontId="20" fillId="0" borderId="28" xfId="1" applyFont="1" applyBorder="1" applyAlignment="1">
      <alignment horizontal="left" vertical="center"/>
    </xf>
    <xf numFmtId="0" fontId="16" fillId="10" borderId="33" xfId="1" applyFont="1" applyFill="1" applyBorder="1" applyAlignment="1">
      <alignment horizontal="left" vertical="center"/>
    </xf>
    <xf numFmtId="0" fontId="13" fillId="15" borderId="95" xfId="1" applyFont="1" applyFill="1" applyBorder="1" applyAlignment="1">
      <alignment horizontal="left" vertical="center" wrapText="1"/>
    </xf>
    <xf numFmtId="0" fontId="13" fillId="15" borderId="96" xfId="1" applyFont="1" applyFill="1" applyBorder="1" applyAlignment="1">
      <alignment horizontal="left" vertical="center"/>
    </xf>
    <xf numFmtId="0" fontId="1" fillId="0" borderId="92" xfId="1" applyBorder="1" applyAlignment="1">
      <alignment horizontal="center" vertical="center"/>
    </xf>
    <xf numFmtId="0" fontId="13" fillId="15" borderId="36" xfId="1" applyFont="1" applyFill="1" applyBorder="1" applyAlignment="1">
      <alignment horizontal="left" vertical="center" wrapText="1"/>
    </xf>
    <xf numFmtId="0" fontId="16" fillId="12" borderId="73" xfId="2" applyFont="1" applyFill="1" applyBorder="1" applyAlignment="1">
      <alignment horizontal="left"/>
    </xf>
    <xf numFmtId="0" fontId="20" fillId="12" borderId="73" xfId="2" applyFont="1" applyFill="1" applyBorder="1" applyAlignment="1">
      <alignment horizontal="left"/>
    </xf>
    <xf numFmtId="0" fontId="13" fillId="15" borderId="93" xfId="1" applyFont="1" applyFill="1" applyBorder="1" applyAlignment="1">
      <alignment horizontal="left" vertical="center" wrapText="1"/>
    </xf>
    <xf numFmtId="0" fontId="13" fillId="15" borderId="92" xfId="1" applyFont="1" applyFill="1" applyBorder="1" applyAlignment="1">
      <alignment horizontal="left" vertical="center"/>
    </xf>
    <xf numFmtId="0" fontId="13" fillId="15" borderId="94" xfId="1" applyFont="1" applyFill="1" applyBorder="1" applyAlignment="1">
      <alignment horizontal="left" vertical="center"/>
    </xf>
    <xf numFmtId="0" fontId="16" fillId="10" borderId="28" xfId="1" applyFont="1" applyFill="1" applyBorder="1">
      <alignment vertical="center"/>
    </xf>
    <xf numFmtId="0" fontId="16" fillId="10" borderId="39" xfId="1" applyFont="1" applyFill="1" applyBorder="1">
      <alignment vertical="center"/>
    </xf>
    <xf numFmtId="0" fontId="16" fillId="0" borderId="45" xfId="2" applyFont="1" applyBorder="1" applyAlignment="1">
      <alignment horizontal="left" vertical="center"/>
    </xf>
    <xf numFmtId="0" fontId="28" fillId="0" borderId="0" xfId="2" applyFont="1"/>
    <xf numFmtId="0" fontId="10" fillId="0" borderId="0" xfId="2"/>
    <xf numFmtId="0" fontId="10" fillId="17" borderId="0" xfId="2" applyFill="1"/>
    <xf numFmtId="0" fontId="10" fillId="0" borderId="97" xfId="2" applyBorder="1" applyAlignment="1">
      <alignment horizontal="center"/>
    </xf>
    <xf numFmtId="0" fontId="28" fillId="0" borderId="3" xfId="2" applyFont="1" applyBorder="1"/>
    <xf numFmtId="0" fontId="29" fillId="18" borderId="61" xfId="2" applyFont="1" applyFill="1" applyBorder="1" applyAlignment="1">
      <alignment horizontal="center" vertical="center"/>
    </xf>
    <xf numFmtId="0" fontId="29" fillId="18" borderId="98" xfId="2" applyFont="1" applyFill="1" applyBorder="1" applyAlignment="1">
      <alignment horizontal="center" vertical="center"/>
    </xf>
    <xf numFmtId="0" fontId="29" fillId="18" borderId="65" xfId="2" applyFont="1" applyFill="1" applyBorder="1" applyAlignment="1">
      <alignment horizontal="center" vertical="center"/>
    </xf>
    <xf numFmtId="0" fontId="29" fillId="18" borderId="99" xfId="2" applyFont="1" applyFill="1" applyBorder="1" applyAlignment="1">
      <alignment horizontal="center" vertical="center"/>
    </xf>
    <xf numFmtId="0" fontId="30" fillId="10" borderId="100" xfId="2" applyFont="1" applyFill="1" applyBorder="1" applyAlignment="1">
      <alignment horizontal="center" vertical="center" wrapText="1"/>
    </xf>
    <xf numFmtId="0" fontId="28" fillId="0" borderId="101" xfId="2" applyFont="1" applyBorder="1"/>
    <xf numFmtId="0" fontId="29" fillId="18" borderId="66" xfId="2" applyFont="1" applyFill="1" applyBorder="1" applyAlignment="1">
      <alignment horizontal="center" vertical="center"/>
    </xf>
    <xf numFmtId="0" fontId="29" fillId="18" borderId="0" xfId="2" applyFont="1" applyFill="1" applyAlignment="1">
      <alignment horizontal="center" vertical="center"/>
    </xf>
    <xf numFmtId="0" fontId="29" fillId="18" borderId="68" xfId="2" applyFont="1" applyFill="1" applyBorder="1" applyAlignment="1">
      <alignment horizontal="center" vertical="center"/>
    </xf>
    <xf numFmtId="0" fontId="31" fillId="18" borderId="102" xfId="2" applyFont="1" applyFill="1" applyBorder="1" applyAlignment="1">
      <alignment horizontal="center" vertical="center"/>
    </xf>
    <xf numFmtId="0" fontId="30" fillId="10" borderId="103" xfId="2" applyFont="1" applyFill="1" applyBorder="1" applyAlignment="1">
      <alignment horizontal="center" vertical="center" wrapText="1"/>
    </xf>
    <xf numFmtId="0" fontId="30" fillId="12" borderId="104" xfId="2" applyFont="1" applyFill="1" applyBorder="1" applyAlignment="1">
      <alignment horizontal="center" vertical="center" wrapText="1"/>
    </xf>
    <xf numFmtId="0" fontId="30" fillId="12" borderId="103" xfId="2" applyFont="1" applyFill="1" applyBorder="1" applyAlignment="1">
      <alignment horizontal="center" vertical="center" wrapText="1"/>
    </xf>
    <xf numFmtId="0" fontId="30" fillId="12" borderId="100" xfId="2" applyFont="1" applyFill="1" applyBorder="1" applyAlignment="1">
      <alignment horizontal="center" vertical="center" wrapText="1"/>
    </xf>
    <xf numFmtId="0" fontId="30" fillId="10" borderId="104" xfId="2" applyFont="1" applyFill="1" applyBorder="1" applyAlignment="1">
      <alignment horizontal="center" vertical="center" wrapText="1"/>
    </xf>
    <xf numFmtId="0" fontId="31" fillId="18" borderId="102" xfId="2" quotePrefix="1" applyFont="1" applyFill="1" applyBorder="1" applyAlignment="1">
      <alignment horizontal="center" vertical="center"/>
    </xf>
    <xf numFmtId="0" fontId="10" fillId="9" borderId="101" xfId="2" applyFill="1" applyBorder="1" applyAlignment="1">
      <alignment horizontal="left" vertical="center"/>
    </xf>
    <xf numFmtId="0" fontId="28" fillId="0" borderId="14" xfId="2" applyFont="1" applyBorder="1"/>
    <xf numFmtId="0" fontId="29" fillId="18" borderId="88" xfId="2" applyFont="1" applyFill="1" applyBorder="1" applyAlignment="1">
      <alignment horizontal="center" vertical="center"/>
    </xf>
    <xf numFmtId="0" fontId="29" fillId="18" borderId="97" xfId="2" applyFont="1" applyFill="1" applyBorder="1" applyAlignment="1">
      <alignment horizontal="center" vertical="center"/>
    </xf>
    <xf numFmtId="0" fontId="29" fillId="18" borderId="89" xfId="2" applyFont="1" applyFill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3" fillId="0" borderId="105" xfId="2" applyFont="1" applyBorder="1" applyAlignment="1">
      <alignment horizontal="center" vertical="center"/>
    </xf>
    <xf numFmtId="0" fontId="13" fillId="0" borderId="106" xfId="2" applyFont="1" applyBorder="1" applyAlignment="1">
      <alignment horizontal="center" vertical="center"/>
    </xf>
    <xf numFmtId="0" fontId="13" fillId="0" borderId="107" xfId="2" applyFont="1" applyBorder="1" applyAlignment="1">
      <alignment horizontal="center" vertical="center"/>
    </xf>
    <xf numFmtId="0" fontId="33" fillId="19" borderId="99" xfId="2" applyFont="1" applyFill="1" applyBorder="1" applyAlignment="1">
      <alignment horizontal="center" vertical="center" wrapText="1"/>
    </xf>
    <xf numFmtId="0" fontId="33" fillId="19" borderId="108" xfId="2" applyFont="1" applyFill="1" applyBorder="1" applyAlignment="1">
      <alignment horizontal="center" vertical="center" wrapText="1"/>
    </xf>
    <xf numFmtId="0" fontId="12" fillId="0" borderId="109" xfId="2" applyFont="1" applyBorder="1" applyAlignment="1">
      <alignment horizontal="left" vertical="center" wrapText="1"/>
    </xf>
    <xf numFmtId="0" fontId="35" fillId="12" borderId="110" xfId="4" applyFont="1" applyFill="1" applyBorder="1">
      <alignment vertical="center"/>
    </xf>
    <xf numFmtId="0" fontId="36" fillId="0" borderId="109" xfId="4" applyFont="1" applyBorder="1" applyAlignment="1">
      <alignment horizontal="center" vertical="center"/>
    </xf>
    <xf numFmtId="0" fontId="36" fillId="7" borderId="110" xfId="4" applyFont="1" applyFill="1" applyBorder="1" applyAlignment="1">
      <alignment horizontal="center" vertical="center"/>
    </xf>
    <xf numFmtId="0" fontId="36" fillId="20" borderId="25" xfId="4" applyFont="1" applyFill="1" applyBorder="1" applyAlignment="1">
      <alignment horizontal="center" vertical="center"/>
    </xf>
    <xf numFmtId="0" fontId="12" fillId="21" borderId="111" xfId="2" applyFont="1" applyFill="1" applyBorder="1" applyAlignment="1">
      <alignment horizontal="center" vertical="center"/>
    </xf>
    <xf numFmtId="0" fontId="12" fillId="21" borderId="112" xfId="2" applyFont="1" applyFill="1" applyBorder="1" applyAlignment="1">
      <alignment horizontal="center" vertical="center"/>
    </xf>
    <xf numFmtId="0" fontId="12" fillId="22" borderId="112" xfId="2" applyFont="1" applyFill="1" applyBorder="1" applyAlignment="1">
      <alignment horizontal="center" vertical="center"/>
    </xf>
    <xf numFmtId="0" fontId="12" fillId="22" borderId="113" xfId="2" applyFont="1" applyFill="1" applyBorder="1" applyAlignment="1">
      <alignment horizontal="center" vertical="center"/>
    </xf>
    <xf numFmtId="0" fontId="12" fillId="22" borderId="114" xfId="2" applyFont="1" applyFill="1" applyBorder="1" applyAlignment="1">
      <alignment horizontal="center" vertical="center"/>
    </xf>
    <xf numFmtId="0" fontId="12" fillId="22" borderId="115" xfId="2" applyFont="1" applyFill="1" applyBorder="1" applyAlignment="1">
      <alignment horizontal="center" vertical="center"/>
    </xf>
    <xf numFmtId="0" fontId="12" fillId="22" borderId="116" xfId="2" applyFont="1" applyFill="1" applyBorder="1" applyAlignment="1">
      <alignment horizontal="center" vertical="center"/>
    </xf>
    <xf numFmtId="0" fontId="12" fillId="0" borderId="117" xfId="2" applyFont="1" applyBorder="1" applyAlignment="1">
      <alignment horizontal="left" vertical="center"/>
    </xf>
    <xf numFmtId="0" fontId="35" fillId="12" borderId="118" xfId="4" applyFont="1" applyFill="1" applyBorder="1">
      <alignment vertical="center"/>
    </xf>
    <xf numFmtId="0" fontId="37" fillId="0" borderId="117" xfId="4" applyFont="1" applyBorder="1" applyAlignment="1">
      <alignment horizontal="center" vertical="center"/>
    </xf>
    <xf numFmtId="0" fontId="36" fillId="7" borderId="118" xfId="4" applyFont="1" applyFill="1" applyBorder="1" applyAlignment="1">
      <alignment horizontal="center" vertical="center"/>
    </xf>
    <xf numFmtId="0" fontId="36" fillId="20" borderId="36" xfId="4" applyFont="1" applyFill="1" applyBorder="1" applyAlignment="1">
      <alignment horizontal="center" vertical="center"/>
    </xf>
    <xf numFmtId="0" fontId="12" fillId="21" borderId="119" xfId="2" applyFont="1" applyFill="1" applyBorder="1" applyAlignment="1">
      <alignment horizontal="center" vertical="center"/>
    </xf>
    <xf numFmtId="0" fontId="12" fillId="21" borderId="113" xfId="2" applyFont="1" applyFill="1" applyBorder="1" applyAlignment="1">
      <alignment horizontal="center" vertical="center"/>
    </xf>
    <xf numFmtId="0" fontId="12" fillId="22" borderId="120" xfId="2" applyFont="1" applyFill="1" applyBorder="1" applyAlignment="1">
      <alignment horizontal="center" vertical="center"/>
    </xf>
    <xf numFmtId="0" fontId="12" fillId="22" borderId="121" xfId="2" applyFont="1" applyFill="1" applyBorder="1" applyAlignment="1">
      <alignment horizontal="center" vertical="center"/>
    </xf>
    <xf numFmtId="0" fontId="12" fillId="22" borderId="122" xfId="2" applyFont="1" applyFill="1" applyBorder="1" applyAlignment="1">
      <alignment horizontal="center" vertical="center"/>
    </xf>
    <xf numFmtId="0" fontId="12" fillId="12" borderId="117" xfId="2" applyFont="1" applyFill="1" applyBorder="1" applyAlignment="1">
      <alignment horizontal="left"/>
    </xf>
    <xf numFmtId="0" fontId="12" fillId="9" borderId="117" xfId="2" applyFont="1" applyFill="1" applyBorder="1" applyAlignment="1">
      <alignment horizontal="left"/>
    </xf>
    <xf numFmtId="0" fontId="12" fillId="23" borderId="117" xfId="2" applyFont="1" applyFill="1" applyBorder="1" applyAlignment="1">
      <alignment horizontal="left"/>
    </xf>
    <xf numFmtId="0" fontId="35" fillId="23" borderId="118" xfId="4" applyFont="1" applyFill="1" applyBorder="1">
      <alignment vertical="center"/>
    </xf>
    <xf numFmtId="0" fontId="35" fillId="23" borderId="123" xfId="4" applyFont="1" applyFill="1" applyBorder="1">
      <alignment vertical="center"/>
    </xf>
    <xf numFmtId="0" fontId="37" fillId="0" borderId="124" xfId="4" applyFont="1" applyBorder="1" applyAlignment="1">
      <alignment horizontal="center" vertical="center"/>
    </xf>
    <xf numFmtId="0" fontId="36" fillId="7" borderId="123" xfId="4" applyFont="1" applyFill="1" applyBorder="1" applyAlignment="1">
      <alignment horizontal="center" vertical="center"/>
    </xf>
    <xf numFmtId="0" fontId="36" fillId="20" borderId="16" xfId="4" applyFont="1" applyFill="1" applyBorder="1" applyAlignment="1">
      <alignment horizontal="center" vertical="center"/>
    </xf>
    <xf numFmtId="0" fontId="12" fillId="21" borderId="125" xfId="2" applyFont="1" applyFill="1" applyBorder="1" applyAlignment="1">
      <alignment horizontal="center" vertical="center"/>
    </xf>
    <xf numFmtId="0" fontId="12" fillId="21" borderId="126" xfId="2" applyFont="1" applyFill="1" applyBorder="1" applyAlignment="1">
      <alignment horizontal="center" vertical="center"/>
    </xf>
    <xf numFmtId="0" fontId="12" fillId="22" borderId="126" xfId="2" applyFont="1" applyFill="1" applyBorder="1" applyAlignment="1">
      <alignment horizontal="center" vertical="center"/>
    </xf>
    <xf numFmtId="0" fontId="12" fillId="22" borderId="127" xfId="2" applyFont="1" applyFill="1" applyBorder="1" applyAlignment="1">
      <alignment horizontal="center" vertical="center"/>
    </xf>
    <xf numFmtId="0" fontId="12" fillId="22" borderId="128" xfId="2" applyFont="1" applyFill="1" applyBorder="1" applyAlignment="1">
      <alignment horizontal="center" vertical="center"/>
    </xf>
    <xf numFmtId="0" fontId="12" fillId="22" borderId="129" xfId="2" applyFont="1" applyFill="1" applyBorder="1" applyAlignment="1">
      <alignment horizontal="center" vertical="center"/>
    </xf>
    <xf numFmtId="0" fontId="35" fillId="23" borderId="63" xfId="4" applyFont="1" applyFill="1" applyBorder="1">
      <alignment vertical="center"/>
    </xf>
    <xf numFmtId="0" fontId="28" fillId="10" borderId="130" xfId="4" applyFont="1" applyFill="1" applyBorder="1" applyAlignment="1">
      <alignment horizontal="center" vertical="center"/>
    </xf>
    <xf numFmtId="0" fontId="36" fillId="7" borderId="63" xfId="4" applyFont="1" applyFill="1" applyBorder="1" applyAlignment="1">
      <alignment horizontal="center" vertical="center"/>
    </xf>
    <xf numFmtId="0" fontId="36" fillId="20" borderId="5" xfId="4" applyFont="1" applyFill="1" applyBorder="1" applyAlignment="1">
      <alignment horizontal="center" vertical="center"/>
    </xf>
    <xf numFmtId="0" fontId="12" fillId="21" borderId="131" xfId="2" applyFont="1" applyFill="1" applyBorder="1" applyAlignment="1">
      <alignment horizontal="center" vertical="center"/>
    </xf>
    <xf numFmtId="0" fontId="12" fillId="21" borderId="132" xfId="2" applyFont="1" applyFill="1" applyBorder="1" applyAlignment="1">
      <alignment horizontal="center" vertical="center"/>
    </xf>
    <xf numFmtId="0" fontId="12" fillId="22" borderId="132" xfId="2" applyFont="1" applyFill="1" applyBorder="1" applyAlignment="1">
      <alignment horizontal="center" vertical="center"/>
    </xf>
    <xf numFmtId="0" fontId="12" fillId="0" borderId="117" xfId="2" applyFont="1" applyBorder="1" applyAlignment="1">
      <alignment horizontal="left"/>
    </xf>
    <xf numFmtId="0" fontId="36" fillId="8" borderId="118" xfId="4" applyFont="1" applyFill="1" applyBorder="1">
      <alignment vertical="center"/>
    </xf>
    <xf numFmtId="0" fontId="28" fillId="10" borderId="101" xfId="4" applyFont="1" applyFill="1" applyBorder="1" applyAlignment="1">
      <alignment horizontal="center" vertical="center"/>
    </xf>
    <xf numFmtId="0" fontId="12" fillId="12" borderId="117" xfId="2" applyFont="1" applyFill="1" applyBorder="1"/>
    <xf numFmtId="0" fontId="35" fillId="23" borderId="63" xfId="2" applyFont="1" applyFill="1" applyBorder="1" applyAlignment="1">
      <alignment horizontal="left" vertical="center"/>
    </xf>
    <xf numFmtId="0" fontId="35" fillId="23" borderId="118" xfId="2" applyFont="1" applyFill="1" applyBorder="1" applyAlignment="1">
      <alignment horizontal="left" vertical="center"/>
    </xf>
    <xf numFmtId="0" fontId="35" fillId="23" borderId="123" xfId="2" applyFont="1" applyFill="1" applyBorder="1" applyAlignment="1">
      <alignment horizontal="left" vertical="center"/>
    </xf>
    <xf numFmtId="0" fontId="28" fillId="10" borderId="24" xfId="4" applyFont="1" applyFill="1" applyBorder="1" applyAlignment="1">
      <alignment horizontal="center" vertical="center"/>
    </xf>
    <xf numFmtId="0" fontId="35" fillId="23" borderId="17" xfId="2" applyFont="1" applyFill="1" applyBorder="1" applyAlignment="1">
      <alignment horizontal="left" vertical="center"/>
    </xf>
    <xf numFmtId="0" fontId="12" fillId="23" borderId="5" xfId="2" applyFont="1" applyFill="1" applyBorder="1" applyAlignment="1">
      <alignment vertical="center"/>
    </xf>
    <xf numFmtId="0" fontId="36" fillId="20" borderId="9" xfId="4" applyFont="1" applyFill="1" applyBorder="1" applyAlignment="1">
      <alignment horizontal="center" vertical="center"/>
    </xf>
    <xf numFmtId="0" fontId="35" fillId="23" borderId="74" xfId="2" applyFont="1" applyFill="1" applyBorder="1" applyAlignment="1">
      <alignment horizontal="left" vertical="center"/>
    </xf>
    <xf numFmtId="0" fontId="12" fillId="23" borderId="36" xfId="2" applyFont="1" applyFill="1" applyBorder="1" applyAlignment="1">
      <alignment vertical="center"/>
    </xf>
    <xf numFmtId="0" fontId="36" fillId="20" borderId="133" xfId="4" applyFont="1" applyFill="1" applyBorder="1" applyAlignment="1">
      <alignment horizontal="center" vertical="center"/>
    </xf>
    <xf numFmtId="0" fontId="12" fillId="12" borderId="134" xfId="2" applyFont="1" applyFill="1" applyBorder="1"/>
    <xf numFmtId="0" fontId="12" fillId="23" borderId="16" xfId="2" applyFont="1" applyFill="1" applyBorder="1" applyAlignment="1">
      <alignment vertical="center"/>
    </xf>
    <xf numFmtId="0" fontId="36" fillId="20" borderId="19" xfId="4" applyFont="1" applyFill="1" applyBorder="1" applyAlignment="1">
      <alignment horizontal="center" vertical="center"/>
    </xf>
    <xf numFmtId="0" fontId="12" fillId="22" borderId="135" xfId="2" applyFont="1" applyFill="1" applyBorder="1" applyAlignment="1">
      <alignment horizontal="center" vertical="center"/>
    </xf>
    <xf numFmtId="0" fontId="12" fillId="22" borderId="136" xfId="2" applyFont="1" applyFill="1" applyBorder="1" applyAlignment="1">
      <alignment horizontal="center" vertical="center"/>
    </xf>
    <xf numFmtId="0" fontId="12" fillId="22" borderId="137" xfId="2" applyFont="1" applyFill="1" applyBorder="1" applyAlignment="1">
      <alignment horizontal="center" vertical="center"/>
    </xf>
    <xf numFmtId="0" fontId="12" fillId="0" borderId="0" xfId="2" applyFont="1" applyAlignment="1">
      <alignment horizontal="right" vertical="center"/>
    </xf>
    <xf numFmtId="0" fontId="10" fillId="0" borderId="0" xfId="2" applyAlignment="1">
      <alignment vertical="center"/>
    </xf>
    <xf numFmtId="0" fontId="10" fillId="0" borderId="17" xfId="2" applyBorder="1" applyAlignment="1">
      <alignment vertical="center"/>
    </xf>
    <xf numFmtId="0" fontId="10" fillId="0" borderId="17" xfId="2" applyBorder="1"/>
    <xf numFmtId="0" fontId="29" fillId="24" borderId="61" xfId="2" applyFont="1" applyFill="1" applyBorder="1" applyAlignment="1">
      <alignment horizontal="center" vertical="center"/>
    </xf>
    <xf numFmtId="0" fontId="29" fillId="24" borderId="98" xfId="2" applyFont="1" applyFill="1" applyBorder="1" applyAlignment="1">
      <alignment horizontal="center" vertical="center"/>
    </xf>
    <xf numFmtId="0" fontId="29" fillId="24" borderId="65" xfId="2" applyFont="1" applyFill="1" applyBorder="1" applyAlignment="1">
      <alignment horizontal="center" vertical="center"/>
    </xf>
    <xf numFmtId="0" fontId="29" fillId="24" borderId="3" xfId="2" applyFont="1" applyFill="1" applyBorder="1" applyAlignment="1">
      <alignment horizontal="center" vertical="center"/>
    </xf>
    <xf numFmtId="0" fontId="29" fillId="24" borderId="66" xfId="2" applyFont="1" applyFill="1" applyBorder="1" applyAlignment="1">
      <alignment horizontal="center" vertical="center"/>
    </xf>
    <xf numFmtId="0" fontId="29" fillId="24" borderId="0" xfId="2" applyFont="1" applyFill="1" applyAlignment="1">
      <alignment horizontal="center" vertical="center"/>
    </xf>
    <xf numFmtId="0" fontId="29" fillId="24" borderId="68" xfId="2" applyFont="1" applyFill="1" applyBorder="1" applyAlignment="1">
      <alignment horizontal="center" vertical="center"/>
    </xf>
    <xf numFmtId="0" fontId="31" fillId="24" borderId="101" xfId="2" applyFont="1" applyFill="1" applyBorder="1" applyAlignment="1">
      <alignment horizontal="center" vertical="center"/>
    </xf>
    <xf numFmtId="0" fontId="30" fillId="10" borderId="20" xfId="2" applyFont="1" applyFill="1" applyBorder="1" applyAlignment="1">
      <alignment horizontal="center" vertical="center" wrapText="1"/>
    </xf>
    <xf numFmtId="0" fontId="30" fillId="10" borderId="50" xfId="2" applyFont="1" applyFill="1" applyBorder="1" applyAlignment="1">
      <alignment horizontal="center" vertical="center" wrapText="1"/>
    </xf>
    <xf numFmtId="0" fontId="30" fillId="12" borderId="50" xfId="2" applyFont="1" applyFill="1" applyBorder="1" applyAlignment="1">
      <alignment horizontal="center" vertical="center" wrapText="1"/>
    </xf>
    <xf numFmtId="0" fontId="30" fillId="12" borderId="138" xfId="2" applyFont="1" applyFill="1" applyBorder="1" applyAlignment="1">
      <alignment horizontal="center" vertical="center" wrapText="1"/>
    </xf>
    <xf numFmtId="0" fontId="30" fillId="10" borderId="139" xfId="2" applyFont="1" applyFill="1" applyBorder="1" applyAlignment="1">
      <alignment horizontal="center" vertical="center" wrapText="1"/>
    </xf>
    <xf numFmtId="0" fontId="31" fillId="24" borderId="101" xfId="2" quotePrefix="1" applyFont="1" applyFill="1" applyBorder="1" applyAlignment="1">
      <alignment horizontal="center" vertical="center"/>
    </xf>
    <xf numFmtId="0" fontId="30" fillId="12" borderId="139" xfId="2" applyFont="1" applyFill="1" applyBorder="1" applyAlignment="1">
      <alignment horizontal="center" vertical="center" wrapText="1"/>
    </xf>
    <xf numFmtId="0" fontId="29" fillId="24" borderId="88" xfId="2" applyFont="1" applyFill="1" applyBorder="1" applyAlignment="1">
      <alignment horizontal="center" vertical="center"/>
    </xf>
    <xf numFmtId="0" fontId="29" fillId="24" borderId="97" xfId="2" applyFont="1" applyFill="1" applyBorder="1" applyAlignment="1">
      <alignment horizontal="center" vertical="center"/>
    </xf>
    <xf numFmtId="0" fontId="29" fillId="24" borderId="89" xfId="2" applyFont="1" applyFill="1" applyBorder="1" applyAlignment="1">
      <alignment horizontal="center" vertical="center"/>
    </xf>
    <xf numFmtId="0" fontId="31" fillId="24" borderId="14" xfId="2" applyFont="1" applyFill="1" applyBorder="1" applyAlignment="1">
      <alignment horizontal="center" vertical="center"/>
    </xf>
    <xf numFmtId="0" fontId="13" fillId="0" borderId="61" xfId="2" applyFont="1" applyBorder="1" applyAlignment="1">
      <alignment horizontal="center" vertical="center"/>
    </xf>
    <xf numFmtId="0" fontId="12" fillId="0" borderId="69" xfId="2" applyFont="1" applyBorder="1" applyAlignment="1">
      <alignment horizontal="left" vertical="center" wrapText="1"/>
    </xf>
    <xf numFmtId="0" fontId="36" fillId="25" borderId="140" xfId="4" applyFont="1" applyFill="1" applyBorder="1" applyAlignment="1">
      <alignment horizontal="left" vertical="center"/>
    </xf>
    <xf numFmtId="0" fontId="12" fillId="9" borderId="141" xfId="2" applyFont="1" applyFill="1" applyBorder="1" applyAlignment="1">
      <alignment horizontal="center" vertical="center"/>
    </xf>
    <xf numFmtId="0" fontId="36" fillId="7" borderId="36" xfId="4" applyFont="1" applyFill="1" applyBorder="1" applyAlignment="1">
      <alignment horizontal="center" vertical="center"/>
    </xf>
    <xf numFmtId="0" fontId="12" fillId="21" borderId="142" xfId="2" applyFont="1" applyFill="1" applyBorder="1" applyAlignment="1">
      <alignment horizontal="center" vertical="center"/>
    </xf>
    <xf numFmtId="0" fontId="12" fillId="0" borderId="69" xfId="2" applyFont="1" applyBorder="1" applyAlignment="1">
      <alignment horizontal="left" vertical="center"/>
    </xf>
    <xf numFmtId="0" fontId="12" fillId="9" borderId="133" xfId="2" applyFont="1" applyFill="1" applyBorder="1" applyAlignment="1">
      <alignment horizontal="center" vertical="center"/>
    </xf>
    <xf numFmtId="0" fontId="36" fillId="20" borderId="69" xfId="4" applyFont="1" applyFill="1" applyBorder="1" applyAlignment="1">
      <alignment horizontal="center" vertical="center"/>
    </xf>
    <xf numFmtId="0" fontId="12" fillId="21" borderId="143" xfId="2" applyFont="1" applyFill="1" applyBorder="1" applyAlignment="1">
      <alignment horizontal="center" vertical="center"/>
    </xf>
    <xf numFmtId="0" fontId="12" fillId="12" borderId="69" xfId="2" applyFont="1" applyFill="1" applyBorder="1" applyAlignment="1">
      <alignment horizontal="left" vertical="center"/>
    </xf>
    <xf numFmtId="0" fontId="36" fillId="25" borderId="144" xfId="4" applyFont="1" applyFill="1" applyBorder="1">
      <alignment vertical="center"/>
    </xf>
    <xf numFmtId="0" fontId="12" fillId="9" borderId="69" xfId="2" applyFont="1" applyFill="1" applyBorder="1" applyAlignment="1">
      <alignment horizontal="left" vertical="center"/>
    </xf>
    <xf numFmtId="0" fontId="12" fillId="9" borderId="25" xfId="2" applyFont="1" applyFill="1" applyBorder="1" applyAlignment="1">
      <alignment horizontal="center" vertical="center"/>
    </xf>
    <xf numFmtId="0" fontId="12" fillId="0" borderId="69" xfId="2" applyFont="1" applyBorder="1" applyAlignment="1">
      <alignment horizontal="left" vertical="center"/>
    </xf>
    <xf numFmtId="0" fontId="36" fillId="25" borderId="44" xfId="4" applyFont="1" applyFill="1" applyBorder="1" applyAlignment="1">
      <alignment horizontal="left" vertical="center"/>
    </xf>
    <xf numFmtId="0" fontId="35" fillId="12" borderId="44" xfId="4" applyFont="1" applyFill="1" applyBorder="1" applyAlignment="1">
      <alignment horizontal="left" vertical="center"/>
    </xf>
    <xf numFmtId="0" fontId="36" fillId="25" borderId="145" xfId="4" applyFont="1" applyFill="1" applyBorder="1">
      <alignment vertical="center"/>
    </xf>
    <xf numFmtId="0" fontId="12" fillId="9" borderId="19" xfId="2" applyFont="1" applyFill="1" applyBorder="1" applyAlignment="1">
      <alignment horizontal="center" vertical="center"/>
    </xf>
    <xf numFmtId="0" fontId="36" fillId="20" borderId="146" xfId="4" applyFont="1" applyFill="1" applyBorder="1" applyAlignment="1">
      <alignment horizontal="center" vertical="center"/>
    </xf>
    <xf numFmtId="0" fontId="12" fillId="21" borderId="147" xfId="2" applyFont="1" applyFill="1" applyBorder="1" applyAlignment="1">
      <alignment horizontal="center" vertical="center"/>
    </xf>
    <xf numFmtId="0" fontId="36" fillId="8" borderId="148" xfId="4" applyFont="1" applyFill="1" applyBorder="1">
      <alignment vertical="center"/>
    </xf>
    <xf numFmtId="0" fontId="12" fillId="9" borderId="5" xfId="2" applyFont="1" applyFill="1" applyBorder="1" applyAlignment="1">
      <alignment vertical="center"/>
    </xf>
    <xf numFmtId="0" fontId="36" fillId="7" borderId="5" xfId="4" applyFont="1" applyFill="1" applyBorder="1" applyAlignment="1">
      <alignment horizontal="center" vertical="center"/>
    </xf>
    <xf numFmtId="0" fontId="36" fillId="20" borderId="63" xfId="4" applyFont="1" applyFill="1" applyBorder="1" applyAlignment="1">
      <alignment horizontal="center" vertical="center"/>
    </xf>
    <xf numFmtId="0" fontId="12" fillId="21" borderId="149" xfId="2" applyFont="1" applyFill="1" applyBorder="1" applyAlignment="1">
      <alignment horizontal="center" vertical="center"/>
    </xf>
    <xf numFmtId="0" fontId="12" fillId="21" borderId="150" xfId="2" applyFont="1" applyFill="1" applyBorder="1" applyAlignment="1">
      <alignment horizontal="center" vertical="center"/>
    </xf>
    <xf numFmtId="0" fontId="36" fillId="8" borderId="140" xfId="4" applyFont="1" applyFill="1" applyBorder="1">
      <alignment vertical="center"/>
    </xf>
    <xf numFmtId="0" fontId="12" fillId="9" borderId="36" xfId="2" applyFont="1" applyFill="1" applyBorder="1" applyAlignment="1">
      <alignment vertical="center"/>
    </xf>
    <xf numFmtId="0" fontId="36" fillId="20" borderId="118" xfId="4" applyFont="1" applyFill="1" applyBorder="1" applyAlignment="1">
      <alignment horizontal="center" vertical="center"/>
    </xf>
    <xf numFmtId="0" fontId="12" fillId="9" borderId="44" xfId="2" applyFont="1" applyFill="1" applyBorder="1" applyAlignment="1">
      <alignment vertical="center"/>
    </xf>
    <xf numFmtId="0" fontId="23" fillId="15" borderId="69" xfId="1" applyFont="1" applyFill="1" applyBorder="1" applyAlignment="1">
      <alignment horizontal="left" vertical="center" wrapText="1"/>
    </xf>
    <xf numFmtId="0" fontId="36" fillId="9" borderId="36" xfId="2" applyFont="1" applyFill="1" applyBorder="1" applyAlignment="1">
      <alignment vertical="center"/>
    </xf>
    <xf numFmtId="0" fontId="23" fillId="12" borderId="69" xfId="1" applyFont="1" applyFill="1" applyBorder="1" applyAlignment="1">
      <alignment horizontal="left" vertical="center" wrapText="1"/>
    </xf>
    <xf numFmtId="0" fontId="37" fillId="9" borderId="36" xfId="2" applyFont="1" applyFill="1" applyBorder="1" applyAlignment="1">
      <alignment vertical="center"/>
    </xf>
    <xf numFmtId="0" fontId="36" fillId="9" borderId="140" xfId="4" applyFont="1" applyFill="1" applyBorder="1">
      <alignment vertical="center"/>
    </xf>
    <xf numFmtId="0" fontId="16" fillId="9" borderId="36" xfId="2" applyFont="1" applyFill="1" applyBorder="1" applyAlignment="1">
      <alignment horizontal="left"/>
    </xf>
    <xf numFmtId="0" fontId="36" fillId="8" borderId="145" xfId="4" applyFont="1" applyFill="1" applyBorder="1">
      <alignment vertical="center"/>
    </xf>
    <xf numFmtId="0" fontId="36" fillId="9" borderId="16" xfId="2" applyFont="1" applyFill="1" applyBorder="1" applyAlignment="1">
      <alignment vertical="center"/>
    </xf>
    <xf numFmtId="0" fontId="36" fillId="7" borderId="16" xfId="4" applyFont="1" applyFill="1" applyBorder="1" applyAlignment="1">
      <alignment horizontal="center" vertical="center"/>
    </xf>
    <xf numFmtId="0" fontId="36" fillId="20" borderId="123" xfId="4" applyFont="1" applyFill="1" applyBorder="1" applyAlignment="1">
      <alignment horizontal="center" vertical="center"/>
    </xf>
    <xf numFmtId="0" fontId="36" fillId="8" borderId="151" xfId="4" applyFont="1" applyFill="1" applyBorder="1">
      <alignment vertical="center"/>
    </xf>
    <xf numFmtId="0" fontId="12" fillId="9" borderId="9" xfId="2" applyFont="1" applyFill="1" applyBorder="1" applyAlignment="1">
      <alignment vertical="center"/>
    </xf>
    <xf numFmtId="0" fontId="35" fillId="26" borderId="140" xfId="4" applyFont="1" applyFill="1" applyBorder="1">
      <alignment vertical="center"/>
    </xf>
    <xf numFmtId="0" fontId="35" fillId="23" borderId="140" xfId="2" applyFont="1" applyFill="1" applyBorder="1" applyAlignment="1">
      <alignment horizontal="left" vertical="center"/>
    </xf>
    <xf numFmtId="0" fontId="35" fillId="26" borderId="140" xfId="2" applyFont="1" applyFill="1" applyBorder="1" applyAlignment="1">
      <alignment horizontal="left" vertical="center"/>
    </xf>
    <xf numFmtId="0" fontId="35" fillId="12" borderId="140" xfId="2" applyFont="1" applyFill="1" applyBorder="1" applyAlignment="1">
      <alignment horizontal="left" vertical="center"/>
    </xf>
    <xf numFmtId="0" fontId="35" fillId="23" borderId="145" xfId="2" applyFont="1" applyFill="1" applyBorder="1" applyAlignment="1">
      <alignment horizontal="left" vertical="center"/>
    </xf>
    <xf numFmtId="0" fontId="12" fillId="9" borderId="16" xfId="2" applyFont="1" applyFill="1" applyBorder="1" applyAlignment="1">
      <alignment vertical="center"/>
    </xf>
    <xf numFmtId="0" fontId="36" fillId="20" borderId="148" xfId="2" applyFont="1" applyFill="1" applyBorder="1" applyAlignment="1">
      <alignment horizontal="left" vertical="center"/>
    </xf>
    <xf numFmtId="0" fontId="36" fillId="9" borderId="9" xfId="2" applyFont="1" applyFill="1" applyBorder="1" applyAlignment="1">
      <alignment horizontal="center" vertical="center"/>
    </xf>
    <xf numFmtId="0" fontId="36" fillId="20" borderId="140" xfId="2" applyFont="1" applyFill="1" applyBorder="1" applyAlignment="1">
      <alignment horizontal="left" vertical="center"/>
    </xf>
    <xf numFmtId="0" fontId="36" fillId="9" borderId="133" xfId="2" applyFont="1" applyFill="1" applyBorder="1" applyAlignment="1">
      <alignment horizontal="center" vertical="center"/>
    </xf>
    <xf numFmtId="0" fontId="36" fillId="20" borderId="145" xfId="2" applyFont="1" applyFill="1" applyBorder="1" applyAlignment="1">
      <alignment horizontal="left" vertical="center"/>
    </xf>
    <xf numFmtId="0" fontId="36" fillId="9" borderId="19" xfId="2" applyFont="1" applyFill="1" applyBorder="1" applyAlignment="1">
      <alignment horizontal="center" vertical="center"/>
    </xf>
    <xf numFmtId="0" fontId="35" fillId="26" borderId="145" xfId="2" applyFont="1" applyFill="1" applyBorder="1" applyAlignment="1">
      <alignment horizontal="left" vertical="center"/>
    </xf>
    <xf numFmtId="0" fontId="35" fillId="26" borderId="148" xfId="2" applyFont="1" applyFill="1" applyBorder="1" applyAlignment="1">
      <alignment horizontal="left" vertical="center"/>
    </xf>
    <xf numFmtId="0" fontId="36" fillId="9" borderId="9" xfId="2" applyFont="1" applyFill="1" applyBorder="1" applyAlignment="1">
      <alignment horizontal="center" vertical="center" wrapText="1"/>
    </xf>
    <xf numFmtId="0" fontId="35" fillId="12" borderId="145" xfId="2" applyFont="1" applyFill="1" applyBorder="1" applyAlignment="1">
      <alignment horizontal="left" vertical="center"/>
    </xf>
    <xf numFmtId="0" fontId="36" fillId="12" borderId="9" xfId="2" applyFont="1" applyFill="1" applyBorder="1" applyAlignment="1">
      <alignment horizontal="center" vertical="center"/>
    </xf>
    <xf numFmtId="0" fontId="36" fillId="12" borderId="133" xfId="2" applyFont="1" applyFill="1" applyBorder="1" applyAlignment="1">
      <alignment horizontal="center" vertical="center"/>
    </xf>
    <xf numFmtId="0" fontId="36" fillId="12" borderId="19" xfId="2" applyFont="1" applyFill="1" applyBorder="1" applyAlignment="1">
      <alignment horizontal="center" vertical="center"/>
    </xf>
    <xf numFmtId="0" fontId="35" fillId="23" borderId="148" xfId="2" applyFont="1" applyFill="1" applyBorder="1" applyAlignment="1">
      <alignment horizontal="left" vertical="center"/>
    </xf>
    <xf numFmtId="0" fontId="29" fillId="18" borderId="152" xfId="2" applyFont="1" applyFill="1" applyBorder="1" applyAlignment="1">
      <alignment horizontal="center" vertical="center"/>
    </xf>
    <xf numFmtId="0" fontId="40" fillId="27" borderId="153" xfId="5" applyFont="1" applyFill="1" applyBorder="1" applyAlignment="1">
      <alignment horizontal="center"/>
    </xf>
    <xf numFmtId="0" fontId="40" fillId="27" borderId="154" xfId="5" applyFont="1" applyFill="1" applyBorder="1" applyAlignment="1">
      <alignment horizontal="center"/>
    </xf>
    <xf numFmtId="0" fontId="40" fillId="27" borderId="155" xfId="5" applyFont="1" applyFill="1" applyBorder="1" applyAlignment="1">
      <alignment horizontal="center"/>
    </xf>
    <xf numFmtId="0" fontId="13" fillId="0" borderId="156" xfId="2" applyFont="1" applyBorder="1" applyAlignment="1">
      <alignment horizontal="center" vertical="center"/>
    </xf>
    <xf numFmtId="0" fontId="13" fillId="0" borderId="157" xfId="2" applyFont="1" applyBorder="1" applyAlignment="1">
      <alignment horizontal="center" vertical="center"/>
    </xf>
    <xf numFmtId="0" fontId="40" fillId="10" borderId="158" xfId="5" applyFont="1" applyFill="1" applyBorder="1" applyAlignment="1"/>
    <xf numFmtId="0" fontId="40" fillId="10" borderId="159" xfId="5" applyFont="1" applyFill="1" applyBorder="1" applyAlignment="1">
      <alignment horizontal="center"/>
    </xf>
    <xf numFmtId="0" fontId="40" fillId="10" borderId="160" xfId="5" applyFont="1" applyFill="1" applyBorder="1" applyAlignment="1"/>
    <xf numFmtId="0" fontId="10" fillId="23" borderId="36" xfId="2" applyFill="1" applyBorder="1"/>
    <xf numFmtId="0" fontId="36" fillId="10" borderId="35" xfId="1" applyFont="1" applyFill="1" applyBorder="1" applyAlignment="1">
      <alignment horizontal="left" vertical="center"/>
    </xf>
    <xf numFmtId="0" fontId="12" fillId="23" borderId="25" xfId="2" applyFont="1" applyFill="1" applyBorder="1" applyAlignment="1">
      <alignment vertical="center"/>
    </xf>
    <xf numFmtId="0" fontId="12" fillId="21" borderId="36" xfId="2" applyFont="1" applyFill="1" applyBorder="1" applyAlignment="1">
      <alignment horizontal="center" vertical="center"/>
    </xf>
    <xf numFmtId="0" fontId="40" fillId="10" borderId="140" xfId="5" applyFont="1" applyFill="1" applyBorder="1" applyAlignment="1"/>
    <xf numFmtId="0" fontId="40" fillId="10" borderId="36" xfId="5" applyFont="1" applyFill="1" applyBorder="1" applyAlignment="1">
      <alignment horizontal="center"/>
    </xf>
    <xf numFmtId="0" fontId="40" fillId="10" borderId="161" xfId="5" applyFont="1" applyFill="1" applyBorder="1" applyAlignment="1"/>
    <xf numFmtId="0" fontId="36" fillId="23" borderId="44" xfId="1" applyFont="1" applyFill="1" applyBorder="1" applyAlignment="1">
      <alignment horizontal="left" vertical="center"/>
    </xf>
    <xf numFmtId="0" fontId="40" fillId="10" borderId="151" xfId="5" applyFont="1" applyFill="1" applyBorder="1" applyAlignment="1"/>
    <xf numFmtId="0" fontId="40" fillId="10" borderId="25" xfId="5" applyFont="1" applyFill="1" applyBorder="1" applyAlignment="1">
      <alignment horizontal="center"/>
    </xf>
    <xf numFmtId="0" fontId="40" fillId="10" borderId="162" xfId="5" applyFont="1" applyFill="1" applyBorder="1" applyAlignment="1"/>
    <xf numFmtId="0" fontId="36" fillId="10" borderId="44" xfId="1" applyFont="1" applyFill="1" applyBorder="1" applyAlignment="1">
      <alignment horizontal="left" vertical="center"/>
    </xf>
    <xf numFmtId="0" fontId="40" fillId="10" borderId="163" xfId="5" applyFont="1" applyFill="1" applyBorder="1" applyAlignment="1"/>
    <xf numFmtId="0" fontId="40" fillId="10" borderId="141" xfId="5" applyFont="1" applyFill="1" applyBorder="1" applyAlignment="1">
      <alignment horizontal="center"/>
    </xf>
    <xf numFmtId="0" fontId="40" fillId="10" borderId="164" xfId="5" applyFont="1" applyFill="1" applyBorder="1" applyAlignment="1"/>
    <xf numFmtId="0" fontId="40" fillId="12" borderId="140" xfId="5" applyFont="1" applyFill="1" applyBorder="1" applyAlignment="1"/>
    <xf numFmtId="0" fontId="40" fillId="12" borderId="36" xfId="5" applyFont="1" applyFill="1" applyBorder="1" applyAlignment="1">
      <alignment horizontal="center"/>
    </xf>
    <xf numFmtId="0" fontId="41" fillId="12" borderId="165" xfId="5" applyFont="1" applyFill="1" applyBorder="1" applyAlignment="1"/>
    <xf numFmtId="0" fontId="10" fillId="12" borderId="36" xfId="2" applyFill="1" applyBorder="1"/>
    <xf numFmtId="0" fontId="40" fillId="12" borderId="166" xfId="5" applyFont="1" applyFill="1" applyBorder="1" applyAlignment="1"/>
    <xf numFmtId="0" fontId="40" fillId="12" borderId="167" xfId="5" applyFont="1" applyFill="1" applyBorder="1" applyAlignment="1">
      <alignment horizontal="center"/>
    </xf>
    <xf numFmtId="0" fontId="41" fillId="12" borderId="168" xfId="5" applyFont="1" applyFill="1" applyBorder="1" applyAlignment="1"/>
    <xf numFmtId="0" fontId="36" fillId="23" borderId="15" xfId="1" applyFont="1" applyFill="1" applyBorder="1" applyAlignment="1">
      <alignment horizontal="left" vertical="center"/>
    </xf>
    <xf numFmtId="0" fontId="12" fillId="21" borderId="16" xfId="2" applyFont="1" applyFill="1" applyBorder="1" applyAlignment="1">
      <alignment horizontal="center" vertical="center"/>
    </xf>
    <xf numFmtId="0" fontId="10" fillId="0" borderId="141" xfId="2" applyBorder="1" applyAlignment="1">
      <alignment horizontal="center" vertical="center" wrapText="1"/>
    </xf>
    <xf numFmtId="0" fontId="36" fillId="28" borderId="4" xfId="1" applyFont="1" applyFill="1" applyBorder="1" applyAlignment="1">
      <alignment horizontal="left" vertical="center"/>
    </xf>
    <xf numFmtId="0" fontId="12" fillId="21" borderId="5" xfId="2" applyFont="1" applyFill="1" applyBorder="1" applyAlignment="1">
      <alignment horizontal="center" vertical="center"/>
    </xf>
    <xf numFmtId="0" fontId="10" fillId="0" borderId="133" xfId="2" applyBorder="1" applyAlignment="1">
      <alignment horizontal="center" vertical="center" wrapText="1"/>
    </xf>
    <xf numFmtId="0" fontId="36" fillId="28" borderId="44" xfId="1" applyFont="1" applyFill="1" applyBorder="1" applyAlignment="1">
      <alignment horizontal="left" vertical="center"/>
    </xf>
    <xf numFmtId="0" fontId="42" fillId="12" borderId="165" xfId="5" applyFont="1" applyFill="1" applyBorder="1" applyAlignment="1"/>
    <xf numFmtId="0" fontId="36" fillId="28" borderId="15" xfId="1" applyFont="1" applyFill="1" applyBorder="1" applyAlignment="1">
      <alignment horizontal="left" vertical="center"/>
    </xf>
    <xf numFmtId="0" fontId="10" fillId="0" borderId="25" xfId="2" applyBorder="1" applyAlignment="1">
      <alignment horizontal="center" vertical="center" wrapText="1"/>
    </xf>
    <xf numFmtId="0" fontId="36" fillId="23" borderId="74" xfId="2" applyFont="1" applyFill="1" applyBorder="1" applyAlignment="1">
      <alignment horizontal="left" vertical="center"/>
    </xf>
    <xf numFmtId="0" fontId="36" fillId="23" borderId="123" xfId="2" applyFont="1" applyFill="1" applyBorder="1" applyAlignment="1">
      <alignment horizontal="left" vertical="center"/>
    </xf>
    <xf numFmtId="0" fontId="36" fillId="23" borderId="17" xfId="2" applyFont="1" applyFill="1" applyBorder="1" applyAlignment="1">
      <alignment horizontal="left" vertical="center"/>
    </xf>
    <xf numFmtId="0" fontId="10" fillId="0" borderId="2" xfId="2" applyBorder="1" applyAlignment="1">
      <alignment vertical="center"/>
    </xf>
    <xf numFmtId="0" fontId="29" fillId="29" borderId="61" xfId="2" applyFont="1" applyFill="1" applyBorder="1" applyAlignment="1">
      <alignment horizontal="center" vertical="center"/>
    </xf>
    <xf numFmtId="0" fontId="29" fillId="29" borderId="98" xfId="2" applyFont="1" applyFill="1" applyBorder="1" applyAlignment="1">
      <alignment horizontal="center" vertical="center"/>
    </xf>
    <xf numFmtId="0" fontId="29" fillId="29" borderId="65" xfId="2" applyFont="1" applyFill="1" applyBorder="1" applyAlignment="1">
      <alignment horizontal="center" vertical="center"/>
    </xf>
    <xf numFmtId="0" fontId="29" fillId="29" borderId="152" xfId="2" applyFont="1" applyFill="1" applyBorder="1" applyAlignment="1">
      <alignment horizontal="center" vertical="center"/>
    </xf>
    <xf numFmtId="0" fontId="29" fillId="29" borderId="66" xfId="2" applyFont="1" applyFill="1" applyBorder="1" applyAlignment="1">
      <alignment horizontal="center" vertical="center"/>
    </xf>
    <xf numFmtId="0" fontId="29" fillId="29" borderId="0" xfId="2" applyFont="1" applyFill="1" applyAlignment="1">
      <alignment horizontal="center" vertical="center"/>
    </xf>
    <xf numFmtId="0" fontId="29" fillId="29" borderId="68" xfId="2" applyFont="1" applyFill="1" applyBorder="1" applyAlignment="1">
      <alignment horizontal="center" vertical="center"/>
    </xf>
    <xf numFmtId="0" fontId="31" fillId="29" borderId="102" xfId="2" applyFont="1" applyFill="1" applyBorder="1" applyAlignment="1">
      <alignment horizontal="center" vertical="center"/>
    </xf>
    <xf numFmtId="0" fontId="31" fillId="29" borderId="102" xfId="2" quotePrefix="1" applyFont="1" applyFill="1" applyBorder="1" applyAlignment="1">
      <alignment horizontal="center" vertical="center"/>
    </xf>
    <xf numFmtId="0" fontId="29" fillId="29" borderId="88" xfId="2" applyFont="1" applyFill="1" applyBorder="1" applyAlignment="1">
      <alignment horizontal="center" vertical="center"/>
    </xf>
    <xf numFmtId="0" fontId="29" fillId="29" borderId="97" xfId="2" applyFont="1" applyFill="1" applyBorder="1" applyAlignment="1">
      <alignment horizontal="center" vertical="center"/>
    </xf>
    <xf numFmtId="0" fontId="29" fillId="29" borderId="89" xfId="2" applyFont="1" applyFill="1" applyBorder="1" applyAlignment="1">
      <alignment horizontal="center" vertical="center"/>
    </xf>
    <xf numFmtId="0" fontId="10" fillId="9" borderId="0" xfId="2" applyFill="1"/>
    <xf numFmtId="0" fontId="13" fillId="0" borderId="36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0" fontId="13" fillId="0" borderId="169" xfId="2" applyFont="1" applyBorder="1" applyAlignment="1">
      <alignment horizontal="center" vertical="center"/>
    </xf>
    <xf numFmtId="0" fontId="23" fillId="0" borderId="169" xfId="2" applyFont="1" applyBorder="1" applyAlignment="1">
      <alignment horizontal="center" vertical="center"/>
    </xf>
    <xf numFmtId="0" fontId="13" fillId="0" borderId="170" xfId="2" applyFont="1" applyBorder="1" applyAlignment="1">
      <alignment horizontal="center" vertical="center"/>
    </xf>
    <xf numFmtId="0" fontId="10" fillId="0" borderId="10" xfId="2" applyBorder="1"/>
    <xf numFmtId="0" fontId="36" fillId="7" borderId="12" xfId="1" applyFont="1" applyFill="1" applyBorder="1" applyAlignment="1">
      <alignment horizontal="left" vertical="center"/>
    </xf>
    <xf numFmtId="0" fontId="12" fillId="9" borderId="171" xfId="2" applyFont="1" applyFill="1" applyBorder="1" applyAlignment="1">
      <alignment vertical="center"/>
    </xf>
    <xf numFmtId="0" fontId="43" fillId="7" borderId="5" xfId="4" applyFont="1" applyFill="1" applyBorder="1" applyAlignment="1">
      <alignment horizontal="center" vertical="center"/>
    </xf>
    <xf numFmtId="0" fontId="36" fillId="20" borderId="64" xfId="4" applyFont="1" applyFill="1" applyBorder="1" applyAlignment="1">
      <alignment horizontal="center" vertical="center"/>
    </xf>
    <xf numFmtId="0" fontId="9" fillId="30" borderId="132" xfId="1" applyFont="1" applyFill="1" applyBorder="1" applyAlignment="1">
      <alignment horizontal="center" vertical="center"/>
    </xf>
    <xf numFmtId="0" fontId="10" fillId="0" borderId="102" xfId="2" applyBorder="1"/>
    <xf numFmtId="0" fontId="36" fillId="7" borderId="172" xfId="1" applyFont="1" applyFill="1" applyBorder="1" applyAlignment="1">
      <alignment horizontal="left" vertical="center"/>
    </xf>
    <xf numFmtId="0" fontId="12" fillId="9" borderId="69" xfId="2" applyFont="1" applyFill="1" applyBorder="1" applyAlignment="1">
      <alignment vertical="center"/>
    </xf>
    <xf numFmtId="0" fontId="43" fillId="7" borderId="36" xfId="4" applyFont="1" applyFill="1" applyBorder="1" applyAlignment="1">
      <alignment horizontal="center" vertical="center"/>
    </xf>
    <xf numFmtId="0" fontId="36" fillId="20" borderId="173" xfId="4" applyFont="1" applyFill="1" applyBorder="1" applyAlignment="1">
      <alignment horizontal="center" vertical="center"/>
    </xf>
    <xf numFmtId="0" fontId="9" fillId="30" borderId="113" xfId="1" applyFont="1" applyFill="1" applyBorder="1" applyAlignment="1">
      <alignment horizontal="center" vertical="center"/>
    </xf>
    <xf numFmtId="0" fontId="12" fillId="12" borderId="36" xfId="2" applyFont="1" applyFill="1" applyBorder="1" applyAlignment="1">
      <alignment horizontal="center" vertical="center"/>
    </xf>
    <xf numFmtId="0" fontId="36" fillId="23" borderId="172" xfId="1" applyFont="1" applyFill="1" applyBorder="1" applyAlignment="1">
      <alignment horizontal="left" vertical="center"/>
    </xf>
    <xf numFmtId="0" fontId="12" fillId="0" borderId="0" xfId="2" applyFont="1"/>
    <xf numFmtId="0" fontId="43" fillId="7" borderId="118" xfId="4" applyFont="1" applyFill="1" applyBorder="1" applyAlignment="1">
      <alignment horizontal="center" vertical="center"/>
    </xf>
    <xf numFmtId="0" fontId="40" fillId="27" borderId="174" xfId="5" applyFont="1" applyFill="1" applyBorder="1" applyAlignment="1">
      <alignment horizontal="center"/>
    </xf>
    <xf numFmtId="0" fontId="40" fillId="0" borderId="0" xfId="5" applyFont="1" applyAlignment="1">
      <alignment horizontal="center"/>
    </xf>
    <xf numFmtId="0" fontId="10" fillId="0" borderId="20" xfId="2" applyBorder="1"/>
    <xf numFmtId="0" fontId="36" fillId="23" borderId="22" xfId="1" applyFont="1" applyFill="1" applyBorder="1" applyAlignment="1">
      <alignment horizontal="left" vertical="center"/>
    </xf>
    <xf numFmtId="0" fontId="43" fillId="7" borderId="123" xfId="4" applyFont="1" applyFill="1" applyBorder="1" applyAlignment="1">
      <alignment horizontal="center" vertical="center"/>
    </xf>
    <xf numFmtId="0" fontId="36" fillId="20" borderId="67" xfId="4" applyFont="1" applyFill="1" applyBorder="1" applyAlignment="1">
      <alignment horizontal="center" vertical="center"/>
    </xf>
    <xf numFmtId="0" fontId="9" fillId="30" borderId="126" xfId="1" applyFont="1" applyFill="1" applyBorder="1" applyAlignment="1">
      <alignment horizontal="center" vertical="center"/>
    </xf>
    <xf numFmtId="0" fontId="12" fillId="0" borderId="36" xfId="2" applyFont="1" applyBorder="1" applyAlignment="1">
      <alignment horizontal="center"/>
    </xf>
    <xf numFmtId="0" fontId="40" fillId="10" borderId="175" xfId="5" applyFont="1" applyFill="1" applyBorder="1" applyAlignment="1"/>
    <xf numFmtId="0" fontId="40" fillId="0" borderId="0" xfId="5" applyFont="1" applyAlignment="1"/>
    <xf numFmtId="0" fontId="12" fillId="0" borderId="36" xfId="2" applyFont="1" applyBorder="1" applyAlignment="1">
      <alignment horizontal="center" vertical="center"/>
    </xf>
    <xf numFmtId="0" fontId="28" fillId="0" borderId="10" xfId="2" applyFont="1" applyBorder="1" applyAlignment="1">
      <alignment horizontal="center" vertical="center"/>
    </xf>
    <xf numFmtId="0" fontId="36" fillId="28" borderId="12" xfId="1" applyFont="1" applyFill="1" applyBorder="1" applyAlignment="1">
      <alignment horizontal="left" vertical="center"/>
    </xf>
    <xf numFmtId="0" fontId="40" fillId="10" borderId="44" xfId="5" applyFont="1" applyFill="1" applyBorder="1" applyAlignment="1"/>
    <xf numFmtId="0" fontId="28" fillId="0" borderId="102" xfId="2" applyFont="1" applyBorder="1" applyAlignment="1">
      <alignment horizontal="center" vertical="center"/>
    </xf>
    <xf numFmtId="0" fontId="36" fillId="28" borderId="172" xfId="1" applyFont="1" applyFill="1" applyBorder="1" applyAlignment="1">
      <alignment horizontal="left" vertical="center"/>
    </xf>
    <xf numFmtId="0" fontId="40" fillId="10" borderId="35" xfId="5" applyFont="1" applyFill="1" applyBorder="1" applyAlignment="1"/>
    <xf numFmtId="0" fontId="12" fillId="11" borderId="36" xfId="2" applyFont="1" applyFill="1" applyBorder="1" applyAlignment="1">
      <alignment horizontal="center"/>
    </xf>
    <xf numFmtId="0" fontId="40" fillId="10" borderId="90" xfId="5" applyFont="1" applyFill="1" applyBorder="1" applyAlignment="1"/>
    <xf numFmtId="0" fontId="12" fillId="23" borderId="36" xfId="2" applyFont="1" applyFill="1" applyBorder="1" applyAlignment="1">
      <alignment horizontal="center" vertical="center"/>
    </xf>
    <xf numFmtId="0" fontId="12" fillId="12" borderId="36" xfId="2" applyFont="1" applyFill="1" applyBorder="1" applyAlignment="1">
      <alignment horizontal="center"/>
    </xf>
    <xf numFmtId="0" fontId="40" fillId="12" borderId="44" xfId="5" applyFont="1" applyFill="1" applyBorder="1" applyAlignment="1"/>
    <xf numFmtId="0" fontId="40" fillId="12" borderId="161" xfId="5" applyFont="1" applyFill="1" applyBorder="1" applyAlignment="1"/>
    <xf numFmtId="0" fontId="42" fillId="0" borderId="0" xfId="5" applyFont="1" applyAlignment="1"/>
    <xf numFmtId="0" fontId="41" fillId="0" borderId="0" xfId="5" applyFont="1" applyAlignment="1"/>
    <xf numFmtId="0" fontId="40" fillId="12" borderId="176" xfId="5" applyFont="1" applyFill="1" applyBorder="1" applyAlignment="1"/>
    <xf numFmtId="0" fontId="43" fillId="7" borderId="16" xfId="4" applyFont="1" applyFill="1" applyBorder="1" applyAlignment="1">
      <alignment horizontal="center" vertical="center"/>
    </xf>
    <xf numFmtId="0" fontId="36" fillId="28" borderId="96" xfId="1" applyFont="1" applyFill="1" applyBorder="1" applyAlignment="1">
      <alignment horizontal="left" vertical="center"/>
    </xf>
    <xf numFmtId="0" fontId="36" fillId="20" borderId="131" xfId="4" applyFont="1" applyFill="1" applyBorder="1" applyAlignment="1">
      <alignment horizontal="center" vertical="center"/>
    </xf>
    <xf numFmtId="0" fontId="36" fillId="20" borderId="119" xfId="4" applyFont="1" applyFill="1" applyBorder="1" applyAlignment="1">
      <alignment horizontal="center" vertical="center"/>
    </xf>
    <xf numFmtId="0" fontId="28" fillId="0" borderId="20" xfId="2" applyFont="1" applyBorder="1" applyAlignment="1">
      <alignment horizontal="center" vertical="center"/>
    </xf>
    <xf numFmtId="0" fontId="36" fillId="31" borderId="22" xfId="1" applyFont="1" applyFill="1" applyBorder="1" applyAlignment="1">
      <alignment horizontal="left" vertical="center"/>
    </xf>
    <xf numFmtId="0" fontId="36" fillId="20" borderId="125" xfId="4" applyFont="1" applyFill="1" applyBorder="1" applyAlignment="1">
      <alignment horizontal="center" vertical="center"/>
    </xf>
    <xf numFmtId="0" fontId="12" fillId="0" borderId="36" xfId="2" applyFont="1" applyBorder="1" applyAlignment="1">
      <alignment horizontal="center" vertical="center" wrapText="1"/>
    </xf>
    <xf numFmtId="0" fontId="44" fillId="0" borderId="10" xfId="2" applyFont="1" applyBorder="1" applyAlignment="1">
      <alignment horizontal="center" vertical="center"/>
    </xf>
    <xf numFmtId="0" fontId="36" fillId="31" borderId="12" xfId="1" applyFont="1" applyFill="1" applyBorder="1" applyAlignment="1">
      <alignment horizontal="left" vertical="center"/>
    </xf>
    <xf numFmtId="0" fontId="44" fillId="0" borderId="102" xfId="2" applyFont="1" applyBorder="1" applyAlignment="1">
      <alignment horizontal="center" vertical="center"/>
    </xf>
    <xf numFmtId="0" fontId="36" fillId="31" borderId="172" xfId="1" applyFont="1" applyFill="1" applyBorder="1" applyAlignment="1">
      <alignment horizontal="left" vertical="center"/>
    </xf>
    <xf numFmtId="0" fontId="40" fillId="0" borderId="175" xfId="5" applyFont="1" applyBorder="1" applyAlignment="1"/>
    <xf numFmtId="0" fontId="40" fillId="0" borderId="159" xfId="5" applyFont="1" applyBorder="1" applyAlignment="1">
      <alignment horizontal="center"/>
    </xf>
    <xf numFmtId="0" fontId="41" fillId="0" borderId="160" xfId="5" applyFont="1" applyBorder="1" applyAlignment="1"/>
    <xf numFmtId="0" fontId="40" fillId="0" borderId="44" xfId="5" applyFont="1" applyBorder="1" applyAlignment="1"/>
    <xf numFmtId="0" fontId="40" fillId="0" borderId="36" xfId="5" applyFont="1" applyBorder="1" applyAlignment="1">
      <alignment horizontal="center"/>
    </xf>
    <xf numFmtId="0" fontId="41" fillId="0" borderId="161" xfId="5" applyFont="1" applyBorder="1" applyAlignment="1"/>
    <xf numFmtId="0" fontId="40" fillId="12" borderId="25" xfId="5" applyFont="1" applyFill="1" applyBorder="1" applyAlignment="1">
      <alignment horizontal="center"/>
    </xf>
    <xf numFmtId="0" fontId="40" fillId="12" borderId="162" xfId="5" applyFont="1" applyFill="1" applyBorder="1" applyAlignment="1"/>
    <xf numFmtId="0" fontId="40" fillId="12" borderId="141" xfId="5" applyFont="1" applyFill="1" applyBorder="1" applyAlignment="1">
      <alignment horizontal="center"/>
    </xf>
    <xf numFmtId="0" fontId="40" fillId="12" borderId="164" xfId="5" applyFont="1" applyFill="1" applyBorder="1" applyAlignment="1"/>
    <xf numFmtId="0" fontId="40" fillId="0" borderId="90" xfId="5" applyFont="1" applyBorder="1" applyAlignment="1"/>
    <xf numFmtId="0" fontId="40" fillId="0" borderId="141" xfId="5" applyFont="1" applyBorder="1" applyAlignment="1">
      <alignment horizontal="center"/>
    </xf>
    <xf numFmtId="0" fontId="41" fillId="0" borderId="164" xfId="5" applyFont="1" applyBorder="1" applyAlignment="1"/>
    <xf numFmtId="0" fontId="41" fillId="10" borderId="161" xfId="5" applyFont="1" applyFill="1" applyBorder="1" applyAlignment="1"/>
    <xf numFmtId="0" fontId="45" fillId="0" borderId="0" xfId="5" applyFont="1" applyAlignment="1"/>
    <xf numFmtId="0" fontId="41" fillId="12" borderId="161" xfId="5" applyFont="1" applyFill="1" applyBorder="1" applyAlignment="1"/>
    <xf numFmtId="0" fontId="44" fillId="0" borderId="20" xfId="2" applyFont="1" applyBorder="1" applyAlignment="1">
      <alignment horizontal="center" vertical="center"/>
    </xf>
    <xf numFmtId="0" fontId="40" fillId="0" borderId="158" xfId="5" applyFont="1" applyBorder="1" applyAlignment="1"/>
    <xf numFmtId="0" fontId="41" fillId="10" borderId="164" xfId="5" applyFont="1" applyFill="1" applyBorder="1" applyAlignment="1"/>
    <xf numFmtId="0" fontId="40" fillId="0" borderId="140" xfId="5" applyFont="1" applyBorder="1" applyAlignment="1"/>
    <xf numFmtId="0" fontId="41" fillId="10" borderId="165" xfId="5" applyFont="1" applyFill="1" applyBorder="1" applyAlignment="1"/>
    <xf numFmtId="0" fontId="40" fillId="12" borderId="175" xfId="5" applyFont="1" applyFill="1" applyBorder="1" applyAlignment="1"/>
    <xf numFmtId="0" fontId="40" fillId="12" borderId="159" xfId="5" applyFont="1" applyFill="1" applyBorder="1" applyAlignment="1">
      <alignment horizontal="center"/>
    </xf>
    <xf numFmtId="0" fontId="41" fillId="12" borderId="160" xfId="5" applyFont="1" applyFill="1" applyBorder="1" applyAlignment="1"/>
    <xf numFmtId="0" fontId="40" fillId="12" borderId="90" xfId="5" applyFont="1" applyFill="1" applyBorder="1" applyAlignment="1"/>
    <xf numFmtId="0" fontId="41" fillId="12" borderId="164" xfId="5" applyFont="1" applyFill="1" applyBorder="1" applyAlignment="1"/>
    <xf numFmtId="0" fontId="36" fillId="26" borderId="12" xfId="1" applyFont="1" applyFill="1" applyBorder="1" applyAlignment="1">
      <alignment horizontal="left" vertical="center"/>
    </xf>
    <xf numFmtId="0" fontId="36" fillId="26" borderId="172" xfId="1" applyFont="1" applyFill="1" applyBorder="1" applyAlignment="1">
      <alignment horizontal="left" vertical="center"/>
    </xf>
    <xf numFmtId="0" fontId="45" fillId="10" borderId="161" xfId="5" applyFont="1" applyFill="1" applyBorder="1" applyAlignment="1"/>
    <xf numFmtId="0" fontId="36" fillId="26" borderId="22" xfId="1" applyFont="1" applyFill="1" applyBorder="1" applyAlignment="1">
      <alignment horizontal="left" vertical="center"/>
    </xf>
    <xf numFmtId="0" fontId="40" fillId="12" borderId="163" xfId="5" applyFont="1" applyFill="1" applyBorder="1" applyAlignment="1"/>
    <xf numFmtId="0" fontId="36" fillId="23" borderId="12" xfId="1" applyFont="1" applyFill="1" applyBorder="1" applyAlignment="1">
      <alignment horizontal="left" vertical="center"/>
    </xf>
    <xf numFmtId="0" fontId="6" fillId="3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top" wrapText="1"/>
    </xf>
    <xf numFmtId="0" fontId="47" fillId="0" borderId="1" xfId="0" applyFont="1" applyBorder="1" applyAlignment="1">
      <alignment horizontal="center"/>
    </xf>
    <xf numFmtId="0" fontId="47" fillId="3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8" fillId="34" borderId="1" xfId="0" applyFont="1" applyFill="1" applyBorder="1"/>
    <xf numFmtId="0" fontId="47" fillId="34" borderId="1" xfId="0" applyFont="1" applyFill="1" applyBorder="1" applyAlignment="1">
      <alignment horizontal="center"/>
    </xf>
    <xf numFmtId="0" fontId="49" fillId="34" borderId="1" xfId="0" applyFont="1" applyFill="1" applyBorder="1" applyAlignment="1">
      <alignment horizontal="center"/>
    </xf>
    <xf numFmtId="0" fontId="47" fillId="34" borderId="1" xfId="0" applyFont="1" applyFill="1" applyBorder="1"/>
    <xf numFmtId="0" fontId="48" fillId="0" borderId="1" xfId="0" applyFont="1" applyBorder="1"/>
    <xf numFmtId="0" fontId="49" fillId="0" borderId="1" xfId="0" applyFont="1" applyBorder="1" applyAlignment="1">
      <alignment horizontal="center"/>
    </xf>
    <xf numFmtId="0" fontId="47" fillId="0" borderId="1" xfId="0" applyFont="1" applyBorder="1"/>
    <xf numFmtId="0" fontId="48" fillId="0" borderId="1" xfId="0" quotePrefix="1" applyFont="1" applyBorder="1"/>
    <xf numFmtId="0" fontId="48" fillId="34" borderId="1" xfId="0" quotePrefix="1" applyFont="1" applyFill="1" applyBorder="1"/>
    <xf numFmtId="0" fontId="48" fillId="35" borderId="1" xfId="0" applyFont="1" applyFill="1" applyBorder="1" applyAlignment="1">
      <alignment vertical="top" wrapText="1"/>
    </xf>
    <xf numFmtId="0" fontId="47" fillId="0" borderId="1" xfId="0" applyFont="1" applyBorder="1" applyAlignment="1">
      <alignment horizontal="center" vertical="center"/>
    </xf>
    <xf numFmtId="0" fontId="47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50" fillId="0" borderId="0" xfId="0" applyFont="1"/>
    <xf numFmtId="0" fontId="51" fillId="0" borderId="0" xfId="0" applyFont="1"/>
  </cellXfs>
  <cellStyles count="6">
    <cellStyle name="표준" xfId="0" builtinId="0"/>
    <cellStyle name="표준 2" xfId="1" xr:uid="{D034FD73-4CE9-4C75-9133-2745197332F6}"/>
    <cellStyle name="표준 2 2" xfId="2" xr:uid="{14CCAF74-355E-4C0B-8E89-DC0B0C75F206}"/>
    <cellStyle name="표준 4" xfId="5" xr:uid="{23AE946A-472D-4B50-A3E8-364192D3B87A}"/>
    <cellStyle name="표준 7" xfId="4" xr:uid="{7338D761-6A33-431A-A2D0-52CF24C92651}"/>
    <cellStyle name="표준_P3 memory map_v2" xfId="3" xr:uid="{6FA02280-6DCC-4B28-9272-956E2328F7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1603703</xdr:colOff>
      <xdr:row>340</xdr:row>
      <xdr:rowOff>64589</xdr:rowOff>
    </xdr:from>
    <xdr:to>
      <xdr:col>3</xdr:col>
      <xdr:colOff>1682422</xdr:colOff>
      <xdr:row>340</xdr:row>
      <xdr:rowOff>135436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C1D0B14E-B19B-4C95-8BB8-CC706618642B}"/>
            </a:ext>
          </a:extLst>
        </xdr:cNvPr>
        <xdr:cNvSpPr/>
      </xdr:nvSpPr>
      <xdr:spPr>
        <a:xfrm>
          <a:off x="5350203" y="60116539"/>
          <a:ext cx="25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1372</xdr:colOff>
      <xdr:row>276</xdr:row>
      <xdr:rowOff>161868</xdr:rowOff>
    </xdr:from>
    <xdr:to>
      <xdr:col>8</xdr:col>
      <xdr:colOff>2921987</xdr:colOff>
      <xdr:row>278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82D3B3D-68F5-473A-A326-B77DA0EA8120}"/>
            </a:ext>
          </a:extLst>
        </xdr:cNvPr>
        <xdr:cNvSpPr/>
      </xdr:nvSpPr>
      <xdr:spPr>
        <a:xfrm>
          <a:off x="14358722" y="49241018"/>
          <a:ext cx="2920615" cy="181032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1372</xdr:colOff>
      <xdr:row>177</xdr:row>
      <xdr:rowOff>10498</xdr:rowOff>
    </xdr:from>
    <xdr:to>
      <xdr:col>8</xdr:col>
      <xdr:colOff>2921987</xdr:colOff>
      <xdr:row>178</xdr:row>
      <xdr:rowOff>7432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4F030A8-3689-44A2-862B-F16E1478A4A7}"/>
            </a:ext>
          </a:extLst>
        </xdr:cNvPr>
        <xdr:cNvSpPr/>
      </xdr:nvSpPr>
      <xdr:spPr>
        <a:xfrm>
          <a:off x="14358722" y="32116098"/>
          <a:ext cx="2920615" cy="168384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1603703</xdr:colOff>
      <xdr:row>167</xdr:row>
      <xdr:rowOff>64589</xdr:rowOff>
    </xdr:from>
    <xdr:to>
      <xdr:col>3</xdr:col>
      <xdr:colOff>1682422</xdr:colOff>
      <xdr:row>167</xdr:row>
      <xdr:rowOff>135436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26E5A174-F9F1-42B3-AEA3-CD9AC101FA90}"/>
            </a:ext>
          </a:extLst>
        </xdr:cNvPr>
        <xdr:cNvSpPr/>
      </xdr:nvSpPr>
      <xdr:spPr>
        <a:xfrm>
          <a:off x="5350203" y="30455689"/>
          <a:ext cx="25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167</xdr:row>
      <xdr:rowOff>47625</xdr:rowOff>
    </xdr:from>
    <xdr:to>
      <xdr:col>3</xdr:col>
      <xdr:colOff>1374119</xdr:colOff>
      <xdr:row>167</xdr:row>
      <xdr:rowOff>118472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2D08446-86BF-4736-8D74-E8A6D8506F08}"/>
            </a:ext>
          </a:extLst>
        </xdr:cNvPr>
        <xdr:cNvSpPr/>
      </xdr:nvSpPr>
      <xdr:spPr>
        <a:xfrm>
          <a:off x="5251450" y="3043872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1374119</xdr:colOff>
      <xdr:row>167</xdr:row>
      <xdr:rowOff>83050</xdr:rowOff>
    </xdr:from>
    <xdr:to>
      <xdr:col>7</xdr:col>
      <xdr:colOff>3201640</xdr:colOff>
      <xdr:row>177</xdr:row>
      <xdr:rowOff>92575</xdr:rowOff>
    </xdr:to>
    <xdr:cxnSp macro="">
      <xdr:nvCxnSpPr>
        <xdr:cNvPr id="7" name="연결선: 꺾임 78">
          <a:extLst>
            <a:ext uri="{FF2B5EF4-FFF2-40B4-BE49-F238E27FC236}">
              <a16:creationId xmlns:a16="http://schemas.microsoft.com/office/drawing/2014/main" id="{3749F73C-7E60-4512-804F-FAABBB6ED52F}"/>
            </a:ext>
          </a:extLst>
        </xdr:cNvPr>
        <xdr:cNvCxnSpPr>
          <a:stCxn id="8" idx="2"/>
          <a:endCxn id="6" idx="6"/>
        </xdr:cNvCxnSpPr>
      </xdr:nvCxnSpPr>
      <xdr:spPr>
        <a:xfrm rot="10800000">
          <a:off x="5330169" y="30474150"/>
          <a:ext cx="8971271" cy="1724025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3201640</xdr:colOff>
      <xdr:row>177</xdr:row>
      <xdr:rowOff>57150</xdr:rowOff>
    </xdr:from>
    <xdr:to>
      <xdr:col>8</xdr:col>
      <xdr:colOff>25293</xdr:colOff>
      <xdr:row>177</xdr:row>
      <xdr:rowOff>127997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E3DC02CE-CBB0-4152-B0FF-76718B5E1E77}"/>
            </a:ext>
          </a:extLst>
        </xdr:cNvPr>
        <xdr:cNvSpPr/>
      </xdr:nvSpPr>
      <xdr:spPr>
        <a:xfrm>
          <a:off x="14301440" y="32162750"/>
          <a:ext cx="81203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185</xdr:row>
      <xdr:rowOff>47625</xdr:rowOff>
    </xdr:from>
    <xdr:to>
      <xdr:col>3</xdr:col>
      <xdr:colOff>1374119</xdr:colOff>
      <xdr:row>185</xdr:row>
      <xdr:rowOff>118472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D6D48720-80CD-437A-B5A4-DFA755FDF80B}"/>
            </a:ext>
          </a:extLst>
        </xdr:cNvPr>
        <xdr:cNvSpPr/>
      </xdr:nvSpPr>
      <xdr:spPr>
        <a:xfrm>
          <a:off x="5251450" y="3352482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1374119</xdr:colOff>
      <xdr:row>185</xdr:row>
      <xdr:rowOff>83049</xdr:rowOff>
    </xdr:from>
    <xdr:to>
      <xdr:col>7</xdr:col>
      <xdr:colOff>3201640</xdr:colOff>
      <xdr:row>193</xdr:row>
      <xdr:rowOff>83049</xdr:rowOff>
    </xdr:to>
    <xdr:cxnSp macro="">
      <xdr:nvCxnSpPr>
        <xdr:cNvPr id="10" name="연결선: 꺾임 78">
          <a:extLst>
            <a:ext uri="{FF2B5EF4-FFF2-40B4-BE49-F238E27FC236}">
              <a16:creationId xmlns:a16="http://schemas.microsoft.com/office/drawing/2014/main" id="{8EE374FC-1D07-4848-8394-17FD3DF1520C}"/>
            </a:ext>
          </a:extLst>
        </xdr:cNvPr>
        <xdr:cNvCxnSpPr>
          <a:stCxn id="11" idx="2"/>
          <a:endCxn id="9" idx="6"/>
        </xdr:cNvCxnSpPr>
      </xdr:nvCxnSpPr>
      <xdr:spPr>
        <a:xfrm rot="10800000">
          <a:off x="5330169" y="33560249"/>
          <a:ext cx="8971271" cy="1371600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3201640</xdr:colOff>
      <xdr:row>193</xdr:row>
      <xdr:rowOff>47625</xdr:rowOff>
    </xdr:from>
    <xdr:to>
      <xdr:col>8</xdr:col>
      <xdr:colOff>25293</xdr:colOff>
      <xdr:row>193</xdr:row>
      <xdr:rowOff>118472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DF8624EC-F3F2-44BB-AE5D-6F2AA43F0175}"/>
            </a:ext>
          </a:extLst>
        </xdr:cNvPr>
        <xdr:cNvSpPr/>
      </xdr:nvSpPr>
      <xdr:spPr>
        <a:xfrm>
          <a:off x="14301440" y="34896425"/>
          <a:ext cx="81203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340</xdr:row>
      <xdr:rowOff>47625</xdr:rowOff>
    </xdr:from>
    <xdr:to>
      <xdr:col>3</xdr:col>
      <xdr:colOff>1374119</xdr:colOff>
      <xdr:row>340</xdr:row>
      <xdr:rowOff>118472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464FBD37-2DDE-4C2D-8441-5F80242D9FC5}"/>
            </a:ext>
          </a:extLst>
        </xdr:cNvPr>
        <xdr:cNvSpPr/>
      </xdr:nvSpPr>
      <xdr:spPr>
        <a:xfrm>
          <a:off x="5251450" y="6009957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1374119</xdr:colOff>
      <xdr:row>203</xdr:row>
      <xdr:rowOff>83049</xdr:rowOff>
    </xdr:from>
    <xdr:to>
      <xdr:col>7</xdr:col>
      <xdr:colOff>3201640</xdr:colOff>
      <xdr:row>209</xdr:row>
      <xdr:rowOff>92574</xdr:rowOff>
    </xdr:to>
    <xdr:cxnSp macro="">
      <xdr:nvCxnSpPr>
        <xdr:cNvPr id="13" name="연결선: 꺾임 78">
          <a:extLst>
            <a:ext uri="{FF2B5EF4-FFF2-40B4-BE49-F238E27FC236}">
              <a16:creationId xmlns:a16="http://schemas.microsoft.com/office/drawing/2014/main" id="{DB9BF3F2-02EB-4DC3-AD2A-ABC2B2A9A171}"/>
            </a:ext>
          </a:extLst>
        </xdr:cNvPr>
        <xdr:cNvCxnSpPr>
          <a:stCxn id="14" idx="2"/>
          <a:endCxn id="15" idx="6"/>
        </xdr:cNvCxnSpPr>
      </xdr:nvCxnSpPr>
      <xdr:spPr>
        <a:xfrm rot="10800000">
          <a:off x="5330169" y="36646349"/>
          <a:ext cx="8971271" cy="1038225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3201640</xdr:colOff>
      <xdr:row>209</xdr:row>
      <xdr:rowOff>57150</xdr:rowOff>
    </xdr:from>
    <xdr:to>
      <xdr:col>8</xdr:col>
      <xdr:colOff>25293</xdr:colOff>
      <xdr:row>209</xdr:row>
      <xdr:rowOff>127997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6C9BD08E-F11B-4DB6-85C6-4C487D557F69}"/>
            </a:ext>
          </a:extLst>
        </xdr:cNvPr>
        <xdr:cNvSpPr/>
      </xdr:nvSpPr>
      <xdr:spPr>
        <a:xfrm>
          <a:off x="14301440" y="37649150"/>
          <a:ext cx="81203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203</xdr:row>
      <xdr:rowOff>47625</xdr:rowOff>
    </xdr:from>
    <xdr:to>
      <xdr:col>3</xdr:col>
      <xdr:colOff>1374119</xdr:colOff>
      <xdr:row>203</xdr:row>
      <xdr:rowOff>118472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18AA2643-2D44-49DD-818D-379C350CD808}"/>
            </a:ext>
          </a:extLst>
        </xdr:cNvPr>
        <xdr:cNvSpPr/>
      </xdr:nvSpPr>
      <xdr:spPr>
        <a:xfrm>
          <a:off x="5251450" y="3661092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1374119</xdr:colOff>
      <xdr:row>263</xdr:row>
      <xdr:rowOff>83050</xdr:rowOff>
    </xdr:from>
    <xdr:to>
      <xdr:col>7</xdr:col>
      <xdr:colOff>3201640</xdr:colOff>
      <xdr:row>277</xdr:row>
      <xdr:rowOff>102100</xdr:rowOff>
    </xdr:to>
    <xdr:cxnSp macro="">
      <xdr:nvCxnSpPr>
        <xdr:cNvPr id="16" name="연결선: 꺾임 78">
          <a:extLst>
            <a:ext uri="{FF2B5EF4-FFF2-40B4-BE49-F238E27FC236}">
              <a16:creationId xmlns:a16="http://schemas.microsoft.com/office/drawing/2014/main" id="{9E931EA3-2965-4DCD-B36E-0D47089D24E9}"/>
            </a:ext>
          </a:extLst>
        </xdr:cNvPr>
        <xdr:cNvCxnSpPr>
          <a:stCxn id="17" idx="2"/>
          <a:endCxn id="12" idx="6"/>
        </xdr:cNvCxnSpPr>
      </xdr:nvCxnSpPr>
      <xdr:spPr>
        <a:xfrm rot="10800000">
          <a:off x="5330169" y="46933350"/>
          <a:ext cx="8971271" cy="2419350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3201640</xdr:colOff>
      <xdr:row>277</xdr:row>
      <xdr:rowOff>66675</xdr:rowOff>
    </xdr:from>
    <xdr:to>
      <xdr:col>8</xdr:col>
      <xdr:colOff>25293</xdr:colOff>
      <xdr:row>277</xdr:row>
      <xdr:rowOff>137522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3A85BBA1-3520-4A93-80C3-C5CE2C3481AC}"/>
            </a:ext>
          </a:extLst>
        </xdr:cNvPr>
        <xdr:cNvSpPr/>
      </xdr:nvSpPr>
      <xdr:spPr>
        <a:xfrm>
          <a:off x="14301440" y="49317275"/>
          <a:ext cx="81203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263</xdr:row>
      <xdr:rowOff>47625</xdr:rowOff>
    </xdr:from>
    <xdr:to>
      <xdr:col>3</xdr:col>
      <xdr:colOff>1374119</xdr:colOff>
      <xdr:row>263</xdr:row>
      <xdr:rowOff>118472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17952497-6693-4E82-AFBF-F4F98B2C56BF}"/>
            </a:ext>
          </a:extLst>
        </xdr:cNvPr>
        <xdr:cNvSpPr/>
      </xdr:nvSpPr>
      <xdr:spPr>
        <a:xfrm>
          <a:off x="5251450" y="4689792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3201640</xdr:colOff>
      <xdr:row>341</xdr:row>
      <xdr:rowOff>38100</xdr:rowOff>
    </xdr:from>
    <xdr:to>
      <xdr:col>8</xdr:col>
      <xdr:colOff>25293</xdr:colOff>
      <xdr:row>341</xdr:row>
      <xdr:rowOff>108947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D7EE8BA8-C715-4C0E-8533-FCFF7FF3A80A}"/>
            </a:ext>
          </a:extLst>
        </xdr:cNvPr>
        <xdr:cNvSpPr/>
      </xdr:nvSpPr>
      <xdr:spPr>
        <a:xfrm>
          <a:off x="14301440" y="60261500"/>
          <a:ext cx="81203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1374119</xdr:colOff>
      <xdr:row>340</xdr:row>
      <xdr:rowOff>83049</xdr:rowOff>
    </xdr:from>
    <xdr:to>
      <xdr:col>7</xdr:col>
      <xdr:colOff>3201640</xdr:colOff>
      <xdr:row>341</xdr:row>
      <xdr:rowOff>73524</xdr:rowOff>
    </xdr:to>
    <xdr:cxnSp macro="">
      <xdr:nvCxnSpPr>
        <xdr:cNvPr id="20" name="연결선: 꺾임 78">
          <a:extLst>
            <a:ext uri="{FF2B5EF4-FFF2-40B4-BE49-F238E27FC236}">
              <a16:creationId xmlns:a16="http://schemas.microsoft.com/office/drawing/2014/main" id="{886C40BA-959A-421C-89D2-49D270E54929}"/>
            </a:ext>
          </a:extLst>
        </xdr:cNvPr>
        <xdr:cNvCxnSpPr>
          <a:stCxn id="19" idx="2"/>
          <a:endCxn id="18" idx="6"/>
        </xdr:cNvCxnSpPr>
      </xdr:nvCxnSpPr>
      <xdr:spPr>
        <a:xfrm rot="10800000">
          <a:off x="5330169" y="60134999"/>
          <a:ext cx="8971271" cy="161925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1372</xdr:colOff>
      <xdr:row>215</xdr:row>
      <xdr:rowOff>0</xdr:rowOff>
    </xdr:from>
    <xdr:to>
      <xdr:col>8</xdr:col>
      <xdr:colOff>2921987</xdr:colOff>
      <xdr:row>216</xdr:row>
      <xdr:rowOff>296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47F1266E-FB48-443B-9E55-91C385DE1F4F}"/>
            </a:ext>
          </a:extLst>
        </xdr:cNvPr>
        <xdr:cNvSpPr/>
      </xdr:nvSpPr>
      <xdr:spPr>
        <a:xfrm>
          <a:off x="14358722" y="38620700"/>
          <a:ext cx="2920615" cy="171746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3201640</xdr:colOff>
      <xdr:row>215</xdr:row>
      <xdr:rowOff>47625</xdr:rowOff>
    </xdr:from>
    <xdr:to>
      <xdr:col>8</xdr:col>
      <xdr:colOff>25293</xdr:colOff>
      <xdr:row>215</xdr:row>
      <xdr:rowOff>118472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37E28AC8-354E-4131-A5D5-29C0169E972C}"/>
            </a:ext>
          </a:extLst>
        </xdr:cNvPr>
        <xdr:cNvSpPr/>
      </xdr:nvSpPr>
      <xdr:spPr>
        <a:xfrm>
          <a:off x="14301440" y="38668325"/>
          <a:ext cx="81203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1374119</xdr:colOff>
      <xdr:row>215</xdr:row>
      <xdr:rowOff>83048</xdr:rowOff>
    </xdr:from>
    <xdr:to>
      <xdr:col>7</xdr:col>
      <xdr:colOff>3201640</xdr:colOff>
      <xdr:row>221</xdr:row>
      <xdr:rowOff>83048</xdr:rowOff>
    </xdr:to>
    <xdr:cxnSp macro="">
      <xdr:nvCxnSpPr>
        <xdr:cNvPr id="23" name="연결선: 꺾임 78">
          <a:extLst>
            <a:ext uri="{FF2B5EF4-FFF2-40B4-BE49-F238E27FC236}">
              <a16:creationId xmlns:a16="http://schemas.microsoft.com/office/drawing/2014/main" id="{D3ECD15E-3A08-4EFE-8DEE-ACFA193FE996}"/>
            </a:ext>
          </a:extLst>
        </xdr:cNvPr>
        <xdr:cNvCxnSpPr>
          <a:stCxn id="22" idx="2"/>
          <a:endCxn id="24" idx="6"/>
        </xdr:cNvCxnSpPr>
      </xdr:nvCxnSpPr>
      <xdr:spPr>
        <a:xfrm rot="10800000" flipV="1">
          <a:off x="5330169" y="38703748"/>
          <a:ext cx="8971271" cy="1028700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1295400</xdr:colOff>
      <xdr:row>221</xdr:row>
      <xdr:rowOff>47625</xdr:rowOff>
    </xdr:from>
    <xdr:to>
      <xdr:col>3</xdr:col>
      <xdr:colOff>1374119</xdr:colOff>
      <xdr:row>221</xdr:row>
      <xdr:rowOff>118472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F4A5DA27-0998-4F81-836E-2DDF938FF158}"/>
            </a:ext>
          </a:extLst>
        </xdr:cNvPr>
        <xdr:cNvSpPr/>
      </xdr:nvSpPr>
      <xdr:spPr>
        <a:xfrm>
          <a:off x="5251450" y="3969702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1372</xdr:colOff>
      <xdr:row>278</xdr:row>
      <xdr:rowOff>3865</xdr:rowOff>
    </xdr:from>
    <xdr:to>
      <xdr:col>8</xdr:col>
      <xdr:colOff>2921987</xdr:colOff>
      <xdr:row>279</xdr:row>
      <xdr:rowOff>10086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8583AEF5-FD2F-45C5-B16C-056BE8C5900B}"/>
            </a:ext>
          </a:extLst>
        </xdr:cNvPr>
        <xdr:cNvSpPr/>
      </xdr:nvSpPr>
      <xdr:spPr>
        <a:xfrm>
          <a:off x="14358722" y="49425915"/>
          <a:ext cx="2920615" cy="177671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1374119</xdr:colOff>
      <xdr:row>278</xdr:row>
      <xdr:rowOff>102100</xdr:rowOff>
    </xdr:from>
    <xdr:to>
      <xdr:col>7</xdr:col>
      <xdr:colOff>3201640</xdr:colOff>
      <xdr:row>284</xdr:row>
      <xdr:rowOff>83049</xdr:rowOff>
    </xdr:to>
    <xdr:cxnSp macro="">
      <xdr:nvCxnSpPr>
        <xdr:cNvPr id="26" name="연결선: 꺾임 78">
          <a:extLst>
            <a:ext uri="{FF2B5EF4-FFF2-40B4-BE49-F238E27FC236}">
              <a16:creationId xmlns:a16="http://schemas.microsoft.com/office/drawing/2014/main" id="{DC8F436B-70E3-46D0-AE4C-37BC9D43BB53}"/>
            </a:ext>
          </a:extLst>
        </xdr:cNvPr>
        <xdr:cNvCxnSpPr>
          <a:stCxn id="27" idx="2"/>
          <a:endCxn id="28" idx="6"/>
        </xdr:cNvCxnSpPr>
      </xdr:nvCxnSpPr>
      <xdr:spPr>
        <a:xfrm rot="10800000" flipV="1">
          <a:off x="5330169" y="49524150"/>
          <a:ext cx="8971271" cy="1009649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3201640</xdr:colOff>
      <xdr:row>278</xdr:row>
      <xdr:rowOff>66676</xdr:rowOff>
    </xdr:from>
    <xdr:to>
      <xdr:col>8</xdr:col>
      <xdr:colOff>25293</xdr:colOff>
      <xdr:row>278</xdr:row>
      <xdr:rowOff>137523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7E42F75E-71E6-46A0-AD2D-FE2BA50492A0}"/>
            </a:ext>
          </a:extLst>
        </xdr:cNvPr>
        <xdr:cNvSpPr/>
      </xdr:nvSpPr>
      <xdr:spPr>
        <a:xfrm>
          <a:off x="14301440" y="49488726"/>
          <a:ext cx="81203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361</xdr:row>
      <xdr:rowOff>47625</xdr:rowOff>
    </xdr:from>
    <xdr:to>
      <xdr:col>3</xdr:col>
      <xdr:colOff>1374119</xdr:colOff>
      <xdr:row>361</xdr:row>
      <xdr:rowOff>118472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E683FC09-8648-429D-BA4D-474CC27428D8}"/>
            </a:ext>
          </a:extLst>
        </xdr:cNvPr>
        <xdr:cNvSpPr/>
      </xdr:nvSpPr>
      <xdr:spPr>
        <a:xfrm>
          <a:off x="5251450" y="6370002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24953</xdr:colOff>
      <xdr:row>340</xdr:row>
      <xdr:rowOff>168576</xdr:rowOff>
    </xdr:from>
    <xdr:to>
      <xdr:col>9</xdr:col>
      <xdr:colOff>0</xdr:colOff>
      <xdr:row>342</xdr:row>
      <xdr:rowOff>862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CB04278E-31D5-40AA-A165-524AA0383FDB}"/>
            </a:ext>
          </a:extLst>
        </xdr:cNvPr>
        <xdr:cNvSpPr/>
      </xdr:nvSpPr>
      <xdr:spPr>
        <a:xfrm>
          <a:off x="14382303" y="60220526"/>
          <a:ext cx="2915097" cy="175186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36668</xdr:colOff>
      <xdr:row>342</xdr:row>
      <xdr:rowOff>4727</xdr:rowOff>
    </xdr:from>
    <xdr:to>
      <xdr:col>9</xdr:col>
      <xdr:colOff>0</xdr:colOff>
      <xdr:row>343</xdr:row>
      <xdr:rowOff>10948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FC281061-BBFE-4562-B1C7-61DFCC178FF9}"/>
            </a:ext>
          </a:extLst>
        </xdr:cNvPr>
        <xdr:cNvSpPr/>
      </xdr:nvSpPr>
      <xdr:spPr>
        <a:xfrm>
          <a:off x="14394018" y="60399577"/>
          <a:ext cx="2903382" cy="177671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284</xdr:row>
      <xdr:rowOff>47625</xdr:rowOff>
    </xdr:from>
    <xdr:to>
      <xdr:col>3</xdr:col>
      <xdr:colOff>1374119</xdr:colOff>
      <xdr:row>284</xdr:row>
      <xdr:rowOff>118472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A2CA367F-009B-4936-B1B3-BF84BA93DB31}"/>
            </a:ext>
          </a:extLst>
        </xdr:cNvPr>
        <xdr:cNvSpPr/>
      </xdr:nvSpPr>
      <xdr:spPr>
        <a:xfrm>
          <a:off x="5251450" y="5049837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1374119</xdr:colOff>
      <xdr:row>342</xdr:row>
      <xdr:rowOff>113866</xdr:rowOff>
    </xdr:from>
    <xdr:to>
      <xdr:col>7</xdr:col>
      <xdr:colOff>3201640</xdr:colOff>
      <xdr:row>361</xdr:row>
      <xdr:rowOff>83049</xdr:rowOff>
    </xdr:to>
    <xdr:cxnSp macro="">
      <xdr:nvCxnSpPr>
        <xdr:cNvPr id="32" name="연결선: 꺾임 78">
          <a:extLst>
            <a:ext uri="{FF2B5EF4-FFF2-40B4-BE49-F238E27FC236}">
              <a16:creationId xmlns:a16="http://schemas.microsoft.com/office/drawing/2014/main" id="{836E0C40-9A29-41B8-B757-36BFD3F35BBF}"/>
            </a:ext>
          </a:extLst>
        </xdr:cNvPr>
        <xdr:cNvCxnSpPr>
          <a:stCxn id="33" idx="2"/>
          <a:endCxn id="31" idx="6"/>
        </xdr:cNvCxnSpPr>
      </xdr:nvCxnSpPr>
      <xdr:spPr>
        <a:xfrm rot="10800000" flipV="1">
          <a:off x="5330169" y="60508716"/>
          <a:ext cx="8971271" cy="3226733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3201640</xdr:colOff>
      <xdr:row>342</xdr:row>
      <xdr:rowOff>78442</xdr:rowOff>
    </xdr:from>
    <xdr:to>
      <xdr:col>8</xdr:col>
      <xdr:colOff>25293</xdr:colOff>
      <xdr:row>342</xdr:row>
      <xdr:rowOff>149289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107FCBB4-3FD1-416B-A125-1AB9F97ACAD9}"/>
            </a:ext>
          </a:extLst>
        </xdr:cNvPr>
        <xdr:cNvSpPr/>
      </xdr:nvSpPr>
      <xdr:spPr>
        <a:xfrm>
          <a:off x="14301440" y="60473292"/>
          <a:ext cx="81203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10</xdr:row>
      <xdr:rowOff>47625</xdr:rowOff>
    </xdr:from>
    <xdr:to>
      <xdr:col>3</xdr:col>
      <xdr:colOff>1374119</xdr:colOff>
      <xdr:row>10</xdr:row>
      <xdr:rowOff>118472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F5AD374E-9039-4BDF-8615-C0364311F44A}"/>
            </a:ext>
          </a:extLst>
        </xdr:cNvPr>
        <xdr:cNvSpPr/>
      </xdr:nvSpPr>
      <xdr:spPr>
        <a:xfrm>
          <a:off x="5251450" y="265112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31</xdr:row>
      <xdr:rowOff>47625</xdr:rowOff>
    </xdr:from>
    <xdr:to>
      <xdr:col>3</xdr:col>
      <xdr:colOff>1374119</xdr:colOff>
      <xdr:row>31</xdr:row>
      <xdr:rowOff>118472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516C4408-761B-4238-893B-DC146F5F155C}"/>
            </a:ext>
          </a:extLst>
        </xdr:cNvPr>
        <xdr:cNvSpPr/>
      </xdr:nvSpPr>
      <xdr:spPr>
        <a:xfrm>
          <a:off x="5251450" y="625792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55</xdr:row>
      <xdr:rowOff>47625</xdr:rowOff>
    </xdr:from>
    <xdr:to>
      <xdr:col>3</xdr:col>
      <xdr:colOff>1374119</xdr:colOff>
      <xdr:row>55</xdr:row>
      <xdr:rowOff>118472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7283ADC0-FCA8-4233-9F09-B6D84C666BA2}"/>
            </a:ext>
          </a:extLst>
        </xdr:cNvPr>
        <xdr:cNvSpPr/>
      </xdr:nvSpPr>
      <xdr:spPr>
        <a:xfrm>
          <a:off x="5251450" y="1037907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1295400</xdr:colOff>
      <xdr:row>31</xdr:row>
      <xdr:rowOff>47625</xdr:rowOff>
    </xdr:from>
    <xdr:to>
      <xdr:col>3</xdr:col>
      <xdr:colOff>1374119</xdr:colOff>
      <xdr:row>31</xdr:row>
      <xdr:rowOff>118472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32C2D08B-F795-446E-A0AA-7201A40FD394}"/>
            </a:ext>
          </a:extLst>
        </xdr:cNvPr>
        <xdr:cNvSpPr/>
      </xdr:nvSpPr>
      <xdr:spPr>
        <a:xfrm>
          <a:off x="5251450" y="625792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3217770</xdr:colOff>
      <xdr:row>11</xdr:row>
      <xdr:rowOff>165022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A50D38E4-0C9D-478A-81FB-E9D1F4E5CE82}"/>
            </a:ext>
          </a:extLst>
        </xdr:cNvPr>
        <xdr:cNvSpPr/>
      </xdr:nvSpPr>
      <xdr:spPr>
        <a:xfrm>
          <a:off x="11099800" y="2774950"/>
          <a:ext cx="3217770" cy="165022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3217770</xdr:colOff>
      <xdr:row>13</xdr:row>
      <xdr:rowOff>165022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3D23F53B-B5E5-4319-9DC3-DC349CDDF582}"/>
            </a:ext>
          </a:extLst>
        </xdr:cNvPr>
        <xdr:cNvSpPr/>
      </xdr:nvSpPr>
      <xdr:spPr>
        <a:xfrm>
          <a:off x="11099800" y="3117850"/>
          <a:ext cx="3217770" cy="165022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3217770</xdr:colOff>
      <xdr:row>21</xdr:row>
      <xdr:rowOff>165022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6BACB3F-BE16-47A7-9D7E-26D9D7126921}"/>
            </a:ext>
          </a:extLst>
        </xdr:cNvPr>
        <xdr:cNvSpPr/>
      </xdr:nvSpPr>
      <xdr:spPr>
        <a:xfrm>
          <a:off x="11099800" y="4489450"/>
          <a:ext cx="3217770" cy="165022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2867918</xdr:colOff>
      <xdr:row>11</xdr:row>
      <xdr:rowOff>31936</xdr:rowOff>
    </xdr:from>
    <xdr:to>
      <xdr:col>6</xdr:col>
      <xdr:colOff>2946637</xdr:colOff>
      <xdr:row>11</xdr:row>
      <xdr:rowOff>102783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06137960-219A-444A-9F32-91C5908BB7C7}"/>
            </a:ext>
          </a:extLst>
        </xdr:cNvPr>
        <xdr:cNvSpPr/>
      </xdr:nvSpPr>
      <xdr:spPr>
        <a:xfrm>
          <a:off x="11014968" y="2806886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2872153</xdr:colOff>
      <xdr:row>13</xdr:row>
      <xdr:rowOff>36635</xdr:rowOff>
    </xdr:from>
    <xdr:to>
      <xdr:col>6</xdr:col>
      <xdr:colOff>2950872</xdr:colOff>
      <xdr:row>13</xdr:row>
      <xdr:rowOff>107482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1854FCFC-59D5-49A5-8520-3946C457AC9C}"/>
            </a:ext>
          </a:extLst>
        </xdr:cNvPr>
        <xdr:cNvSpPr/>
      </xdr:nvSpPr>
      <xdr:spPr>
        <a:xfrm>
          <a:off x="11019203" y="3154485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2872151</xdr:colOff>
      <xdr:row>21</xdr:row>
      <xdr:rowOff>51289</xdr:rowOff>
    </xdr:from>
    <xdr:to>
      <xdr:col>6</xdr:col>
      <xdr:colOff>2950870</xdr:colOff>
      <xdr:row>21</xdr:row>
      <xdr:rowOff>122136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2D0D0478-F5AD-4E67-A734-80AD124903DD}"/>
            </a:ext>
          </a:extLst>
        </xdr:cNvPr>
        <xdr:cNvSpPr/>
      </xdr:nvSpPr>
      <xdr:spPr>
        <a:xfrm>
          <a:off x="11019201" y="4540739"/>
          <a:ext cx="78719" cy="7084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1374120</xdr:colOff>
      <xdr:row>10</xdr:row>
      <xdr:rowOff>83049</xdr:rowOff>
    </xdr:from>
    <xdr:to>
      <xdr:col>6</xdr:col>
      <xdr:colOff>2867919</xdr:colOff>
      <xdr:row>11</xdr:row>
      <xdr:rowOff>67360</xdr:rowOff>
    </xdr:to>
    <xdr:cxnSp macro="">
      <xdr:nvCxnSpPr>
        <xdr:cNvPr id="44" name="연결선: 꺾임 78">
          <a:extLst>
            <a:ext uri="{FF2B5EF4-FFF2-40B4-BE49-F238E27FC236}">
              <a16:creationId xmlns:a16="http://schemas.microsoft.com/office/drawing/2014/main" id="{07F6F7D4-F289-4B90-8E54-2AACEFE2B50D}"/>
            </a:ext>
          </a:extLst>
        </xdr:cNvPr>
        <xdr:cNvCxnSpPr>
          <a:stCxn id="41" idx="2"/>
          <a:endCxn id="34" idx="6"/>
        </xdr:cNvCxnSpPr>
      </xdr:nvCxnSpPr>
      <xdr:spPr>
        <a:xfrm rot="10800000">
          <a:off x="5330170" y="2686549"/>
          <a:ext cx="5684799" cy="155761"/>
        </a:xfrm>
        <a:prstGeom prst="bentConnector3">
          <a:avLst>
            <a:gd name="adj1" fmla="val 89543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1374119</xdr:colOff>
      <xdr:row>13</xdr:row>
      <xdr:rowOff>72059</xdr:rowOff>
    </xdr:from>
    <xdr:to>
      <xdr:col>6</xdr:col>
      <xdr:colOff>2872153</xdr:colOff>
      <xdr:row>31</xdr:row>
      <xdr:rowOff>83049</xdr:rowOff>
    </xdr:to>
    <xdr:cxnSp macro="">
      <xdr:nvCxnSpPr>
        <xdr:cNvPr id="45" name="연결선: 꺾임 78">
          <a:extLst>
            <a:ext uri="{FF2B5EF4-FFF2-40B4-BE49-F238E27FC236}">
              <a16:creationId xmlns:a16="http://schemas.microsoft.com/office/drawing/2014/main" id="{1B3628BD-7B9C-449F-A719-99332B60A5E3}"/>
            </a:ext>
          </a:extLst>
        </xdr:cNvPr>
        <xdr:cNvCxnSpPr>
          <a:stCxn id="42" idx="2"/>
          <a:endCxn id="37" idx="6"/>
        </xdr:cNvCxnSpPr>
      </xdr:nvCxnSpPr>
      <xdr:spPr>
        <a:xfrm rot="10800000" flipV="1">
          <a:off x="5330169" y="3189909"/>
          <a:ext cx="5689034" cy="3103440"/>
        </a:xfrm>
        <a:prstGeom prst="bentConnector3">
          <a:avLst>
            <a:gd name="adj1" fmla="val 89514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1374119</xdr:colOff>
      <xdr:row>21</xdr:row>
      <xdr:rowOff>86713</xdr:rowOff>
    </xdr:from>
    <xdr:to>
      <xdr:col>6</xdr:col>
      <xdr:colOff>2872151</xdr:colOff>
      <xdr:row>55</xdr:row>
      <xdr:rowOff>83049</xdr:rowOff>
    </xdr:to>
    <xdr:cxnSp macro="">
      <xdr:nvCxnSpPr>
        <xdr:cNvPr id="46" name="연결선: 꺾임 78">
          <a:extLst>
            <a:ext uri="{FF2B5EF4-FFF2-40B4-BE49-F238E27FC236}">
              <a16:creationId xmlns:a16="http://schemas.microsoft.com/office/drawing/2014/main" id="{2C111587-939B-42C8-9CD5-74219CB8D779}"/>
            </a:ext>
          </a:extLst>
        </xdr:cNvPr>
        <xdr:cNvCxnSpPr>
          <a:stCxn id="43" idx="2"/>
          <a:endCxn id="36" idx="6"/>
        </xdr:cNvCxnSpPr>
      </xdr:nvCxnSpPr>
      <xdr:spPr>
        <a:xfrm rot="10800000" flipV="1">
          <a:off x="5330169" y="4576163"/>
          <a:ext cx="5689032" cy="5838336"/>
        </a:xfrm>
        <a:prstGeom prst="bentConnector3">
          <a:avLst>
            <a:gd name="adj1" fmla="val 81846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1372</xdr:colOff>
      <xdr:row>193</xdr:row>
      <xdr:rowOff>0</xdr:rowOff>
    </xdr:from>
    <xdr:to>
      <xdr:col>8</xdr:col>
      <xdr:colOff>2921987</xdr:colOff>
      <xdr:row>193</xdr:row>
      <xdr:rowOff>165022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2A974E62-CEF1-4301-B653-0FE71CC04856}"/>
            </a:ext>
          </a:extLst>
        </xdr:cNvPr>
        <xdr:cNvSpPr/>
      </xdr:nvSpPr>
      <xdr:spPr>
        <a:xfrm>
          <a:off x="14358722" y="34848800"/>
          <a:ext cx="2920615" cy="165022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1372</xdr:colOff>
      <xdr:row>208</xdr:row>
      <xdr:rowOff>152401</xdr:rowOff>
    </xdr:from>
    <xdr:to>
      <xdr:col>8</xdr:col>
      <xdr:colOff>2921987</xdr:colOff>
      <xdr:row>209</xdr:row>
      <xdr:rowOff>152696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512756F1-1F2C-4044-9976-0F43DF5F6B81}"/>
            </a:ext>
          </a:extLst>
        </xdr:cNvPr>
        <xdr:cNvSpPr/>
      </xdr:nvSpPr>
      <xdr:spPr>
        <a:xfrm>
          <a:off x="14358722" y="37572951"/>
          <a:ext cx="2920615" cy="171745"/>
        </a:xfrm>
        <a:prstGeom prst="rect">
          <a:avLst/>
        </a:prstGeom>
        <a:noFill/>
        <a:ln w="28575">
          <a:solidFill>
            <a:srgbClr val="FF0000"/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s005\&#20840;&#31038;&#12469;&#12540;&#12496;\Documents%20and%20Settings\z68930\My%20Documents\G5AD-0140-0-0(&#26481;&#33437;&#22235;&#26085;&#24066;300mmPhase-2)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Roaming/Microsoft/Excel/PC%2520Motion%2520Control%2520STKC_MemoryMap_230809(Program%2520Mapping%2520Info)_v4%20(version%201).xlsb" TargetMode="External"/><Relationship Id="rId2" Type="http://schemas.openxmlformats.org/officeDocument/2006/relationships/externalLinkPath" Target="file:///C:\Users\PC\AppData\Roaming\Microsoft\Excel\PC%2520Motion%2520Control%2520STKC_MemoryMap_230809(Program%2520Mapping%2520Info)_v4%20(version%201).xlsb" TargetMode="External"/><Relationship Id="rId1" Type="http://schemas.openxmlformats.org/officeDocument/2006/relationships/externalLinkPath" Target="/Users/PC/AppData/Roaming/Microsoft/Excel/PC%2520Motion%2520Control%2520STKC_MemoryMap_230809(Program%2520Mapping%2520Info)_v4%20(version%201)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s005\&#20840;&#31038;&#12469;&#12540;&#12496;\2004&#45380;%20pjt\(850)ASI%20PJT\1.AUO\&#50896;&#44032;%20&#51088;&#47308;\&#51204;&#52404;%20PORT%20LI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伝票"/>
      <sheetName val="設定"/>
      <sheetName val="0-ハード (MCS)"/>
      <sheetName val="0-ハード（その他)"/>
      <sheetName val="1-MCS"/>
      <sheetName val="2-SMT(S)"/>
      <sheetName val="3-STC"/>
      <sheetName val="4-LVC"/>
      <sheetName val="5-OHVC"/>
      <sheetName val="6-MOHVC"/>
      <sheetName val="7-LFC"/>
      <sheetName val="8-"/>
      <sheetName val="9-"/>
      <sheetName val="見積照会書"/>
      <sheetName val="0_ハード_その他_"/>
      <sheetName val="영풍 견적서"/>
      <sheetName val="제조 경영"/>
      <sheetName val="G5AD-0140-0-0(東芝四日市300mmPhase-2"/>
      <sheetName val="G2설비도급"/>
      <sheetName val="BOE B5"/>
      <sheetName val="★Friends 핵심 Member 교육"/>
      <sheetName val="업체의 LPL소속정보"/>
      <sheetName val="품목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이력"/>
      <sheetName val="Protocol Rule"/>
      <sheetName val="SS-One BIT Communication"/>
      <sheetName val="SS-One Word Communication"/>
      <sheetName val="Port Bit"/>
      <sheetName val="Port Word"/>
      <sheetName val="EQ IF MAP"/>
      <sheetName val="AlarmList (Master)"/>
      <sheetName val="AlarmList (CPS)"/>
      <sheetName val="AlarmList (RM)"/>
      <sheetName val="AlarmList (Port)"/>
      <sheetName val="Web Protocol Rule"/>
      <sheetName val="Web BIT Communication"/>
      <sheetName val="Web Word Communication"/>
      <sheetName val="개요"/>
      <sheetName val="메시지 목록"/>
      <sheetName val="필드 정의"/>
      <sheetName val="예시 J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번기준"/>
      <sheetName val="WORK TYPE별"/>
      <sheetName val="buf-l1-l2"/>
      <sheetName val="SERVO 일정"/>
      <sheetName val="LM길이산정"/>
      <sheetName val="SERVO MOTOR 가격(0.2)"/>
      <sheetName val="SERVO MOTOR 가격(0.23)"/>
      <sheetName val="일정요약"/>
      <sheetName val="인원"/>
      <sheetName val="제품별"/>
      <sheetName val="예산내역서"/>
      <sheetName val="QandAJunior"/>
      <sheetName val="회사정보"/>
      <sheetName val="채권(하반기)"/>
      <sheetName val="갑지"/>
      <sheetName val="전체 PORT LIST"/>
      <sheetName val="진행현황표"/>
      <sheetName val="輪班方式"/>
      <sheetName val="변수"/>
      <sheetName val="전주자재"/>
      <sheetName val="97"/>
      <sheetName val="기준"/>
      <sheetName val="MNT 개발계획_최종"/>
      <sheetName val="값목록(Do not touch)"/>
    </sheetNames>
    <sheetDataSet>
      <sheetData sheetId="0" refreshError="1">
        <row r="5">
          <cell r="D5" t="str">
            <v>AA010-AIN1</v>
          </cell>
          <cell r="E5" t="str">
            <v>AGV Port</v>
          </cell>
          <cell r="F5" t="str">
            <v>L10</v>
          </cell>
          <cell r="G5" t="str">
            <v>Array</v>
          </cell>
          <cell r="H5" t="str">
            <v>Array</v>
          </cell>
          <cell r="I5" t="str">
            <v>1F</v>
          </cell>
          <cell r="J5" t="str">
            <v>Normal</v>
          </cell>
          <cell r="K5">
            <v>600</v>
          </cell>
          <cell r="L5" t="str">
            <v>1648*1985*1710</v>
          </cell>
          <cell r="O5" t="str">
            <v>L</v>
          </cell>
          <cell r="P5">
            <v>3</v>
          </cell>
          <cell r="Q5">
            <v>9420</v>
          </cell>
          <cell r="R5">
            <v>4500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AF5">
            <v>1</v>
          </cell>
          <cell r="AG5">
            <v>2</v>
          </cell>
        </row>
        <row r="6">
          <cell r="D6" t="str">
            <v>AA010-AOUT1</v>
          </cell>
          <cell r="E6" t="str">
            <v>AGV Port</v>
          </cell>
          <cell r="F6" t="str">
            <v>L10</v>
          </cell>
          <cell r="G6" t="str">
            <v>Array</v>
          </cell>
          <cell r="H6" t="str">
            <v>Array</v>
          </cell>
          <cell r="I6" t="str">
            <v>1F</v>
          </cell>
          <cell r="J6" t="str">
            <v>Normal</v>
          </cell>
          <cell r="K6">
            <v>600</v>
          </cell>
          <cell r="L6" t="str">
            <v>1648*1985*1710</v>
          </cell>
          <cell r="O6" t="str">
            <v>I</v>
          </cell>
          <cell r="P6">
            <v>2</v>
          </cell>
          <cell r="Q6">
            <v>7400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AF6">
            <v>1</v>
          </cell>
          <cell r="AG6">
            <v>2</v>
          </cell>
        </row>
        <row r="7">
          <cell r="D7" t="str">
            <v>AA010-RIN1</v>
          </cell>
          <cell r="E7" t="str">
            <v>RGV Port</v>
          </cell>
          <cell r="F7" t="str">
            <v>L10</v>
          </cell>
          <cell r="G7" t="str">
            <v>Array</v>
          </cell>
          <cell r="H7" t="str">
            <v>Array</v>
          </cell>
          <cell r="I7" t="str">
            <v>1F</v>
          </cell>
          <cell r="J7" t="str">
            <v>Normal</v>
          </cell>
          <cell r="K7">
            <v>600</v>
          </cell>
          <cell r="L7" t="str">
            <v>1648*1985*1710</v>
          </cell>
          <cell r="O7" t="str">
            <v>L</v>
          </cell>
          <cell r="P7">
            <v>4</v>
          </cell>
          <cell r="Q7">
            <v>7900</v>
          </cell>
          <cell r="R7">
            <v>5800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Y7">
            <v>1</v>
          </cell>
          <cell r="AF7">
            <v>1</v>
          </cell>
          <cell r="AG7">
            <v>3</v>
          </cell>
        </row>
        <row r="8">
          <cell r="D8" t="str">
            <v>AA020-MGV1</v>
          </cell>
          <cell r="E8" t="str">
            <v>MGV Port</v>
          </cell>
          <cell r="F8" t="str">
            <v>L10</v>
          </cell>
          <cell r="G8" t="str">
            <v>Array</v>
          </cell>
          <cell r="H8" t="str">
            <v>Array</v>
          </cell>
          <cell r="I8" t="str">
            <v>1F</v>
          </cell>
          <cell r="J8" t="str">
            <v>Normal</v>
          </cell>
          <cell r="K8">
            <v>600</v>
          </cell>
          <cell r="L8" t="str">
            <v>1648*1985*1710</v>
          </cell>
          <cell r="O8" t="str">
            <v>I</v>
          </cell>
          <cell r="P8">
            <v>1</v>
          </cell>
          <cell r="Q8">
            <v>2575</v>
          </cell>
          <cell r="S8">
            <v>1</v>
          </cell>
          <cell r="T8" t="str">
            <v/>
          </cell>
          <cell r="U8">
            <v>1</v>
          </cell>
          <cell r="AF8">
            <v>1</v>
          </cell>
          <cell r="AG8">
            <v>1</v>
          </cell>
        </row>
        <row r="9">
          <cell r="D9" t="str">
            <v>AA020-RIN1</v>
          </cell>
          <cell r="E9" t="str">
            <v>RGV Port</v>
          </cell>
          <cell r="F9" t="str">
            <v>L10</v>
          </cell>
          <cell r="G9" t="str">
            <v>Array</v>
          </cell>
          <cell r="H9" t="str">
            <v>Array</v>
          </cell>
          <cell r="I9" t="str">
            <v>1F</v>
          </cell>
          <cell r="J9" t="str">
            <v>Normal</v>
          </cell>
          <cell r="K9">
            <v>600</v>
          </cell>
          <cell r="L9" t="str">
            <v>1648*1985*1710</v>
          </cell>
          <cell r="O9" t="str">
            <v>L</v>
          </cell>
          <cell r="P9">
            <v>3</v>
          </cell>
          <cell r="Q9">
            <v>8000</v>
          </cell>
          <cell r="R9">
            <v>1400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AF9">
            <v>1</v>
          </cell>
          <cell r="AG9">
            <v>2</v>
          </cell>
        </row>
        <row r="10">
          <cell r="D10" t="str">
            <v>AA020-ROUT1</v>
          </cell>
          <cell r="E10" t="str">
            <v>RGV Port</v>
          </cell>
          <cell r="F10" t="str">
            <v>L10</v>
          </cell>
          <cell r="G10" t="str">
            <v>Array</v>
          </cell>
          <cell r="H10" t="str">
            <v>Array</v>
          </cell>
          <cell r="I10" t="str">
            <v>1F</v>
          </cell>
          <cell r="J10" t="str">
            <v>Normal</v>
          </cell>
          <cell r="K10">
            <v>600</v>
          </cell>
          <cell r="L10" t="str">
            <v>1648*1985*1710</v>
          </cell>
          <cell r="O10" t="str">
            <v>L</v>
          </cell>
          <cell r="P10">
            <v>3</v>
          </cell>
          <cell r="Q10">
            <v>10470</v>
          </cell>
          <cell r="R10">
            <v>3900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AF10">
            <v>1</v>
          </cell>
          <cell r="AG10">
            <v>2</v>
          </cell>
        </row>
        <row r="11">
          <cell r="D11" t="str">
            <v>AA030-MGV1</v>
          </cell>
          <cell r="E11" t="str">
            <v>MGV Port</v>
          </cell>
          <cell r="F11" t="str">
            <v>L10</v>
          </cell>
          <cell r="G11" t="str">
            <v>Array</v>
          </cell>
          <cell r="H11" t="str">
            <v>Array</v>
          </cell>
          <cell r="I11" t="str">
            <v>1F</v>
          </cell>
          <cell r="J11" t="str">
            <v>Normal</v>
          </cell>
          <cell r="K11">
            <v>600</v>
          </cell>
          <cell r="L11" t="str">
            <v>1648*1985*1710</v>
          </cell>
          <cell r="O11" t="str">
            <v>I</v>
          </cell>
          <cell r="P11">
            <v>1</v>
          </cell>
          <cell r="Q11">
            <v>2575</v>
          </cell>
          <cell r="S11">
            <v>1</v>
          </cell>
          <cell r="T11" t="str">
            <v/>
          </cell>
          <cell r="U11">
            <v>1</v>
          </cell>
          <cell r="AF11">
            <v>1</v>
          </cell>
          <cell r="AG11">
            <v>1</v>
          </cell>
        </row>
        <row r="12">
          <cell r="D12" t="str">
            <v>AA030-RIN1</v>
          </cell>
          <cell r="E12" t="str">
            <v>RGV Port</v>
          </cell>
          <cell r="F12" t="str">
            <v>L10</v>
          </cell>
          <cell r="G12" t="str">
            <v>Array</v>
          </cell>
          <cell r="H12" t="str">
            <v>Array</v>
          </cell>
          <cell r="I12" t="str">
            <v>1F</v>
          </cell>
          <cell r="J12" t="str">
            <v>Normal</v>
          </cell>
          <cell r="K12">
            <v>600</v>
          </cell>
          <cell r="L12" t="str">
            <v>1648*1985*1710</v>
          </cell>
          <cell r="O12" t="str">
            <v>I</v>
          </cell>
          <cell r="P12">
            <v>1</v>
          </cell>
          <cell r="Q12">
            <v>2575</v>
          </cell>
          <cell r="S12">
            <v>1</v>
          </cell>
          <cell r="T12" t="str">
            <v/>
          </cell>
          <cell r="U12">
            <v>1</v>
          </cell>
          <cell r="AF12">
            <v>1</v>
          </cell>
          <cell r="AG12">
            <v>1</v>
          </cell>
        </row>
        <row r="13">
          <cell r="D13" t="str">
            <v>AA030-RIN2</v>
          </cell>
          <cell r="E13" t="str">
            <v>RGV Port</v>
          </cell>
          <cell r="F13" t="str">
            <v>L10</v>
          </cell>
          <cell r="G13" t="str">
            <v>Array</v>
          </cell>
          <cell r="H13" t="str">
            <v>Array</v>
          </cell>
          <cell r="I13" t="str">
            <v>1F</v>
          </cell>
          <cell r="J13" t="str">
            <v>Normal</v>
          </cell>
          <cell r="K13">
            <v>600</v>
          </cell>
          <cell r="L13" t="str">
            <v>1648*1985*1710</v>
          </cell>
          <cell r="O13" t="str">
            <v>I</v>
          </cell>
          <cell r="P13">
            <v>1</v>
          </cell>
          <cell r="Q13">
            <v>2575</v>
          </cell>
          <cell r="S13">
            <v>1</v>
          </cell>
          <cell r="T13" t="str">
            <v/>
          </cell>
          <cell r="U13">
            <v>1</v>
          </cell>
          <cell r="AF13">
            <v>1</v>
          </cell>
          <cell r="AG13">
            <v>1</v>
          </cell>
        </row>
        <row r="14">
          <cell r="D14" t="str">
            <v>AA030-ROUT1</v>
          </cell>
          <cell r="E14" t="str">
            <v>RGV Port</v>
          </cell>
          <cell r="F14" t="str">
            <v>L10</v>
          </cell>
          <cell r="G14" t="str">
            <v>Array</v>
          </cell>
          <cell r="H14" t="str">
            <v>Array</v>
          </cell>
          <cell r="I14" t="str">
            <v>1F</v>
          </cell>
          <cell r="J14" t="str">
            <v>Normal</v>
          </cell>
          <cell r="K14">
            <v>600</v>
          </cell>
          <cell r="L14" t="str">
            <v>1648*1985*1710</v>
          </cell>
          <cell r="O14" t="str">
            <v>I</v>
          </cell>
          <cell r="P14">
            <v>1</v>
          </cell>
          <cell r="Q14">
            <v>2575</v>
          </cell>
          <cell r="S14">
            <v>1</v>
          </cell>
          <cell r="T14" t="str">
            <v/>
          </cell>
          <cell r="U14">
            <v>1</v>
          </cell>
          <cell r="AF14">
            <v>1</v>
          </cell>
          <cell r="AG14">
            <v>1</v>
          </cell>
        </row>
        <row r="15">
          <cell r="D15" t="str">
            <v>AA030-ROUT2</v>
          </cell>
          <cell r="E15" t="str">
            <v>RGV Port</v>
          </cell>
          <cell r="F15" t="str">
            <v>L10</v>
          </cell>
          <cell r="G15" t="str">
            <v>Array</v>
          </cell>
          <cell r="H15" t="str">
            <v>Array</v>
          </cell>
          <cell r="I15" t="str">
            <v>1F</v>
          </cell>
          <cell r="J15" t="str">
            <v>Normal</v>
          </cell>
          <cell r="K15">
            <v>600</v>
          </cell>
          <cell r="L15" t="str">
            <v>1648*1985*1710</v>
          </cell>
          <cell r="O15" t="str">
            <v>I</v>
          </cell>
          <cell r="P15">
            <v>1</v>
          </cell>
          <cell r="Q15">
            <v>2575</v>
          </cell>
          <cell r="S15">
            <v>1</v>
          </cell>
          <cell r="T15" t="str">
            <v/>
          </cell>
          <cell r="U15">
            <v>1</v>
          </cell>
          <cell r="AF15">
            <v>1</v>
          </cell>
          <cell r="AG15">
            <v>1</v>
          </cell>
        </row>
        <row r="16">
          <cell r="D16" t="str">
            <v>AA040-RIN1</v>
          </cell>
          <cell r="E16" t="str">
            <v>RGV Port</v>
          </cell>
          <cell r="F16" t="str">
            <v>L10</v>
          </cell>
          <cell r="G16" t="str">
            <v>Array</v>
          </cell>
          <cell r="H16" t="str">
            <v>Array</v>
          </cell>
          <cell r="I16" t="str">
            <v>1F</v>
          </cell>
          <cell r="J16" t="str">
            <v>Normal</v>
          </cell>
          <cell r="K16">
            <v>600</v>
          </cell>
          <cell r="L16" t="str">
            <v>1648*1985*1710</v>
          </cell>
          <cell r="O16" t="str">
            <v>I</v>
          </cell>
          <cell r="P16">
            <v>1</v>
          </cell>
          <cell r="Q16">
            <v>2575</v>
          </cell>
          <cell r="S16">
            <v>1</v>
          </cell>
          <cell r="T16" t="str">
            <v/>
          </cell>
          <cell r="U16">
            <v>1</v>
          </cell>
          <cell r="AF16">
            <v>1</v>
          </cell>
          <cell r="AG16">
            <v>1</v>
          </cell>
        </row>
        <row r="17">
          <cell r="D17" t="str">
            <v>AA040-RIN2</v>
          </cell>
          <cell r="E17" t="str">
            <v>RGV Port</v>
          </cell>
          <cell r="F17" t="str">
            <v>L10</v>
          </cell>
          <cell r="G17" t="str">
            <v>Array</v>
          </cell>
          <cell r="H17" t="str">
            <v>Array</v>
          </cell>
          <cell r="I17" t="str">
            <v>1F</v>
          </cell>
          <cell r="J17" t="str">
            <v>Normal</v>
          </cell>
          <cell r="K17">
            <v>600</v>
          </cell>
          <cell r="L17" t="str">
            <v>1648*1985*1710</v>
          </cell>
          <cell r="O17" t="str">
            <v>I</v>
          </cell>
          <cell r="P17">
            <v>1</v>
          </cell>
          <cell r="Q17">
            <v>2575</v>
          </cell>
          <cell r="S17">
            <v>1</v>
          </cell>
          <cell r="T17" t="str">
            <v/>
          </cell>
          <cell r="U17">
            <v>1</v>
          </cell>
          <cell r="AF17">
            <v>1</v>
          </cell>
          <cell r="AG17">
            <v>1</v>
          </cell>
        </row>
        <row r="18">
          <cell r="D18" t="str">
            <v>AA040-ROUT1</v>
          </cell>
          <cell r="E18" t="str">
            <v>RGV Port</v>
          </cell>
          <cell r="F18" t="str">
            <v>L10</v>
          </cell>
          <cell r="G18" t="str">
            <v>Array</v>
          </cell>
          <cell r="H18" t="str">
            <v>Array</v>
          </cell>
          <cell r="I18" t="str">
            <v>1F</v>
          </cell>
          <cell r="J18" t="str">
            <v>Normal</v>
          </cell>
          <cell r="K18">
            <v>600</v>
          </cell>
          <cell r="L18" t="str">
            <v>1648*1985*1710</v>
          </cell>
          <cell r="O18" t="str">
            <v>I</v>
          </cell>
          <cell r="P18">
            <v>1</v>
          </cell>
          <cell r="Q18">
            <v>2575</v>
          </cell>
          <cell r="S18">
            <v>1</v>
          </cell>
          <cell r="T18" t="str">
            <v/>
          </cell>
          <cell r="U18">
            <v>1</v>
          </cell>
          <cell r="AF18">
            <v>1</v>
          </cell>
          <cell r="AG18">
            <v>1</v>
          </cell>
        </row>
        <row r="19">
          <cell r="D19" t="str">
            <v>AA040-ROUT2</v>
          </cell>
          <cell r="E19" t="str">
            <v>RGV Port</v>
          </cell>
          <cell r="F19" t="str">
            <v>L10</v>
          </cell>
          <cell r="G19" t="str">
            <v>Array</v>
          </cell>
          <cell r="H19" t="str">
            <v>Array</v>
          </cell>
          <cell r="I19" t="str">
            <v>1F</v>
          </cell>
          <cell r="J19" t="str">
            <v>Normal</v>
          </cell>
          <cell r="K19">
            <v>600</v>
          </cell>
          <cell r="L19" t="str">
            <v>1648*1985*1710</v>
          </cell>
          <cell r="O19" t="str">
            <v>I</v>
          </cell>
          <cell r="P19">
            <v>1</v>
          </cell>
          <cell r="Q19">
            <v>2575</v>
          </cell>
          <cell r="S19">
            <v>1</v>
          </cell>
          <cell r="T19" t="str">
            <v/>
          </cell>
          <cell r="U19">
            <v>1</v>
          </cell>
          <cell r="AF19">
            <v>1</v>
          </cell>
          <cell r="AG19">
            <v>1</v>
          </cell>
        </row>
        <row r="20">
          <cell r="D20" t="str">
            <v>AA050-AIN1</v>
          </cell>
          <cell r="E20" t="str">
            <v>AGV Port</v>
          </cell>
          <cell r="F20" t="str">
            <v>L10</v>
          </cell>
          <cell r="G20" t="str">
            <v>Array</v>
          </cell>
          <cell r="H20" t="str">
            <v>Array</v>
          </cell>
          <cell r="I20" t="str">
            <v>1F</v>
          </cell>
          <cell r="J20" t="str">
            <v>Normal</v>
          </cell>
          <cell r="K20">
            <v>600</v>
          </cell>
          <cell r="L20" t="str">
            <v>1648*1985*1710</v>
          </cell>
          <cell r="O20" t="str">
            <v>I</v>
          </cell>
          <cell r="P20">
            <v>2</v>
          </cell>
          <cell r="Q20">
            <v>4000</v>
          </cell>
          <cell r="S20">
            <v>1</v>
          </cell>
          <cell r="T20">
            <v>1</v>
          </cell>
          <cell r="U20">
            <v>1</v>
          </cell>
          <cell r="AF20">
            <v>1</v>
          </cell>
          <cell r="AG20">
            <v>1</v>
          </cell>
        </row>
        <row r="21">
          <cell r="D21" t="str">
            <v>AA050-AOUT1</v>
          </cell>
          <cell r="E21" t="str">
            <v>AGV Port</v>
          </cell>
          <cell r="F21" t="str">
            <v>L10</v>
          </cell>
          <cell r="G21" t="str">
            <v>Array</v>
          </cell>
          <cell r="H21" t="str">
            <v>Array</v>
          </cell>
          <cell r="I21" t="str">
            <v>1F</v>
          </cell>
          <cell r="J21" t="str">
            <v>Normal</v>
          </cell>
          <cell r="K21">
            <v>600</v>
          </cell>
          <cell r="L21" t="str">
            <v>1648*1985*1710</v>
          </cell>
          <cell r="O21" t="str">
            <v>I</v>
          </cell>
          <cell r="P21">
            <v>2</v>
          </cell>
          <cell r="Q21">
            <v>4000</v>
          </cell>
          <cell r="S21">
            <v>1</v>
          </cell>
          <cell r="T21">
            <v>1</v>
          </cell>
          <cell r="U21">
            <v>1</v>
          </cell>
          <cell r="AF21">
            <v>1</v>
          </cell>
          <cell r="AG21">
            <v>1</v>
          </cell>
        </row>
        <row r="22">
          <cell r="D22" t="str">
            <v>AA050-MGV1</v>
          </cell>
          <cell r="E22" t="str">
            <v>MGV Port</v>
          </cell>
          <cell r="F22" t="str">
            <v>L10</v>
          </cell>
          <cell r="G22" t="str">
            <v>Array</v>
          </cell>
          <cell r="H22" t="str">
            <v>Array</v>
          </cell>
          <cell r="I22" t="str">
            <v>1F</v>
          </cell>
          <cell r="J22" t="str">
            <v>Normal</v>
          </cell>
          <cell r="K22">
            <v>600</v>
          </cell>
          <cell r="L22" t="str">
            <v>1648*1985*1710</v>
          </cell>
          <cell r="O22" t="str">
            <v>I</v>
          </cell>
          <cell r="P22">
            <v>1</v>
          </cell>
          <cell r="Q22">
            <v>2575</v>
          </cell>
          <cell r="S22">
            <v>1</v>
          </cell>
          <cell r="T22" t="str">
            <v/>
          </cell>
          <cell r="U22">
            <v>1</v>
          </cell>
          <cell r="AF22">
            <v>1</v>
          </cell>
          <cell r="AG22">
            <v>1</v>
          </cell>
        </row>
        <row r="23">
          <cell r="D23" t="str">
            <v>AA060-AIN1</v>
          </cell>
          <cell r="E23" t="str">
            <v>AGV Port</v>
          </cell>
          <cell r="F23" t="str">
            <v>L10</v>
          </cell>
          <cell r="G23" t="str">
            <v>Array</v>
          </cell>
          <cell r="H23" t="str">
            <v>Array</v>
          </cell>
          <cell r="I23" t="str">
            <v>1F</v>
          </cell>
          <cell r="J23" t="str">
            <v>Normal</v>
          </cell>
          <cell r="K23">
            <v>600</v>
          </cell>
          <cell r="L23" t="str">
            <v>1648*1985*1710</v>
          </cell>
          <cell r="O23" t="str">
            <v>I</v>
          </cell>
          <cell r="P23">
            <v>2</v>
          </cell>
          <cell r="Q23">
            <v>4000</v>
          </cell>
          <cell r="S23">
            <v>1</v>
          </cell>
          <cell r="T23">
            <v>1</v>
          </cell>
          <cell r="U23">
            <v>1</v>
          </cell>
          <cell r="AF23">
            <v>1</v>
          </cell>
          <cell r="AG23">
            <v>1</v>
          </cell>
        </row>
        <row r="24">
          <cell r="D24" t="str">
            <v>AA060-AOUT1</v>
          </cell>
          <cell r="E24" t="str">
            <v>AGV Port</v>
          </cell>
          <cell r="F24" t="str">
            <v>L10</v>
          </cell>
          <cell r="G24" t="str">
            <v>Array</v>
          </cell>
          <cell r="H24" t="str">
            <v>Array</v>
          </cell>
          <cell r="I24" t="str">
            <v>1F</v>
          </cell>
          <cell r="J24" t="str">
            <v>Normal</v>
          </cell>
          <cell r="K24">
            <v>600</v>
          </cell>
          <cell r="L24" t="str">
            <v>1648*1985*1710</v>
          </cell>
          <cell r="O24" t="str">
            <v>I</v>
          </cell>
          <cell r="P24">
            <v>2</v>
          </cell>
          <cell r="Q24">
            <v>4000</v>
          </cell>
          <cell r="S24">
            <v>1</v>
          </cell>
          <cell r="T24">
            <v>1</v>
          </cell>
          <cell r="U24">
            <v>1</v>
          </cell>
          <cell r="AF24">
            <v>1</v>
          </cell>
          <cell r="AG24">
            <v>1</v>
          </cell>
        </row>
        <row r="25">
          <cell r="D25" t="str">
            <v>AA060-MGV1</v>
          </cell>
          <cell r="E25" t="str">
            <v>MGV Port</v>
          </cell>
          <cell r="F25" t="str">
            <v>L10</v>
          </cell>
          <cell r="G25" t="str">
            <v>Array</v>
          </cell>
          <cell r="H25" t="str">
            <v>Array</v>
          </cell>
          <cell r="I25" t="str">
            <v>1F</v>
          </cell>
          <cell r="J25" t="str">
            <v>Normal</v>
          </cell>
          <cell r="K25">
            <v>600</v>
          </cell>
          <cell r="L25" t="str">
            <v>1648*1985*1710</v>
          </cell>
          <cell r="O25" t="str">
            <v>I</v>
          </cell>
          <cell r="P25">
            <v>1</v>
          </cell>
          <cell r="Q25">
            <v>2575</v>
          </cell>
          <cell r="S25">
            <v>1</v>
          </cell>
          <cell r="T25" t="str">
            <v/>
          </cell>
          <cell r="U25">
            <v>1</v>
          </cell>
          <cell r="AF25">
            <v>1</v>
          </cell>
          <cell r="AG25">
            <v>1</v>
          </cell>
        </row>
        <row r="26">
          <cell r="D26" t="str">
            <v>AA070-AIN1</v>
          </cell>
          <cell r="E26" t="str">
            <v>AGV Port</v>
          </cell>
          <cell r="F26" t="str">
            <v>L10</v>
          </cell>
          <cell r="G26" t="str">
            <v>Array</v>
          </cell>
          <cell r="H26" t="str">
            <v>Array</v>
          </cell>
          <cell r="I26" t="str">
            <v>1F</v>
          </cell>
          <cell r="J26" t="str">
            <v>Normal</v>
          </cell>
          <cell r="K26">
            <v>600</v>
          </cell>
          <cell r="L26" t="str">
            <v>1648*1985*1710</v>
          </cell>
          <cell r="O26" t="str">
            <v>I</v>
          </cell>
          <cell r="P26">
            <v>1</v>
          </cell>
          <cell r="Q26">
            <v>2575</v>
          </cell>
          <cell r="S26">
            <v>1</v>
          </cell>
          <cell r="T26" t="str">
            <v/>
          </cell>
          <cell r="U26">
            <v>1</v>
          </cell>
          <cell r="AF26">
            <v>1</v>
          </cell>
          <cell r="AG26">
            <v>1</v>
          </cell>
        </row>
        <row r="27">
          <cell r="D27" t="str">
            <v>AA070-AOUT1</v>
          </cell>
          <cell r="E27" t="str">
            <v>AGV Port</v>
          </cell>
          <cell r="F27" t="str">
            <v>L10</v>
          </cell>
          <cell r="G27" t="str">
            <v>Array</v>
          </cell>
          <cell r="H27" t="str">
            <v>Array</v>
          </cell>
          <cell r="I27" t="str">
            <v>1F</v>
          </cell>
          <cell r="J27" t="str">
            <v>Normal</v>
          </cell>
          <cell r="K27">
            <v>600</v>
          </cell>
          <cell r="L27" t="str">
            <v>1648*1985*1710</v>
          </cell>
          <cell r="O27" t="str">
            <v>I</v>
          </cell>
          <cell r="P27">
            <v>1</v>
          </cell>
          <cell r="Q27">
            <v>2575</v>
          </cell>
          <cell r="S27">
            <v>1</v>
          </cell>
          <cell r="T27" t="str">
            <v/>
          </cell>
          <cell r="U27">
            <v>1</v>
          </cell>
          <cell r="AF27">
            <v>1</v>
          </cell>
          <cell r="AG27">
            <v>1</v>
          </cell>
        </row>
        <row r="28">
          <cell r="D28" t="str">
            <v>AA070-MGV1</v>
          </cell>
          <cell r="E28" t="str">
            <v>MGV Port</v>
          </cell>
          <cell r="F28" t="str">
            <v>L10</v>
          </cell>
          <cell r="G28" t="str">
            <v>Array</v>
          </cell>
          <cell r="H28" t="str">
            <v>Array</v>
          </cell>
          <cell r="I28" t="str">
            <v>1F</v>
          </cell>
          <cell r="J28" t="str">
            <v>Normal</v>
          </cell>
          <cell r="K28">
            <v>600</v>
          </cell>
          <cell r="L28" t="str">
            <v>1648*1985*1710</v>
          </cell>
          <cell r="O28" t="str">
            <v>I</v>
          </cell>
          <cell r="P28">
            <v>1</v>
          </cell>
          <cell r="Q28">
            <v>2575</v>
          </cell>
          <cell r="S28">
            <v>1</v>
          </cell>
          <cell r="T28" t="str">
            <v/>
          </cell>
          <cell r="U28">
            <v>1</v>
          </cell>
          <cell r="AF28">
            <v>1</v>
          </cell>
          <cell r="AG28">
            <v>1</v>
          </cell>
        </row>
        <row r="29">
          <cell r="D29" t="str">
            <v>AA070-RIN1</v>
          </cell>
          <cell r="E29" t="str">
            <v>RGV Port</v>
          </cell>
          <cell r="F29" t="str">
            <v>L10</v>
          </cell>
          <cell r="G29" t="str">
            <v>Array</v>
          </cell>
          <cell r="H29" t="str">
            <v>Array</v>
          </cell>
          <cell r="I29" t="str">
            <v>1F</v>
          </cell>
          <cell r="J29" t="str">
            <v>Normal</v>
          </cell>
          <cell r="K29">
            <v>600</v>
          </cell>
          <cell r="L29" t="str">
            <v>1648*1985*1710</v>
          </cell>
          <cell r="O29" t="str">
            <v>I</v>
          </cell>
          <cell r="P29">
            <v>1</v>
          </cell>
          <cell r="Q29">
            <v>2575</v>
          </cell>
          <cell r="S29">
            <v>1</v>
          </cell>
          <cell r="T29" t="str">
            <v/>
          </cell>
          <cell r="U29">
            <v>1</v>
          </cell>
          <cell r="AF29">
            <v>1</v>
          </cell>
          <cell r="AG29">
            <v>1</v>
          </cell>
        </row>
        <row r="30">
          <cell r="D30" t="str">
            <v>AA070-ROUT1</v>
          </cell>
          <cell r="E30" t="str">
            <v>RGV Port</v>
          </cell>
          <cell r="F30" t="str">
            <v>L10</v>
          </cell>
          <cell r="G30" t="str">
            <v>Array</v>
          </cell>
          <cell r="H30" t="str">
            <v>Array</v>
          </cell>
          <cell r="I30" t="str">
            <v>1F</v>
          </cell>
          <cell r="J30" t="str">
            <v>Normal</v>
          </cell>
          <cell r="K30">
            <v>600</v>
          </cell>
          <cell r="L30" t="str">
            <v>1648*1985*1710</v>
          </cell>
          <cell r="O30" t="str">
            <v>I</v>
          </cell>
          <cell r="P30">
            <v>1</v>
          </cell>
          <cell r="Q30">
            <v>2575</v>
          </cell>
          <cell r="S30">
            <v>1</v>
          </cell>
          <cell r="T30" t="str">
            <v/>
          </cell>
          <cell r="U30">
            <v>1</v>
          </cell>
          <cell r="AF30">
            <v>1</v>
          </cell>
          <cell r="AG30">
            <v>1</v>
          </cell>
        </row>
        <row r="31">
          <cell r="D31" t="str">
            <v>AA080-AIN1</v>
          </cell>
          <cell r="E31" t="str">
            <v>AGV Port</v>
          </cell>
          <cell r="F31" t="str">
            <v>L10</v>
          </cell>
          <cell r="G31" t="str">
            <v>Array</v>
          </cell>
          <cell r="H31" t="str">
            <v>Array</v>
          </cell>
          <cell r="I31" t="str">
            <v>1F</v>
          </cell>
          <cell r="J31" t="str">
            <v>Normal</v>
          </cell>
          <cell r="K31">
            <v>600</v>
          </cell>
          <cell r="L31" t="str">
            <v>1648*1985*1710</v>
          </cell>
          <cell r="O31" t="str">
            <v>I</v>
          </cell>
          <cell r="P31">
            <v>2</v>
          </cell>
          <cell r="Q31">
            <v>4000</v>
          </cell>
          <cell r="S31">
            <v>1</v>
          </cell>
          <cell r="T31">
            <v>1</v>
          </cell>
          <cell r="U31">
            <v>1</v>
          </cell>
          <cell r="AF31">
            <v>1</v>
          </cell>
          <cell r="AG31">
            <v>1</v>
          </cell>
        </row>
        <row r="32">
          <cell r="D32" t="str">
            <v>AA080-AOUT1</v>
          </cell>
          <cell r="E32" t="str">
            <v>AGV Port</v>
          </cell>
          <cell r="F32" t="str">
            <v>L10</v>
          </cell>
          <cell r="G32" t="str">
            <v>Array</v>
          </cell>
          <cell r="H32" t="str">
            <v>Array</v>
          </cell>
          <cell r="I32" t="str">
            <v>1F</v>
          </cell>
          <cell r="J32" t="str">
            <v>Normal</v>
          </cell>
          <cell r="K32">
            <v>600</v>
          </cell>
          <cell r="L32" t="str">
            <v>1648*1985*1710</v>
          </cell>
          <cell r="O32" t="str">
            <v>I</v>
          </cell>
          <cell r="P32">
            <v>2</v>
          </cell>
          <cell r="Q32">
            <v>4000</v>
          </cell>
          <cell r="S32">
            <v>1</v>
          </cell>
          <cell r="T32">
            <v>1</v>
          </cell>
          <cell r="U32">
            <v>1</v>
          </cell>
          <cell r="AF32">
            <v>1</v>
          </cell>
          <cell r="AG32">
            <v>1</v>
          </cell>
        </row>
        <row r="33">
          <cell r="D33" t="str">
            <v>AA080-MGV1</v>
          </cell>
          <cell r="E33" t="str">
            <v>MGV Port</v>
          </cell>
          <cell r="F33" t="str">
            <v>L10</v>
          </cell>
          <cell r="G33" t="str">
            <v>Array</v>
          </cell>
          <cell r="H33" t="str">
            <v>Array</v>
          </cell>
          <cell r="I33" t="str">
            <v>1F</v>
          </cell>
          <cell r="J33" t="str">
            <v>Normal</v>
          </cell>
          <cell r="K33">
            <v>600</v>
          </cell>
          <cell r="L33" t="str">
            <v>1648*1985*1710</v>
          </cell>
          <cell r="O33" t="str">
            <v>I</v>
          </cell>
          <cell r="P33">
            <v>1</v>
          </cell>
          <cell r="Q33">
            <v>2575</v>
          </cell>
          <cell r="S33">
            <v>1</v>
          </cell>
          <cell r="U33">
            <v>1</v>
          </cell>
          <cell r="AF33">
            <v>1</v>
          </cell>
          <cell r="AG33">
            <v>1</v>
          </cell>
        </row>
        <row r="34">
          <cell r="D34" t="str">
            <v>AA090-AIN1</v>
          </cell>
          <cell r="E34" t="str">
            <v>AGV Port</v>
          </cell>
          <cell r="F34" t="str">
            <v>L10</v>
          </cell>
          <cell r="G34" t="str">
            <v>Array</v>
          </cell>
          <cell r="H34" t="str">
            <v>Array</v>
          </cell>
          <cell r="I34" t="str">
            <v>1F</v>
          </cell>
          <cell r="J34" t="str">
            <v>Normal</v>
          </cell>
          <cell r="K34">
            <v>600</v>
          </cell>
          <cell r="L34" t="str">
            <v>1648*1985*1710</v>
          </cell>
          <cell r="O34" t="str">
            <v>I</v>
          </cell>
          <cell r="P34">
            <v>1</v>
          </cell>
          <cell r="Q34">
            <v>2575</v>
          </cell>
          <cell r="S34">
            <v>1</v>
          </cell>
          <cell r="T34" t="str">
            <v/>
          </cell>
          <cell r="U34">
            <v>1</v>
          </cell>
          <cell r="AF34">
            <v>1</v>
          </cell>
          <cell r="AG34">
            <v>1</v>
          </cell>
        </row>
        <row r="35">
          <cell r="D35" t="str">
            <v>AA090-AOUT1</v>
          </cell>
          <cell r="E35" t="str">
            <v>AGV Port</v>
          </cell>
          <cell r="F35" t="str">
            <v>L10</v>
          </cell>
          <cell r="G35" t="str">
            <v>Array</v>
          </cell>
          <cell r="H35" t="str">
            <v>Array</v>
          </cell>
          <cell r="I35" t="str">
            <v>1F</v>
          </cell>
          <cell r="J35" t="str">
            <v>Normal</v>
          </cell>
          <cell r="K35">
            <v>600</v>
          </cell>
          <cell r="L35" t="str">
            <v>1648*1985*1710</v>
          </cell>
          <cell r="O35" t="str">
            <v>I</v>
          </cell>
          <cell r="P35">
            <v>1</v>
          </cell>
          <cell r="Q35">
            <v>2575</v>
          </cell>
          <cell r="S35">
            <v>1</v>
          </cell>
          <cell r="T35" t="str">
            <v/>
          </cell>
          <cell r="U35">
            <v>1</v>
          </cell>
          <cell r="AF35">
            <v>1</v>
          </cell>
          <cell r="AG35">
            <v>1</v>
          </cell>
        </row>
        <row r="36">
          <cell r="D36" t="str">
            <v>AA090-MGV1</v>
          </cell>
          <cell r="E36" t="str">
            <v>MGV Port</v>
          </cell>
          <cell r="F36" t="str">
            <v>L10</v>
          </cell>
          <cell r="G36" t="str">
            <v>Array</v>
          </cell>
          <cell r="H36" t="str">
            <v>Array</v>
          </cell>
          <cell r="I36" t="str">
            <v>1F</v>
          </cell>
          <cell r="J36" t="str">
            <v>Normal</v>
          </cell>
          <cell r="K36">
            <v>600</v>
          </cell>
          <cell r="L36" t="str">
            <v>1648*1985*1710</v>
          </cell>
          <cell r="O36" t="str">
            <v>I</v>
          </cell>
          <cell r="P36">
            <v>1</v>
          </cell>
          <cell r="Q36">
            <v>2575</v>
          </cell>
          <cell r="S36">
            <v>1</v>
          </cell>
          <cell r="T36" t="str">
            <v/>
          </cell>
          <cell r="U36">
            <v>1</v>
          </cell>
          <cell r="AF36">
            <v>1</v>
          </cell>
          <cell r="AG36">
            <v>1</v>
          </cell>
        </row>
        <row r="37">
          <cell r="D37" t="str">
            <v>AA100-AIN1</v>
          </cell>
          <cell r="E37" t="str">
            <v>AGV Port</v>
          </cell>
          <cell r="F37" t="str">
            <v>L10</v>
          </cell>
          <cell r="G37" t="str">
            <v>Array</v>
          </cell>
          <cell r="H37" t="str">
            <v>Array</v>
          </cell>
          <cell r="I37" t="str">
            <v>1F</v>
          </cell>
          <cell r="J37" t="str">
            <v>Normal</v>
          </cell>
          <cell r="K37">
            <v>600</v>
          </cell>
          <cell r="L37" t="str">
            <v>1648*1985*1710</v>
          </cell>
          <cell r="O37" t="str">
            <v>I</v>
          </cell>
          <cell r="P37">
            <v>2</v>
          </cell>
          <cell r="Q37">
            <v>4000</v>
          </cell>
          <cell r="S37">
            <v>1</v>
          </cell>
          <cell r="T37">
            <v>1</v>
          </cell>
          <cell r="U37">
            <v>1</v>
          </cell>
          <cell r="AF37">
            <v>1</v>
          </cell>
          <cell r="AG37">
            <v>1</v>
          </cell>
        </row>
        <row r="38">
          <cell r="D38" t="str">
            <v>AA100-AOUT1</v>
          </cell>
          <cell r="E38" t="str">
            <v>AGV Port</v>
          </cell>
          <cell r="F38" t="str">
            <v>L10</v>
          </cell>
          <cell r="G38" t="str">
            <v>Array</v>
          </cell>
          <cell r="H38" t="str">
            <v>Array</v>
          </cell>
          <cell r="I38" t="str">
            <v>1F</v>
          </cell>
          <cell r="J38" t="str">
            <v>Normal</v>
          </cell>
          <cell r="K38">
            <v>600</v>
          </cell>
          <cell r="L38" t="str">
            <v>1648*1985*1710</v>
          </cell>
          <cell r="O38" t="str">
            <v>I</v>
          </cell>
          <cell r="P38">
            <v>2</v>
          </cell>
          <cell r="Q38">
            <v>4000</v>
          </cell>
          <cell r="S38">
            <v>1</v>
          </cell>
          <cell r="T38">
            <v>1</v>
          </cell>
          <cell r="U38">
            <v>1</v>
          </cell>
          <cell r="AF38">
            <v>1</v>
          </cell>
          <cell r="AG38">
            <v>1</v>
          </cell>
        </row>
        <row r="39">
          <cell r="D39" t="str">
            <v>AA100-MGV1</v>
          </cell>
          <cell r="E39" t="str">
            <v>MGV Port</v>
          </cell>
          <cell r="F39" t="str">
            <v>L10</v>
          </cell>
          <cell r="G39" t="str">
            <v>Array</v>
          </cell>
          <cell r="H39" t="str">
            <v>Array</v>
          </cell>
          <cell r="I39" t="str">
            <v>1F</v>
          </cell>
          <cell r="J39" t="str">
            <v>Normal</v>
          </cell>
          <cell r="K39">
            <v>600</v>
          </cell>
          <cell r="L39" t="str">
            <v>1648*1985*1710</v>
          </cell>
          <cell r="O39" t="str">
            <v>I</v>
          </cell>
          <cell r="P39">
            <v>1</v>
          </cell>
          <cell r="Q39">
            <v>2575</v>
          </cell>
          <cell r="S39">
            <v>1</v>
          </cell>
          <cell r="T39" t="str">
            <v/>
          </cell>
          <cell r="U39">
            <v>1</v>
          </cell>
          <cell r="AF39">
            <v>1</v>
          </cell>
          <cell r="AG39">
            <v>1</v>
          </cell>
        </row>
        <row r="40">
          <cell r="D40" t="str">
            <v>AA110-AIN1</v>
          </cell>
          <cell r="E40" t="str">
            <v>AGV Port</v>
          </cell>
          <cell r="F40" t="str">
            <v>L10</v>
          </cell>
          <cell r="G40" t="str">
            <v>Array</v>
          </cell>
          <cell r="H40" t="str">
            <v>Array</v>
          </cell>
          <cell r="I40" t="str">
            <v>1F</v>
          </cell>
          <cell r="J40" t="str">
            <v>Normal</v>
          </cell>
          <cell r="K40">
            <v>600</v>
          </cell>
          <cell r="L40" t="str">
            <v>1648*1985*1710</v>
          </cell>
          <cell r="O40" t="str">
            <v>L</v>
          </cell>
          <cell r="P40">
            <v>2</v>
          </cell>
          <cell r="Q40">
            <v>4500</v>
          </cell>
          <cell r="R40">
            <v>1200</v>
          </cell>
          <cell r="S40">
            <v>1</v>
          </cell>
          <cell r="T40">
            <v>1</v>
          </cell>
          <cell r="U40">
            <v>1</v>
          </cell>
          <cell r="V40" t="str">
            <v/>
          </cell>
          <cell r="W40" t="str">
            <v/>
          </cell>
          <cell r="AF40">
            <v>1</v>
          </cell>
          <cell r="AG40">
            <v>1</v>
          </cell>
        </row>
        <row r="41">
          <cell r="D41" t="str">
            <v>AA110-AOUT1</v>
          </cell>
          <cell r="E41" t="str">
            <v>AGV Port</v>
          </cell>
          <cell r="F41" t="str">
            <v>L10</v>
          </cell>
          <cell r="G41" t="str">
            <v>Array</v>
          </cell>
          <cell r="H41" t="str">
            <v>Array</v>
          </cell>
          <cell r="I41" t="str">
            <v>1F</v>
          </cell>
          <cell r="J41" t="str">
            <v>Normal</v>
          </cell>
          <cell r="K41">
            <v>600</v>
          </cell>
          <cell r="L41" t="str">
            <v>1648*1985*1710</v>
          </cell>
          <cell r="O41" t="str">
            <v>L</v>
          </cell>
          <cell r="P41">
            <v>2</v>
          </cell>
          <cell r="Q41">
            <v>4500</v>
          </cell>
          <cell r="R41">
            <v>1200</v>
          </cell>
          <cell r="S41">
            <v>1</v>
          </cell>
          <cell r="T41">
            <v>1</v>
          </cell>
          <cell r="U41">
            <v>1</v>
          </cell>
          <cell r="V41" t="str">
            <v/>
          </cell>
          <cell r="W41" t="str">
            <v/>
          </cell>
          <cell r="AF41">
            <v>1</v>
          </cell>
          <cell r="AG41">
            <v>1</v>
          </cell>
        </row>
        <row r="42">
          <cell r="D42" t="str">
            <v>AA110-MGV1</v>
          </cell>
          <cell r="E42" t="str">
            <v>MGV Port</v>
          </cell>
          <cell r="F42" t="str">
            <v>L10</v>
          </cell>
          <cell r="G42" t="str">
            <v>Array</v>
          </cell>
          <cell r="H42" t="str">
            <v>Array</v>
          </cell>
          <cell r="I42" t="str">
            <v>1F</v>
          </cell>
          <cell r="J42" t="str">
            <v>Normal</v>
          </cell>
          <cell r="K42">
            <v>600</v>
          </cell>
          <cell r="L42" t="str">
            <v>1648*1985*1710</v>
          </cell>
        </row>
        <row r="43">
          <cell r="D43" t="str">
            <v>AA120-AIN1</v>
          </cell>
          <cell r="E43" t="str">
            <v>AGV Port</v>
          </cell>
          <cell r="F43" t="str">
            <v>L10</v>
          </cell>
          <cell r="G43" t="str">
            <v>Array</v>
          </cell>
          <cell r="H43" t="str">
            <v>Array</v>
          </cell>
          <cell r="I43" t="str">
            <v>1F</v>
          </cell>
          <cell r="J43" t="str">
            <v>Normal</v>
          </cell>
          <cell r="K43">
            <v>600</v>
          </cell>
          <cell r="L43" t="str">
            <v>1648*1985*1710</v>
          </cell>
          <cell r="O43" t="str">
            <v>I</v>
          </cell>
          <cell r="P43">
            <v>2</v>
          </cell>
          <cell r="Q43">
            <v>4000</v>
          </cell>
          <cell r="S43">
            <v>1</v>
          </cell>
          <cell r="T43">
            <v>1</v>
          </cell>
          <cell r="U43">
            <v>1</v>
          </cell>
          <cell r="AF43">
            <v>1</v>
          </cell>
          <cell r="AG43">
            <v>1</v>
          </cell>
        </row>
        <row r="44">
          <cell r="D44" t="str">
            <v>AA120-AOUT1</v>
          </cell>
          <cell r="E44" t="str">
            <v>AGV Port</v>
          </cell>
          <cell r="F44" t="str">
            <v>L10</v>
          </cell>
          <cell r="G44" t="str">
            <v>Array</v>
          </cell>
          <cell r="H44" t="str">
            <v>Array</v>
          </cell>
          <cell r="I44" t="str">
            <v>1F</v>
          </cell>
          <cell r="J44" t="str">
            <v>Normal</v>
          </cell>
          <cell r="K44">
            <v>600</v>
          </cell>
          <cell r="L44" t="str">
            <v>1648*1985*1710</v>
          </cell>
          <cell r="O44" t="str">
            <v>I</v>
          </cell>
          <cell r="P44">
            <v>2</v>
          </cell>
          <cell r="Q44">
            <v>4000</v>
          </cell>
          <cell r="S44">
            <v>1</v>
          </cell>
          <cell r="T44">
            <v>1</v>
          </cell>
          <cell r="U44">
            <v>1</v>
          </cell>
          <cell r="AF44">
            <v>1</v>
          </cell>
          <cell r="AG44">
            <v>1</v>
          </cell>
        </row>
        <row r="45">
          <cell r="D45" t="str">
            <v>AA130-AIN1</v>
          </cell>
          <cell r="E45" t="str">
            <v>AGV Port</v>
          </cell>
          <cell r="F45" t="str">
            <v>L10</v>
          </cell>
          <cell r="G45" t="str">
            <v>Array</v>
          </cell>
          <cell r="H45" t="str">
            <v>Array</v>
          </cell>
          <cell r="I45" t="str">
            <v>1F</v>
          </cell>
          <cell r="J45" t="str">
            <v>Normal</v>
          </cell>
          <cell r="K45">
            <v>600</v>
          </cell>
          <cell r="L45" t="str">
            <v>1648*1985*1710</v>
          </cell>
          <cell r="O45" t="str">
            <v>L</v>
          </cell>
          <cell r="P45">
            <v>2</v>
          </cell>
          <cell r="Q45">
            <v>4500</v>
          </cell>
          <cell r="R45">
            <v>1200</v>
          </cell>
          <cell r="S45">
            <v>1</v>
          </cell>
          <cell r="T45">
            <v>1</v>
          </cell>
          <cell r="U45">
            <v>1</v>
          </cell>
          <cell r="V45" t="str">
            <v/>
          </cell>
          <cell r="W45" t="str">
            <v/>
          </cell>
          <cell r="AF45">
            <v>1</v>
          </cell>
          <cell r="AG45">
            <v>1</v>
          </cell>
        </row>
        <row r="46">
          <cell r="D46" t="str">
            <v>AA130-AOUT1</v>
          </cell>
          <cell r="E46" t="str">
            <v>AGV Port</v>
          </cell>
          <cell r="F46" t="str">
            <v>L10</v>
          </cell>
          <cell r="G46" t="str">
            <v>Array</v>
          </cell>
          <cell r="H46" t="str">
            <v>Array</v>
          </cell>
          <cell r="I46" t="str">
            <v>1F</v>
          </cell>
          <cell r="J46" t="str">
            <v>Normal</v>
          </cell>
          <cell r="K46">
            <v>600</v>
          </cell>
          <cell r="L46" t="str">
            <v>1648*1985*1710</v>
          </cell>
          <cell r="O46" t="str">
            <v>I</v>
          </cell>
          <cell r="P46">
            <v>2</v>
          </cell>
          <cell r="Q46">
            <v>4000</v>
          </cell>
          <cell r="S46">
            <v>1</v>
          </cell>
          <cell r="T46">
            <v>1</v>
          </cell>
          <cell r="U46">
            <v>1</v>
          </cell>
          <cell r="AF46">
            <v>1</v>
          </cell>
          <cell r="AG46">
            <v>1</v>
          </cell>
        </row>
        <row r="47">
          <cell r="D47" t="str">
            <v>AA130-MGV1</v>
          </cell>
          <cell r="E47" t="str">
            <v>MGV Port</v>
          </cell>
          <cell r="F47" t="str">
            <v>L10</v>
          </cell>
          <cell r="G47" t="str">
            <v>Array</v>
          </cell>
          <cell r="H47" t="str">
            <v>Array</v>
          </cell>
          <cell r="I47" t="str">
            <v>1F</v>
          </cell>
          <cell r="J47" t="str">
            <v>Normal</v>
          </cell>
          <cell r="K47">
            <v>600</v>
          </cell>
          <cell r="L47" t="str">
            <v>1648*1985*1710</v>
          </cell>
          <cell r="O47" t="str">
            <v>I</v>
          </cell>
          <cell r="P47">
            <v>1</v>
          </cell>
          <cell r="Q47">
            <v>3520</v>
          </cell>
          <cell r="S47">
            <v>1</v>
          </cell>
          <cell r="U47">
            <v>1</v>
          </cell>
          <cell r="AF47">
            <v>1</v>
          </cell>
          <cell r="AG47">
            <v>1</v>
          </cell>
        </row>
        <row r="48">
          <cell r="D48" t="str">
            <v>AA140-AIN1</v>
          </cell>
          <cell r="E48" t="str">
            <v>AGV Port</v>
          </cell>
          <cell r="F48" t="str">
            <v>L10</v>
          </cell>
          <cell r="G48" t="str">
            <v>Array</v>
          </cell>
          <cell r="H48" t="str">
            <v>Array</v>
          </cell>
          <cell r="I48" t="str">
            <v>1F</v>
          </cell>
          <cell r="J48" t="str">
            <v>Normal</v>
          </cell>
          <cell r="K48">
            <v>600</v>
          </cell>
          <cell r="L48" t="str">
            <v>1648*1985*1710</v>
          </cell>
          <cell r="O48" t="str">
            <v>I</v>
          </cell>
          <cell r="P48">
            <v>2</v>
          </cell>
          <cell r="Q48">
            <v>4000</v>
          </cell>
          <cell r="S48">
            <v>1</v>
          </cell>
          <cell r="T48">
            <v>1</v>
          </cell>
          <cell r="U48">
            <v>1</v>
          </cell>
          <cell r="AF48">
            <v>1</v>
          </cell>
          <cell r="AG48">
            <v>1</v>
          </cell>
        </row>
        <row r="49">
          <cell r="D49" t="str">
            <v>AA140-AOUT1</v>
          </cell>
          <cell r="E49" t="str">
            <v>AGV Port</v>
          </cell>
          <cell r="F49" t="str">
            <v>L10</v>
          </cell>
          <cell r="G49" t="str">
            <v>Array</v>
          </cell>
          <cell r="H49" t="str">
            <v>Array</v>
          </cell>
          <cell r="I49" t="str">
            <v>1F</v>
          </cell>
          <cell r="J49" t="str">
            <v>Normal</v>
          </cell>
          <cell r="K49">
            <v>600</v>
          </cell>
          <cell r="L49" t="str">
            <v>1648*1985*1710</v>
          </cell>
          <cell r="O49" t="str">
            <v>I</v>
          </cell>
          <cell r="P49">
            <v>2</v>
          </cell>
          <cell r="Q49">
            <v>4000</v>
          </cell>
          <cell r="S49">
            <v>1</v>
          </cell>
          <cell r="T49">
            <v>1</v>
          </cell>
          <cell r="U49">
            <v>1</v>
          </cell>
          <cell r="AF49">
            <v>1</v>
          </cell>
          <cell r="AG49">
            <v>1</v>
          </cell>
        </row>
        <row r="50">
          <cell r="D50" t="str">
            <v>AA140-LIN1</v>
          </cell>
          <cell r="E50" t="str">
            <v>LFT Port</v>
          </cell>
          <cell r="F50" t="str">
            <v>L10</v>
          </cell>
          <cell r="G50" t="str">
            <v>Array</v>
          </cell>
          <cell r="H50" t="str">
            <v>Array</v>
          </cell>
          <cell r="I50" t="str">
            <v>1F</v>
          </cell>
          <cell r="J50" t="str">
            <v>Normal</v>
          </cell>
          <cell r="K50">
            <v>600</v>
          </cell>
          <cell r="L50" t="str">
            <v>1648*1985*1710</v>
          </cell>
          <cell r="O50" t="str">
            <v>I</v>
          </cell>
          <cell r="P50">
            <v>2</v>
          </cell>
          <cell r="Q50">
            <v>8100</v>
          </cell>
          <cell r="S50">
            <v>1</v>
          </cell>
          <cell r="T50">
            <v>1</v>
          </cell>
          <cell r="U50">
            <v>1</v>
          </cell>
          <cell r="AF50">
            <v>0</v>
          </cell>
          <cell r="AG50">
            <v>1</v>
          </cell>
        </row>
        <row r="51">
          <cell r="D51" t="str">
            <v>AA140-LOUT1</v>
          </cell>
          <cell r="E51" t="str">
            <v>LFT Port</v>
          </cell>
          <cell r="F51" t="str">
            <v>L10</v>
          </cell>
          <cell r="G51" t="str">
            <v>Array</v>
          </cell>
          <cell r="H51" t="str">
            <v>Array</v>
          </cell>
          <cell r="I51" t="str">
            <v>1F</v>
          </cell>
          <cell r="J51" t="str">
            <v>Normal</v>
          </cell>
          <cell r="K51">
            <v>600</v>
          </cell>
          <cell r="L51" t="str">
            <v>1648*1985*1710</v>
          </cell>
          <cell r="O51" t="str">
            <v>I</v>
          </cell>
          <cell r="P51">
            <v>2</v>
          </cell>
          <cell r="Q51">
            <v>10500</v>
          </cell>
          <cell r="S51">
            <v>1</v>
          </cell>
          <cell r="T51">
            <v>1</v>
          </cell>
          <cell r="U51">
            <v>1</v>
          </cell>
          <cell r="AF51">
            <v>0</v>
          </cell>
          <cell r="AG51">
            <v>1</v>
          </cell>
        </row>
        <row r="52">
          <cell r="D52" t="str">
            <v>AA140-MGV1</v>
          </cell>
          <cell r="E52" t="str">
            <v>MGV Port</v>
          </cell>
          <cell r="F52" t="str">
            <v>L10</v>
          </cell>
          <cell r="G52" t="str">
            <v>Array</v>
          </cell>
          <cell r="H52" t="str">
            <v>Array</v>
          </cell>
          <cell r="I52" t="str">
            <v>1F</v>
          </cell>
          <cell r="J52" t="str">
            <v>Normal</v>
          </cell>
          <cell r="K52">
            <v>600</v>
          </cell>
          <cell r="L52" t="str">
            <v>1648*1985*1710</v>
          </cell>
          <cell r="O52" t="str">
            <v>I</v>
          </cell>
          <cell r="P52">
            <v>1</v>
          </cell>
          <cell r="Q52">
            <v>2575</v>
          </cell>
          <cell r="S52">
            <v>1</v>
          </cell>
          <cell r="T52" t="str">
            <v/>
          </cell>
          <cell r="U52">
            <v>1</v>
          </cell>
          <cell r="AF52">
            <v>1</v>
          </cell>
          <cell r="AG52">
            <v>1</v>
          </cell>
        </row>
        <row r="53">
          <cell r="D53" t="str">
            <v>AA150-AIN1</v>
          </cell>
          <cell r="E53" t="str">
            <v>AGV Port</v>
          </cell>
          <cell r="F53" t="str">
            <v>L10</v>
          </cell>
          <cell r="G53" t="str">
            <v>Array</v>
          </cell>
          <cell r="H53" t="str">
            <v>Array</v>
          </cell>
          <cell r="I53" t="str">
            <v>1F</v>
          </cell>
          <cell r="J53" t="str">
            <v>Normal</v>
          </cell>
          <cell r="K53">
            <v>600</v>
          </cell>
          <cell r="L53" t="str">
            <v>1648*1985*1710</v>
          </cell>
          <cell r="O53" t="str">
            <v>I</v>
          </cell>
          <cell r="P53">
            <v>1</v>
          </cell>
          <cell r="Q53">
            <v>2575</v>
          </cell>
          <cell r="S53">
            <v>1</v>
          </cell>
          <cell r="T53" t="str">
            <v/>
          </cell>
          <cell r="U53">
            <v>1</v>
          </cell>
          <cell r="AF53">
            <v>1</v>
          </cell>
          <cell r="AG53">
            <v>1</v>
          </cell>
        </row>
        <row r="54">
          <cell r="D54" t="str">
            <v>AA150-AOUT1</v>
          </cell>
          <cell r="E54" t="str">
            <v>AGV Port</v>
          </cell>
          <cell r="F54" t="str">
            <v>L10</v>
          </cell>
          <cell r="G54" t="str">
            <v>Array</v>
          </cell>
          <cell r="H54" t="str">
            <v>Array</v>
          </cell>
          <cell r="I54" t="str">
            <v>1F</v>
          </cell>
          <cell r="J54" t="str">
            <v>Normal</v>
          </cell>
          <cell r="K54">
            <v>600</v>
          </cell>
          <cell r="L54" t="str">
            <v>1648*1985*1710</v>
          </cell>
          <cell r="O54" t="str">
            <v>I</v>
          </cell>
          <cell r="P54">
            <v>1</v>
          </cell>
          <cell r="Q54">
            <v>2575</v>
          </cell>
          <cell r="S54">
            <v>1</v>
          </cell>
          <cell r="T54" t="str">
            <v/>
          </cell>
          <cell r="U54">
            <v>1</v>
          </cell>
          <cell r="AF54">
            <v>1</v>
          </cell>
          <cell r="AG54">
            <v>1</v>
          </cell>
        </row>
        <row r="55">
          <cell r="D55" t="str">
            <v>AA150-AOUT2</v>
          </cell>
          <cell r="E55" t="str">
            <v>AGV Port</v>
          </cell>
          <cell r="F55" t="str">
            <v>L10</v>
          </cell>
          <cell r="G55" t="str">
            <v>Array</v>
          </cell>
          <cell r="H55" t="str">
            <v>Array</v>
          </cell>
          <cell r="I55" t="str">
            <v>1F</v>
          </cell>
          <cell r="J55" t="str">
            <v>Normal</v>
          </cell>
          <cell r="K55">
            <v>600</v>
          </cell>
          <cell r="L55" t="str">
            <v>1648*1985*1710</v>
          </cell>
          <cell r="O55" t="str">
            <v>I</v>
          </cell>
          <cell r="P55">
            <v>1</v>
          </cell>
          <cell r="Q55">
            <v>2575</v>
          </cell>
          <cell r="S55">
            <v>1</v>
          </cell>
          <cell r="T55" t="str">
            <v/>
          </cell>
          <cell r="U55">
            <v>1</v>
          </cell>
          <cell r="AF55">
            <v>1</v>
          </cell>
          <cell r="AG55">
            <v>1</v>
          </cell>
        </row>
        <row r="56">
          <cell r="D56" t="str">
            <v>AA150-MGV1</v>
          </cell>
          <cell r="E56" t="str">
            <v>MGV Port</v>
          </cell>
          <cell r="F56" t="str">
            <v>L10</v>
          </cell>
          <cell r="G56" t="str">
            <v>Array</v>
          </cell>
          <cell r="H56" t="str">
            <v>Array</v>
          </cell>
          <cell r="I56" t="str">
            <v>1F</v>
          </cell>
          <cell r="J56" t="str">
            <v>Normal</v>
          </cell>
          <cell r="K56">
            <v>600</v>
          </cell>
          <cell r="L56" t="str">
            <v>1648*1985*1710</v>
          </cell>
          <cell r="O56" t="str">
            <v>I</v>
          </cell>
          <cell r="P56">
            <v>1</v>
          </cell>
          <cell r="Q56">
            <v>2575</v>
          </cell>
          <cell r="S56">
            <v>1</v>
          </cell>
          <cell r="T56" t="str">
            <v/>
          </cell>
          <cell r="U56">
            <v>1</v>
          </cell>
          <cell r="AF56">
            <v>1</v>
          </cell>
          <cell r="AG56">
            <v>1</v>
          </cell>
        </row>
        <row r="57">
          <cell r="D57" t="str">
            <v>AA160-AIN1</v>
          </cell>
          <cell r="E57" t="str">
            <v>AGV Port</v>
          </cell>
          <cell r="F57" t="str">
            <v>L10</v>
          </cell>
          <cell r="G57" t="str">
            <v>Array</v>
          </cell>
          <cell r="H57" t="str">
            <v>Array</v>
          </cell>
          <cell r="I57" t="str">
            <v>1F</v>
          </cell>
          <cell r="J57" t="str">
            <v>Normal</v>
          </cell>
          <cell r="K57">
            <v>600</v>
          </cell>
          <cell r="L57" t="str">
            <v>1648*1985*1710</v>
          </cell>
          <cell r="O57" t="str">
            <v>I</v>
          </cell>
          <cell r="P57">
            <v>2</v>
          </cell>
          <cell r="Q57">
            <v>4000</v>
          </cell>
          <cell r="S57">
            <v>1</v>
          </cell>
          <cell r="T57">
            <v>1</v>
          </cell>
          <cell r="U57">
            <v>1</v>
          </cell>
          <cell r="AF57">
            <v>1</v>
          </cell>
          <cell r="AG57">
            <v>1</v>
          </cell>
        </row>
        <row r="58">
          <cell r="D58" t="str">
            <v>AA160-AOUT1</v>
          </cell>
          <cell r="E58" t="str">
            <v>AGV Port</v>
          </cell>
          <cell r="F58" t="str">
            <v>L10</v>
          </cell>
          <cell r="G58" t="str">
            <v>Array</v>
          </cell>
          <cell r="H58" t="str">
            <v>Array</v>
          </cell>
          <cell r="I58" t="str">
            <v>1F</v>
          </cell>
          <cell r="J58" t="str">
            <v>Normal</v>
          </cell>
          <cell r="K58">
            <v>600</v>
          </cell>
          <cell r="L58" t="str">
            <v>1648*1985*1710</v>
          </cell>
          <cell r="O58" t="str">
            <v>I</v>
          </cell>
          <cell r="P58">
            <v>2</v>
          </cell>
          <cell r="Q58">
            <v>4000</v>
          </cell>
          <cell r="S58">
            <v>1</v>
          </cell>
          <cell r="T58">
            <v>1</v>
          </cell>
          <cell r="U58">
            <v>1</v>
          </cell>
          <cell r="AF58">
            <v>1</v>
          </cell>
          <cell r="AG58">
            <v>1</v>
          </cell>
        </row>
        <row r="59">
          <cell r="D59" t="str">
            <v>AA160-LIN1</v>
          </cell>
          <cell r="E59" t="str">
            <v>LFT Port</v>
          </cell>
          <cell r="F59" t="str">
            <v>L10</v>
          </cell>
          <cell r="G59" t="str">
            <v>Array</v>
          </cell>
          <cell r="H59" t="str">
            <v>Array</v>
          </cell>
          <cell r="I59" t="str">
            <v>1F</v>
          </cell>
          <cell r="J59" t="str">
            <v>Normal</v>
          </cell>
          <cell r="K59">
            <v>600</v>
          </cell>
          <cell r="L59" t="str">
            <v>1648*1985*1710</v>
          </cell>
          <cell r="O59" t="str">
            <v>I</v>
          </cell>
          <cell r="P59">
            <v>3</v>
          </cell>
          <cell r="Q59">
            <v>13100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AF59">
            <v>0</v>
          </cell>
          <cell r="AG59">
            <v>2</v>
          </cell>
        </row>
        <row r="60">
          <cell r="D60" t="str">
            <v>AA160-LOUT1</v>
          </cell>
          <cell r="E60" t="str">
            <v>LFT Port</v>
          </cell>
          <cell r="F60" t="str">
            <v>L10</v>
          </cell>
          <cell r="G60" t="str">
            <v>Array</v>
          </cell>
          <cell r="H60" t="str">
            <v>Array</v>
          </cell>
          <cell r="I60" t="str">
            <v>1F</v>
          </cell>
          <cell r="J60" t="str">
            <v>Normal</v>
          </cell>
          <cell r="K60">
            <v>600</v>
          </cell>
          <cell r="L60" t="str">
            <v>1648*1985*1710</v>
          </cell>
          <cell r="O60" t="str">
            <v>I</v>
          </cell>
          <cell r="P60">
            <v>2</v>
          </cell>
          <cell r="Q60">
            <v>11000</v>
          </cell>
          <cell r="S60">
            <v>1</v>
          </cell>
          <cell r="T60">
            <v>1</v>
          </cell>
          <cell r="U60">
            <v>1</v>
          </cell>
          <cell r="AF60">
            <v>0</v>
          </cell>
          <cell r="AG60">
            <v>1</v>
          </cell>
        </row>
        <row r="61">
          <cell r="D61" t="str">
            <v>AA160-MGV1</v>
          </cell>
          <cell r="E61" t="str">
            <v>MGV Port</v>
          </cell>
          <cell r="F61" t="str">
            <v>L10</v>
          </cell>
          <cell r="G61" t="str">
            <v>Array</v>
          </cell>
          <cell r="H61" t="str">
            <v>Array</v>
          </cell>
          <cell r="I61" t="str">
            <v>1F</v>
          </cell>
          <cell r="J61" t="str">
            <v>Normal</v>
          </cell>
          <cell r="K61">
            <v>600</v>
          </cell>
          <cell r="L61" t="str">
            <v>1648*1985*1710</v>
          </cell>
          <cell r="O61" t="str">
            <v>I</v>
          </cell>
          <cell r="P61">
            <v>1</v>
          </cell>
          <cell r="Q61">
            <v>2575</v>
          </cell>
          <cell r="S61">
            <v>1</v>
          </cell>
          <cell r="T61" t="str">
            <v/>
          </cell>
          <cell r="U61">
            <v>1</v>
          </cell>
          <cell r="AF61">
            <v>1</v>
          </cell>
          <cell r="AG61">
            <v>1</v>
          </cell>
        </row>
        <row r="62">
          <cell r="D62" t="str">
            <v>AA170-LIN1</v>
          </cell>
          <cell r="E62" t="str">
            <v>LFT Port</v>
          </cell>
          <cell r="F62" t="str">
            <v>L10</v>
          </cell>
          <cell r="G62" t="str">
            <v>Array</v>
          </cell>
          <cell r="H62" t="str">
            <v>Array</v>
          </cell>
          <cell r="I62" t="str">
            <v>4F</v>
          </cell>
          <cell r="J62" t="str">
            <v>Normal</v>
          </cell>
          <cell r="K62">
            <v>600</v>
          </cell>
          <cell r="L62" t="str">
            <v>1648*1985*1710</v>
          </cell>
          <cell r="O62" t="str">
            <v>F</v>
          </cell>
          <cell r="P62">
            <v>4</v>
          </cell>
          <cell r="Q62">
            <v>5000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F62">
            <v>0</v>
          </cell>
          <cell r="AG62">
            <v>3</v>
          </cell>
        </row>
        <row r="63">
          <cell r="D63" t="str">
            <v>AA170-LOUT1</v>
          </cell>
          <cell r="E63" t="str">
            <v>LFT Port</v>
          </cell>
          <cell r="F63" t="str">
            <v>L10</v>
          </cell>
          <cell r="G63" t="str">
            <v>Array</v>
          </cell>
          <cell r="H63" t="str">
            <v>Array</v>
          </cell>
          <cell r="I63" t="str">
            <v>4F</v>
          </cell>
          <cell r="J63" t="str">
            <v>Normal</v>
          </cell>
          <cell r="K63">
            <v>600</v>
          </cell>
          <cell r="L63" t="str">
            <v>1648*1985*1710</v>
          </cell>
          <cell r="P63" t="str">
            <v/>
          </cell>
          <cell r="Q63">
            <v>5000</v>
          </cell>
          <cell r="R63">
            <v>2900</v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AF63">
            <v>0</v>
          </cell>
        </row>
        <row r="64">
          <cell r="D64" t="str">
            <v>AA170-MGV1</v>
          </cell>
          <cell r="E64" t="str">
            <v>MGV Port</v>
          </cell>
          <cell r="F64" t="str">
            <v>L10</v>
          </cell>
          <cell r="G64" t="str">
            <v>Array</v>
          </cell>
          <cell r="H64" t="str">
            <v>Array</v>
          </cell>
          <cell r="I64" t="str">
            <v>4F</v>
          </cell>
          <cell r="J64" t="str">
            <v>Normal</v>
          </cell>
          <cell r="K64">
            <v>600</v>
          </cell>
          <cell r="L64" t="str">
            <v>1648*1985*1710</v>
          </cell>
          <cell r="O64" t="str">
            <v>I</v>
          </cell>
          <cell r="P64">
            <v>1</v>
          </cell>
          <cell r="Q64">
            <v>2575</v>
          </cell>
          <cell r="S64">
            <v>1</v>
          </cell>
          <cell r="T64" t="str">
            <v/>
          </cell>
          <cell r="U64">
            <v>1</v>
          </cell>
          <cell r="AF64">
            <v>1</v>
          </cell>
          <cell r="AG64">
            <v>1</v>
          </cell>
        </row>
        <row r="65">
          <cell r="D65" t="str">
            <v>AA170-RIN1</v>
          </cell>
          <cell r="E65" t="str">
            <v>RGV Port</v>
          </cell>
          <cell r="F65" t="str">
            <v>L10</v>
          </cell>
          <cell r="G65" t="str">
            <v>Array</v>
          </cell>
          <cell r="H65" t="str">
            <v>Array</v>
          </cell>
          <cell r="I65" t="str">
            <v>4F</v>
          </cell>
          <cell r="J65" t="str">
            <v>Normal</v>
          </cell>
          <cell r="K65">
            <v>600</v>
          </cell>
          <cell r="L65" t="str">
            <v>1648*1985*1710</v>
          </cell>
          <cell r="O65" t="str">
            <v>I</v>
          </cell>
          <cell r="P65">
            <v>1</v>
          </cell>
          <cell r="Q65">
            <v>2575</v>
          </cell>
          <cell r="S65">
            <v>1</v>
          </cell>
          <cell r="T65" t="str">
            <v/>
          </cell>
          <cell r="U65">
            <v>1</v>
          </cell>
          <cell r="AF65">
            <v>1</v>
          </cell>
          <cell r="AG65">
            <v>1</v>
          </cell>
        </row>
        <row r="66">
          <cell r="D66" t="str">
            <v>AA170-ROUT1</v>
          </cell>
          <cell r="E66" t="str">
            <v>RGV Port</v>
          </cell>
          <cell r="F66" t="str">
            <v>L10</v>
          </cell>
          <cell r="G66" t="str">
            <v>Array</v>
          </cell>
          <cell r="H66" t="str">
            <v>Array</v>
          </cell>
          <cell r="I66" t="str">
            <v>4F</v>
          </cell>
          <cell r="J66" t="str">
            <v>Normal</v>
          </cell>
          <cell r="K66">
            <v>600</v>
          </cell>
          <cell r="L66" t="str">
            <v>1648*1985*1710</v>
          </cell>
          <cell r="O66" t="str">
            <v>I</v>
          </cell>
          <cell r="P66">
            <v>1</v>
          </cell>
          <cell r="Q66">
            <v>2575</v>
          </cell>
          <cell r="S66">
            <v>1</v>
          </cell>
          <cell r="T66" t="str">
            <v/>
          </cell>
          <cell r="U66">
            <v>1</v>
          </cell>
          <cell r="AF66">
            <v>1</v>
          </cell>
          <cell r="AG66">
            <v>1</v>
          </cell>
        </row>
        <row r="67">
          <cell r="D67" t="str">
            <v>AA170-SIN1</v>
          </cell>
          <cell r="E67" t="str">
            <v>STK Port</v>
          </cell>
          <cell r="F67" t="str">
            <v>L10</v>
          </cell>
          <cell r="G67" t="str">
            <v>Array</v>
          </cell>
          <cell r="H67" t="str">
            <v>Array</v>
          </cell>
          <cell r="I67" t="str">
            <v>4F</v>
          </cell>
          <cell r="J67" t="str">
            <v>Normal</v>
          </cell>
          <cell r="K67">
            <v>600</v>
          </cell>
          <cell r="L67" t="str">
            <v>1648*1985*1710</v>
          </cell>
          <cell r="O67" t="str">
            <v>I</v>
          </cell>
          <cell r="P67">
            <v>2</v>
          </cell>
          <cell r="Q67">
            <v>5600</v>
          </cell>
          <cell r="S67">
            <v>1</v>
          </cell>
          <cell r="T67">
            <v>1</v>
          </cell>
          <cell r="U67">
            <v>1</v>
          </cell>
          <cell r="AE67">
            <v>0</v>
          </cell>
          <cell r="AG67">
            <v>1</v>
          </cell>
        </row>
        <row r="68">
          <cell r="D68" t="str">
            <v>AA180-AIN1</v>
          </cell>
          <cell r="E68" t="str">
            <v>AGV Port</v>
          </cell>
          <cell r="F68" t="str">
            <v>L10</v>
          </cell>
          <cell r="G68" t="str">
            <v>Array</v>
          </cell>
          <cell r="H68" t="str">
            <v>Array</v>
          </cell>
          <cell r="I68" t="str">
            <v>4F</v>
          </cell>
          <cell r="J68" t="str">
            <v>Normal</v>
          </cell>
          <cell r="K68">
            <v>600</v>
          </cell>
          <cell r="L68" t="str">
            <v>1648*1985*1710</v>
          </cell>
          <cell r="O68" t="str">
            <v>I</v>
          </cell>
          <cell r="P68">
            <v>1</v>
          </cell>
          <cell r="Q68">
            <v>3750</v>
          </cell>
          <cell r="S68">
            <v>1</v>
          </cell>
          <cell r="T68" t="str">
            <v/>
          </cell>
          <cell r="U68">
            <v>1</v>
          </cell>
          <cell r="AF68">
            <v>1</v>
          </cell>
          <cell r="AG68">
            <v>1</v>
          </cell>
        </row>
        <row r="69">
          <cell r="D69" t="str">
            <v>AA180-AOUT1</v>
          </cell>
          <cell r="E69" t="str">
            <v>AGV Port</v>
          </cell>
          <cell r="F69" t="str">
            <v>L10</v>
          </cell>
          <cell r="G69" t="str">
            <v>Array</v>
          </cell>
          <cell r="H69" t="str">
            <v>Array</v>
          </cell>
          <cell r="I69" t="str">
            <v>4F</v>
          </cell>
          <cell r="J69" t="str">
            <v>Normal</v>
          </cell>
          <cell r="K69">
            <v>600</v>
          </cell>
          <cell r="L69" t="str">
            <v>1648*1985*1710</v>
          </cell>
          <cell r="O69" t="str">
            <v>I</v>
          </cell>
          <cell r="P69">
            <v>1</v>
          </cell>
          <cell r="Q69">
            <v>3750</v>
          </cell>
          <cell r="S69">
            <v>1</v>
          </cell>
          <cell r="T69" t="str">
            <v/>
          </cell>
          <cell r="U69">
            <v>1</v>
          </cell>
          <cell r="AF69">
            <v>1</v>
          </cell>
          <cell r="AG69">
            <v>1</v>
          </cell>
        </row>
        <row r="70">
          <cell r="D70" t="str">
            <v>AA180-LIN1</v>
          </cell>
          <cell r="E70" t="str">
            <v>LFT Port</v>
          </cell>
          <cell r="F70" t="str">
            <v>L10</v>
          </cell>
          <cell r="G70" t="str">
            <v>Array</v>
          </cell>
          <cell r="H70" t="str">
            <v>Array</v>
          </cell>
          <cell r="I70" t="str">
            <v>4F</v>
          </cell>
          <cell r="J70" t="str">
            <v>Normal</v>
          </cell>
          <cell r="K70">
            <v>600</v>
          </cell>
          <cell r="L70" t="str">
            <v>1648*1985*1710</v>
          </cell>
          <cell r="O70" t="str">
            <v>I</v>
          </cell>
          <cell r="P70">
            <v>2</v>
          </cell>
          <cell r="Q70">
            <v>6700</v>
          </cell>
          <cell r="S70">
            <v>1</v>
          </cell>
          <cell r="T70">
            <v>1</v>
          </cell>
          <cell r="U70">
            <v>1</v>
          </cell>
          <cell r="AF70">
            <v>0</v>
          </cell>
          <cell r="AG70">
            <v>1</v>
          </cell>
        </row>
        <row r="71">
          <cell r="D71" t="str">
            <v>AA180-LIN2</v>
          </cell>
          <cell r="E71" t="str">
            <v>LFT Port</v>
          </cell>
          <cell r="F71" t="str">
            <v>L10</v>
          </cell>
          <cell r="G71" t="str">
            <v>Array</v>
          </cell>
          <cell r="H71" t="str">
            <v>Array</v>
          </cell>
          <cell r="I71" t="str">
            <v>4F</v>
          </cell>
          <cell r="J71" t="str">
            <v>Normal</v>
          </cell>
          <cell r="K71">
            <v>600</v>
          </cell>
          <cell r="L71" t="str">
            <v>1648*1985*1710</v>
          </cell>
          <cell r="O71" t="str">
            <v>I</v>
          </cell>
          <cell r="P71">
            <v>1</v>
          </cell>
          <cell r="Q71">
            <v>3700</v>
          </cell>
          <cell r="S71">
            <v>1</v>
          </cell>
          <cell r="T71" t="str">
            <v/>
          </cell>
          <cell r="U71">
            <v>1</v>
          </cell>
          <cell r="AG71">
            <v>1</v>
          </cell>
        </row>
        <row r="72">
          <cell r="D72" t="str">
            <v>AA180-LOUT1</v>
          </cell>
          <cell r="E72" t="str">
            <v>LFT Port</v>
          </cell>
          <cell r="F72" t="str">
            <v>L10</v>
          </cell>
          <cell r="G72" t="str">
            <v>Array</v>
          </cell>
          <cell r="H72" t="str">
            <v>Array</v>
          </cell>
          <cell r="I72" t="str">
            <v>4F</v>
          </cell>
          <cell r="J72" t="str">
            <v>Normal</v>
          </cell>
          <cell r="K72">
            <v>600</v>
          </cell>
          <cell r="L72" t="str">
            <v>1648*1985*1710</v>
          </cell>
          <cell r="O72" t="str">
            <v>I</v>
          </cell>
          <cell r="P72">
            <v>1</v>
          </cell>
          <cell r="Q72">
            <v>4000</v>
          </cell>
          <cell r="S72">
            <v>1</v>
          </cell>
          <cell r="T72" t="str">
            <v/>
          </cell>
          <cell r="U72">
            <v>1</v>
          </cell>
          <cell r="AF72">
            <v>0</v>
          </cell>
          <cell r="AG72">
            <v>1</v>
          </cell>
        </row>
        <row r="73">
          <cell r="D73" t="str">
            <v>AA180-LOUT2</v>
          </cell>
          <cell r="E73" t="str">
            <v>LFT Port</v>
          </cell>
          <cell r="F73" t="str">
            <v>L10</v>
          </cell>
          <cell r="G73" t="str">
            <v>Array</v>
          </cell>
          <cell r="H73" t="str">
            <v>Array</v>
          </cell>
          <cell r="I73" t="str">
            <v>4F</v>
          </cell>
          <cell r="J73" t="str">
            <v>Normal</v>
          </cell>
          <cell r="K73">
            <v>600</v>
          </cell>
          <cell r="L73" t="str">
            <v>1648*1985*1710</v>
          </cell>
          <cell r="O73" t="str">
            <v>I</v>
          </cell>
          <cell r="P73">
            <v>1</v>
          </cell>
          <cell r="Q73">
            <v>3700</v>
          </cell>
          <cell r="S73">
            <v>1</v>
          </cell>
          <cell r="T73" t="str">
            <v/>
          </cell>
          <cell r="U73">
            <v>1</v>
          </cell>
          <cell r="AG73">
            <v>1</v>
          </cell>
        </row>
        <row r="74">
          <cell r="D74" t="str">
            <v>AA180-RIN1</v>
          </cell>
          <cell r="E74" t="str">
            <v>RGV Port</v>
          </cell>
          <cell r="F74" t="str">
            <v>L10</v>
          </cell>
          <cell r="G74" t="str">
            <v>Array</v>
          </cell>
          <cell r="H74" t="str">
            <v>Array</v>
          </cell>
          <cell r="I74" t="str">
            <v>4F</v>
          </cell>
          <cell r="J74" t="str">
            <v>Normal</v>
          </cell>
          <cell r="K74">
            <v>600</v>
          </cell>
          <cell r="L74" t="str">
            <v>1648*1985*1710</v>
          </cell>
          <cell r="O74" t="str">
            <v>I</v>
          </cell>
          <cell r="P74">
            <v>2</v>
          </cell>
          <cell r="Q74">
            <v>3750</v>
          </cell>
          <cell r="S74">
            <v>1</v>
          </cell>
          <cell r="T74">
            <v>1</v>
          </cell>
          <cell r="U74">
            <v>1</v>
          </cell>
          <cell r="AF74">
            <v>1</v>
          </cell>
          <cell r="AG74">
            <v>1</v>
          </cell>
        </row>
        <row r="75">
          <cell r="D75" t="str">
            <v>AA180-ROUT1</v>
          </cell>
          <cell r="E75" t="str">
            <v>RGV Port</v>
          </cell>
          <cell r="F75" t="str">
            <v>L10</v>
          </cell>
          <cell r="G75" t="str">
            <v>Array</v>
          </cell>
          <cell r="H75" t="str">
            <v>Array</v>
          </cell>
          <cell r="I75" t="str">
            <v>4F</v>
          </cell>
          <cell r="J75" t="str">
            <v>Normal</v>
          </cell>
          <cell r="K75">
            <v>600</v>
          </cell>
          <cell r="L75" t="str">
            <v>1648*1985*1710</v>
          </cell>
          <cell r="O75" t="str">
            <v>I</v>
          </cell>
          <cell r="P75">
            <v>2</v>
          </cell>
          <cell r="Q75">
            <v>3750</v>
          </cell>
          <cell r="S75">
            <v>1</v>
          </cell>
          <cell r="T75">
            <v>1</v>
          </cell>
          <cell r="U75">
            <v>1</v>
          </cell>
          <cell r="AF75">
            <v>1</v>
          </cell>
          <cell r="AG75">
            <v>1</v>
          </cell>
        </row>
        <row r="76">
          <cell r="D76" t="str">
            <v>AA180-SIN1</v>
          </cell>
          <cell r="E76" t="str">
            <v>STK Port</v>
          </cell>
          <cell r="F76" t="str">
            <v>L10</v>
          </cell>
          <cell r="G76" t="str">
            <v>Array</v>
          </cell>
          <cell r="H76" t="str">
            <v>Array</v>
          </cell>
          <cell r="I76" t="str">
            <v>4F</v>
          </cell>
          <cell r="J76" t="str">
            <v>Normal</v>
          </cell>
          <cell r="K76">
            <v>600</v>
          </cell>
          <cell r="L76" t="str">
            <v>1648*1985*1710</v>
          </cell>
          <cell r="O76" t="str">
            <v>L</v>
          </cell>
          <cell r="P76">
            <v>3</v>
          </cell>
          <cell r="Q76">
            <v>5500</v>
          </cell>
          <cell r="R76">
            <v>3600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AG76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CBFFAF-85C9-4608-A92C-48D01A3034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1672e50-9baf-47ae-b850-4878b711e990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showGridLines="0" workbookViewId="0"/>
  </sheetViews>
  <sheetFormatPr defaultRowHeight="17" x14ac:dyDescent="0.45"/>
  <cols>
    <col min="2" max="2" width="22" customWidth="1"/>
    <col min="3" max="3" width="92" customWidth="1"/>
  </cols>
  <sheetData>
    <row r="2" spans="2:3" ht="25.5" x14ac:dyDescent="0.7">
      <c r="B2" s="1" t="s">
        <v>1246</v>
      </c>
    </row>
    <row r="4" spans="2:3" x14ac:dyDescent="0.45">
      <c r="B4" s="2" t="s">
        <v>0</v>
      </c>
      <c r="C4" s="3" t="s">
        <v>1247</v>
      </c>
    </row>
    <row r="5" spans="2:3" x14ac:dyDescent="0.45">
      <c r="B5" s="2" t="s">
        <v>1</v>
      </c>
      <c r="C5" s="3" t="s">
        <v>2</v>
      </c>
    </row>
    <row r="6" spans="2:3" x14ac:dyDescent="0.45">
      <c r="B6" s="2" t="s">
        <v>193</v>
      </c>
      <c r="C6" s="3" t="s">
        <v>194</v>
      </c>
    </row>
    <row r="7" spans="2:3" x14ac:dyDescent="0.45">
      <c r="B7" s="2" t="s">
        <v>3</v>
      </c>
      <c r="C7" s="3" t="s">
        <v>1248</v>
      </c>
    </row>
    <row r="8" spans="2:3" x14ac:dyDescent="0.45">
      <c r="B8" s="2" t="s">
        <v>4</v>
      </c>
      <c r="C8" s="3" t="s">
        <v>5</v>
      </c>
    </row>
    <row r="9" spans="2:3" x14ac:dyDescent="0.45">
      <c r="B9" s="2" t="s">
        <v>6</v>
      </c>
      <c r="C9" s="4" t="s">
        <v>7</v>
      </c>
    </row>
    <row r="10" spans="2:3" x14ac:dyDescent="0.45">
      <c r="B10" s="2" t="s">
        <v>8</v>
      </c>
      <c r="C10" s="4" t="s">
        <v>9</v>
      </c>
    </row>
    <row r="11" spans="2:3" x14ac:dyDescent="0.45">
      <c r="B11" s="2" t="s">
        <v>10</v>
      </c>
      <c r="C11" s="4" t="s">
        <v>11</v>
      </c>
    </row>
    <row r="12" spans="2:3" x14ac:dyDescent="0.45">
      <c r="B12" s="2" t="s">
        <v>12</v>
      </c>
      <c r="C12" s="3" t="s">
        <v>13</v>
      </c>
    </row>
    <row r="13" spans="2:3" x14ac:dyDescent="0.45">
      <c r="B13" s="2" t="s">
        <v>14</v>
      </c>
      <c r="C13" s="4" t="s">
        <v>15</v>
      </c>
    </row>
    <row r="14" spans="2:3" ht="34" x14ac:dyDescent="0.45">
      <c r="B14" s="2" t="s">
        <v>1249</v>
      </c>
      <c r="C14" s="3" t="s">
        <v>1250</v>
      </c>
    </row>
    <row r="15" spans="2:3" ht="34" x14ac:dyDescent="0.45">
      <c r="B15" s="2" t="s">
        <v>1251</v>
      </c>
      <c r="C15" s="4" t="s">
        <v>1252</v>
      </c>
    </row>
  </sheetData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ySplit="1" topLeftCell="A2" activePane="bottomLeft" state="frozen"/>
      <selection pane="bottomLeft" activeCell="F15" sqref="F15"/>
    </sheetView>
  </sheetViews>
  <sheetFormatPr defaultRowHeight="17" x14ac:dyDescent="0.45"/>
  <cols>
    <col min="1" max="1" width="6" customWidth="1"/>
    <col min="2" max="2" width="8" customWidth="1"/>
    <col min="3" max="3" width="11.6640625" customWidth="1"/>
    <col min="4" max="4" width="20" customWidth="1"/>
    <col min="5" max="5" width="22.9140625" customWidth="1"/>
    <col min="6" max="6" width="63.33203125" customWidth="1"/>
    <col min="7" max="7" width="17.08203125" customWidth="1"/>
  </cols>
  <sheetData>
    <row r="1" spans="1:7" x14ac:dyDescent="0.45">
      <c r="A1" s="5" t="s">
        <v>16</v>
      </c>
      <c r="B1" s="5" t="s">
        <v>17</v>
      </c>
      <c r="C1" s="655" t="s">
        <v>1253</v>
      </c>
      <c r="D1" s="5" t="s">
        <v>18</v>
      </c>
      <c r="E1" s="5" t="s">
        <v>19</v>
      </c>
      <c r="F1" s="5" t="s">
        <v>20</v>
      </c>
      <c r="G1" s="5" t="s">
        <v>21</v>
      </c>
    </row>
    <row r="2" spans="1:7" x14ac:dyDescent="0.45">
      <c r="A2" s="6">
        <v>1</v>
      </c>
      <c r="B2" s="7" t="s">
        <v>22</v>
      </c>
      <c r="C2" s="7" t="s">
        <v>1254</v>
      </c>
      <c r="D2" s="8" t="s">
        <v>23</v>
      </c>
      <c r="E2" s="9" t="s">
        <v>24</v>
      </c>
      <c r="F2" s="10" t="s">
        <v>25</v>
      </c>
      <c r="G2" s="6">
        <f>COUNTIFS('필드 정의'!$A:$A,D2,'필드 정의'!$B:$B,C2)</f>
        <v>5</v>
      </c>
    </row>
    <row r="3" spans="1:7" x14ac:dyDescent="0.45">
      <c r="A3" s="6">
        <v>2</v>
      </c>
      <c r="B3" s="7" t="s">
        <v>22</v>
      </c>
      <c r="C3" s="7" t="s">
        <v>1254</v>
      </c>
      <c r="D3" s="8" t="s">
        <v>26</v>
      </c>
      <c r="E3" s="9" t="s">
        <v>27</v>
      </c>
      <c r="F3" s="10" t="s">
        <v>28</v>
      </c>
      <c r="G3" s="6">
        <f>COUNTIFS('필드 정의'!$A:$A,D3,'필드 정의'!$B:$B,C3)</f>
        <v>17</v>
      </c>
    </row>
    <row r="4" spans="1:7" x14ac:dyDescent="0.45">
      <c r="A4" s="6">
        <v>3</v>
      </c>
      <c r="B4" s="7" t="s">
        <v>22</v>
      </c>
      <c r="C4" s="7" t="s">
        <v>1254</v>
      </c>
      <c r="D4" s="8" t="s">
        <v>29</v>
      </c>
      <c r="E4" s="9" t="s">
        <v>30</v>
      </c>
      <c r="F4" s="10" t="s">
        <v>31</v>
      </c>
      <c r="G4" s="6">
        <f>COUNTIFS('필드 정의'!$A:$A,D4,'필드 정의'!$B:$B,C4)</f>
        <v>10</v>
      </c>
    </row>
    <row r="5" spans="1:7" x14ac:dyDescent="0.45">
      <c r="A5" s="6">
        <v>4</v>
      </c>
      <c r="B5" s="7" t="s">
        <v>22</v>
      </c>
      <c r="C5" s="7" t="s">
        <v>1254</v>
      </c>
      <c r="D5" s="8" t="s">
        <v>32</v>
      </c>
      <c r="E5" s="9" t="s">
        <v>33</v>
      </c>
      <c r="F5" s="10" t="s">
        <v>34</v>
      </c>
      <c r="G5" s="6">
        <f>COUNTIFS('필드 정의'!$A:$A,D5,'필드 정의'!$B:$B,C5)</f>
        <v>7</v>
      </c>
    </row>
    <row r="6" spans="1:7" x14ac:dyDescent="0.45">
      <c r="A6" s="6">
        <v>5</v>
      </c>
      <c r="B6" s="7" t="s">
        <v>22</v>
      </c>
      <c r="C6" s="7" t="s">
        <v>1254</v>
      </c>
      <c r="D6" s="8" t="s">
        <v>35</v>
      </c>
      <c r="E6" s="9" t="s">
        <v>36</v>
      </c>
      <c r="F6" s="10" t="s">
        <v>37</v>
      </c>
      <c r="G6" s="6">
        <f>COUNTIFS('필드 정의'!$A:$A,D6,'필드 정의'!$B:$B,C6)</f>
        <v>4</v>
      </c>
    </row>
    <row r="7" spans="1:7" x14ac:dyDescent="0.45">
      <c r="A7" s="6">
        <v>6</v>
      </c>
      <c r="B7" s="7" t="s">
        <v>22</v>
      </c>
      <c r="C7" s="7" t="s">
        <v>1254</v>
      </c>
      <c r="D7" s="8" t="s">
        <v>38</v>
      </c>
      <c r="E7" s="9" t="s">
        <v>39</v>
      </c>
      <c r="F7" s="10" t="s">
        <v>40</v>
      </c>
      <c r="G7" s="6">
        <f>COUNTIFS('필드 정의'!$A:$A,D7,'필드 정의'!$B:$B,C7)</f>
        <v>6</v>
      </c>
    </row>
    <row r="8" spans="1:7" x14ac:dyDescent="0.45">
      <c r="A8" s="6">
        <v>7</v>
      </c>
      <c r="B8" s="7" t="s">
        <v>22</v>
      </c>
      <c r="C8" s="7" t="s">
        <v>1255</v>
      </c>
      <c r="D8" s="8" t="s">
        <v>41</v>
      </c>
      <c r="E8" s="9" t="s">
        <v>42</v>
      </c>
      <c r="F8" s="10" t="s">
        <v>43</v>
      </c>
      <c r="G8" s="6">
        <f>COUNTIFS('필드 정의'!$A:$A,D8,'필드 정의'!$B:$B,C8)</f>
        <v>5</v>
      </c>
    </row>
    <row r="9" spans="1:7" x14ac:dyDescent="0.45">
      <c r="A9" s="6">
        <v>8</v>
      </c>
      <c r="B9" s="7" t="s">
        <v>22</v>
      </c>
      <c r="C9" s="7" t="s">
        <v>1255</v>
      </c>
      <c r="D9" s="8" t="s">
        <v>44</v>
      </c>
      <c r="E9" s="9" t="s">
        <v>12</v>
      </c>
      <c r="F9" s="10" t="s">
        <v>45</v>
      </c>
      <c r="G9" s="6">
        <f>COUNTIFS('필드 정의'!$A:$A,D9,'필드 정의'!$B:$B,C9)</f>
        <v>1</v>
      </c>
    </row>
    <row r="10" spans="1:7" ht="32" x14ac:dyDescent="0.45">
      <c r="A10" s="6">
        <v>9</v>
      </c>
      <c r="B10" s="11" t="s">
        <v>46</v>
      </c>
      <c r="C10" s="11" t="s">
        <v>1254</v>
      </c>
      <c r="D10" s="8" t="s">
        <v>47</v>
      </c>
      <c r="E10" s="9" t="s">
        <v>48</v>
      </c>
      <c r="F10" s="10" t="s">
        <v>49</v>
      </c>
      <c r="G10" s="6">
        <f>COUNTIFS('필드 정의'!$A:$A,D10,'필드 정의'!$B:$B,C10)</f>
        <v>2</v>
      </c>
    </row>
    <row r="11" spans="1:7" ht="32" x14ac:dyDescent="0.45">
      <c r="A11" s="656">
        <v>10</v>
      </c>
      <c r="B11" s="657" t="s">
        <v>22</v>
      </c>
      <c r="C11" s="7" t="s">
        <v>1256</v>
      </c>
      <c r="D11" s="658" t="s">
        <v>23</v>
      </c>
      <c r="E11" s="659" t="s">
        <v>1257</v>
      </c>
      <c r="F11" s="660" t="s">
        <v>1258</v>
      </c>
      <c r="G11" s="661">
        <f>COUNTIFS('필드 정의'!$A:$A,D11,'필드 정의'!$B:$B,C11)</f>
        <v>7</v>
      </c>
    </row>
    <row r="12" spans="1:7" ht="32" x14ac:dyDescent="0.45">
      <c r="A12" s="656">
        <v>11</v>
      </c>
      <c r="B12" s="657" t="s">
        <v>22</v>
      </c>
      <c r="C12" s="7" t="s">
        <v>1256</v>
      </c>
      <c r="D12" s="658" t="s">
        <v>29</v>
      </c>
      <c r="E12" s="659" t="s">
        <v>1259</v>
      </c>
      <c r="F12" s="660" t="s">
        <v>1260</v>
      </c>
      <c r="G12" s="661">
        <f>COUNTIFS('필드 정의'!$A:$A,D12,'필드 정의'!$B:$B,C12)</f>
        <v>19</v>
      </c>
    </row>
    <row r="13" spans="1:7" ht="32" x14ac:dyDescent="0.45">
      <c r="A13" s="656">
        <v>12</v>
      </c>
      <c r="B13" s="662" t="s">
        <v>22</v>
      </c>
      <c r="C13" s="7" t="s">
        <v>1256</v>
      </c>
      <c r="D13" s="658" t="s">
        <v>26</v>
      </c>
      <c r="E13" s="659" t="s">
        <v>1261</v>
      </c>
      <c r="F13" s="660" t="s">
        <v>1262</v>
      </c>
      <c r="G13" s="661">
        <f>COUNTIFS('필드 정의'!$A:$A,D13,'필드 정의'!$B:$B,C13)</f>
        <v>24</v>
      </c>
    </row>
    <row r="14" spans="1:7" ht="32" x14ac:dyDescent="0.45">
      <c r="A14" s="656">
        <v>13</v>
      </c>
      <c r="B14" s="662" t="s">
        <v>22</v>
      </c>
      <c r="C14" s="7" t="s">
        <v>1256</v>
      </c>
      <c r="D14" s="658" t="s">
        <v>32</v>
      </c>
      <c r="E14" s="659" t="s">
        <v>1263</v>
      </c>
      <c r="F14" s="660" t="s">
        <v>1264</v>
      </c>
      <c r="G14" s="661">
        <f>COUNTIFS('필드 정의'!$A:$A,D14,'필드 정의'!$B:$B,C14)</f>
        <v>10</v>
      </c>
    </row>
    <row r="15" spans="1:7" x14ac:dyDescent="0.45">
      <c r="A15" s="656">
        <v>14</v>
      </c>
      <c r="B15" s="662" t="s">
        <v>22</v>
      </c>
      <c r="C15" s="7" t="s">
        <v>1256</v>
      </c>
      <c r="D15" s="658" t="s">
        <v>35</v>
      </c>
      <c r="E15" s="659" t="s">
        <v>1265</v>
      </c>
      <c r="F15" s="660" t="s">
        <v>1266</v>
      </c>
      <c r="G15" s="661">
        <f>COUNTIFS('필드 정의'!$A:$A,D15,'필드 정의'!$B:$B,C15)</f>
        <v>8</v>
      </c>
    </row>
    <row r="16" spans="1:7" x14ac:dyDescent="0.45">
      <c r="A16" s="656">
        <v>15</v>
      </c>
      <c r="B16" s="662" t="s">
        <v>22</v>
      </c>
      <c r="C16" s="7" t="s">
        <v>1256</v>
      </c>
      <c r="D16" s="658" t="s">
        <v>38</v>
      </c>
      <c r="E16" s="659" t="s">
        <v>1267</v>
      </c>
      <c r="F16" s="660" t="s">
        <v>1268</v>
      </c>
      <c r="G16" s="661">
        <f>COUNTIFS('필드 정의'!$A:$A,D16,'필드 정의'!$B:$B,C16)</f>
        <v>9</v>
      </c>
    </row>
    <row r="17" spans="1:7" ht="48" x14ac:dyDescent="0.45">
      <c r="A17" s="656">
        <v>16</v>
      </c>
      <c r="B17" s="676" t="s">
        <v>46</v>
      </c>
      <c r="C17" s="677" t="s">
        <v>1256</v>
      </c>
      <c r="D17" s="658" t="s">
        <v>47</v>
      </c>
      <c r="E17" s="659" t="s">
        <v>1269</v>
      </c>
      <c r="F17" s="660" t="s">
        <v>1270</v>
      </c>
      <c r="G17" s="675">
        <f>COUNTIFS('필드 정의'!$A:$A,D17,'필드 정의'!$B:$B,C17)</f>
        <v>4</v>
      </c>
    </row>
  </sheetData>
  <autoFilter ref="A1:G10" xr:uid="{00000000-0009-0000-0000-000001000000}"/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20" customWidth="1"/>
    <col min="3" max="3" width="8" customWidth="1"/>
    <col min="4" max="4" width="20" customWidth="1"/>
    <col min="5" max="5" width="44" customWidth="1"/>
    <col min="6" max="6" width="8" customWidth="1"/>
    <col min="7" max="7" width="58" customWidth="1"/>
  </cols>
  <sheetData>
    <row r="1" spans="1:7" x14ac:dyDescent="0.45">
      <c r="A1" s="5" t="s">
        <v>50</v>
      </c>
      <c r="B1" s="655" t="s">
        <v>1253</v>
      </c>
      <c r="C1" s="5" t="s">
        <v>17</v>
      </c>
      <c r="D1" s="5" t="s">
        <v>51</v>
      </c>
      <c r="E1" s="5" t="s">
        <v>52</v>
      </c>
      <c r="F1" s="5" t="s">
        <v>53</v>
      </c>
      <c r="G1" s="5" t="s">
        <v>20</v>
      </c>
    </row>
    <row r="2" spans="1:7" x14ac:dyDescent="0.45">
      <c r="A2" s="12" t="s">
        <v>23</v>
      </c>
      <c r="B2" s="663" t="s">
        <v>1254</v>
      </c>
      <c r="C2" s="13" t="s">
        <v>192</v>
      </c>
      <c r="D2" s="12" t="s">
        <v>54</v>
      </c>
      <c r="E2" s="12" t="s">
        <v>55</v>
      </c>
      <c r="F2" s="14" t="s">
        <v>53</v>
      </c>
      <c r="G2" s="15" t="s">
        <v>56</v>
      </c>
    </row>
    <row r="3" spans="1:7" x14ac:dyDescent="0.45">
      <c r="A3" s="12" t="s">
        <v>23</v>
      </c>
      <c r="B3" s="663" t="s">
        <v>1254</v>
      </c>
      <c r="C3" s="13" t="s">
        <v>22</v>
      </c>
      <c r="D3" s="12" t="s">
        <v>57</v>
      </c>
      <c r="E3" s="12" t="s">
        <v>55</v>
      </c>
      <c r="F3" s="14" t="s">
        <v>53</v>
      </c>
      <c r="G3" s="15" t="s">
        <v>58</v>
      </c>
    </row>
    <row r="4" spans="1:7" x14ac:dyDescent="0.45">
      <c r="A4" s="12" t="s">
        <v>23</v>
      </c>
      <c r="B4" s="663" t="s">
        <v>1254</v>
      </c>
      <c r="C4" s="13" t="s">
        <v>22</v>
      </c>
      <c r="D4" s="12" t="s">
        <v>59</v>
      </c>
      <c r="E4" s="12" t="s">
        <v>55</v>
      </c>
      <c r="F4" s="13" t="s">
        <v>60</v>
      </c>
      <c r="G4" s="15" t="s">
        <v>61</v>
      </c>
    </row>
    <row r="5" spans="1:7" x14ac:dyDescent="0.45">
      <c r="A5" s="12" t="s">
        <v>23</v>
      </c>
      <c r="B5" s="663" t="s">
        <v>1254</v>
      </c>
      <c r="C5" s="13" t="s">
        <v>22</v>
      </c>
      <c r="D5" s="12" t="s">
        <v>62</v>
      </c>
      <c r="E5" s="12" t="s">
        <v>63</v>
      </c>
      <c r="F5" s="14" t="s">
        <v>53</v>
      </c>
      <c r="G5" s="15" t="s">
        <v>64</v>
      </c>
    </row>
    <row r="6" spans="1:7" x14ac:dyDescent="0.45">
      <c r="A6" s="12" t="s">
        <v>23</v>
      </c>
      <c r="B6" s="663" t="s">
        <v>1254</v>
      </c>
      <c r="C6" s="13" t="s">
        <v>22</v>
      </c>
      <c r="D6" s="12" t="s">
        <v>65</v>
      </c>
      <c r="E6" s="12" t="s">
        <v>63</v>
      </c>
      <c r="F6" s="14" t="s">
        <v>53</v>
      </c>
      <c r="G6" s="15" t="s">
        <v>66</v>
      </c>
    </row>
    <row r="7" spans="1:7" x14ac:dyDescent="0.45">
      <c r="A7" s="16" t="s">
        <v>26</v>
      </c>
      <c r="B7" s="664" t="s">
        <v>1254</v>
      </c>
      <c r="C7" s="6" t="s">
        <v>22</v>
      </c>
      <c r="D7" s="16" t="s">
        <v>67</v>
      </c>
      <c r="E7" s="16" t="s">
        <v>63</v>
      </c>
      <c r="F7" s="17" t="s">
        <v>53</v>
      </c>
      <c r="G7" s="10" t="s">
        <v>68</v>
      </c>
    </row>
    <row r="8" spans="1:7" x14ac:dyDescent="0.45">
      <c r="A8" s="16" t="s">
        <v>26</v>
      </c>
      <c r="B8" s="664" t="s">
        <v>1254</v>
      </c>
      <c r="C8" s="6" t="s">
        <v>22</v>
      </c>
      <c r="D8" s="16" t="s">
        <v>69</v>
      </c>
      <c r="E8" s="16" t="s">
        <v>63</v>
      </c>
      <c r="F8" s="17" t="s">
        <v>53</v>
      </c>
      <c r="G8" s="10" t="s">
        <v>70</v>
      </c>
    </row>
    <row r="9" spans="1:7" x14ac:dyDescent="0.45">
      <c r="A9" s="16" t="s">
        <v>26</v>
      </c>
      <c r="B9" s="664" t="s">
        <v>1254</v>
      </c>
      <c r="C9" s="6" t="s">
        <v>22</v>
      </c>
      <c r="D9" s="16" t="s">
        <v>71</v>
      </c>
      <c r="E9" s="16" t="s">
        <v>55</v>
      </c>
      <c r="F9" s="17" t="s">
        <v>53</v>
      </c>
      <c r="G9" s="10" t="s">
        <v>72</v>
      </c>
    </row>
    <row r="10" spans="1:7" ht="26" x14ac:dyDescent="0.45">
      <c r="A10" s="16" t="s">
        <v>26</v>
      </c>
      <c r="B10" s="664" t="s">
        <v>1254</v>
      </c>
      <c r="C10" s="6" t="s">
        <v>22</v>
      </c>
      <c r="D10" s="16" t="s">
        <v>73</v>
      </c>
      <c r="E10" s="16" t="s">
        <v>74</v>
      </c>
      <c r="F10" s="17" t="s">
        <v>53</v>
      </c>
      <c r="G10" s="10" t="s">
        <v>75</v>
      </c>
    </row>
    <row r="11" spans="1:7" x14ac:dyDescent="0.45">
      <c r="A11" s="16" t="s">
        <v>26</v>
      </c>
      <c r="B11" s="664" t="s">
        <v>1254</v>
      </c>
      <c r="C11" s="6" t="s">
        <v>22</v>
      </c>
      <c r="D11" s="16" t="s">
        <v>76</v>
      </c>
      <c r="E11" s="16" t="s">
        <v>77</v>
      </c>
      <c r="F11" s="17" t="s">
        <v>53</v>
      </c>
      <c r="G11" s="10" t="s">
        <v>78</v>
      </c>
    </row>
    <row r="12" spans="1:7" x14ac:dyDescent="0.45">
      <c r="A12" s="16" t="s">
        <v>26</v>
      </c>
      <c r="B12" s="664" t="s">
        <v>1254</v>
      </c>
      <c r="C12" s="6" t="s">
        <v>22</v>
      </c>
      <c r="D12" s="16" t="s">
        <v>79</v>
      </c>
      <c r="E12" s="16" t="s">
        <v>80</v>
      </c>
      <c r="F12" s="17" t="s">
        <v>53</v>
      </c>
      <c r="G12" s="10" t="s">
        <v>81</v>
      </c>
    </row>
    <row r="13" spans="1:7" x14ac:dyDescent="0.45">
      <c r="A13" s="16" t="s">
        <v>26</v>
      </c>
      <c r="B13" s="664" t="s">
        <v>1254</v>
      </c>
      <c r="C13" s="6" t="s">
        <v>22</v>
      </c>
      <c r="D13" s="16" t="s">
        <v>82</v>
      </c>
      <c r="E13" s="16" t="s">
        <v>83</v>
      </c>
      <c r="F13" s="17" t="s">
        <v>53</v>
      </c>
      <c r="G13" s="10" t="s">
        <v>84</v>
      </c>
    </row>
    <row r="14" spans="1:7" x14ac:dyDescent="0.45">
      <c r="A14" s="16" t="s">
        <v>26</v>
      </c>
      <c r="B14" s="664" t="s">
        <v>1254</v>
      </c>
      <c r="C14" s="6" t="s">
        <v>22</v>
      </c>
      <c r="D14" s="16" t="s">
        <v>85</v>
      </c>
      <c r="E14" s="16" t="s">
        <v>86</v>
      </c>
      <c r="F14" s="17" t="s">
        <v>53</v>
      </c>
      <c r="G14" s="10" t="s">
        <v>87</v>
      </c>
    </row>
    <row r="15" spans="1:7" x14ac:dyDescent="0.45">
      <c r="A15" s="16" t="s">
        <v>26</v>
      </c>
      <c r="B15" s="664" t="s">
        <v>1254</v>
      </c>
      <c r="C15" s="6" t="s">
        <v>22</v>
      </c>
      <c r="D15" s="16" t="s">
        <v>88</v>
      </c>
      <c r="E15" s="16" t="s">
        <v>63</v>
      </c>
      <c r="F15" s="17" t="s">
        <v>53</v>
      </c>
      <c r="G15" s="10" t="s">
        <v>89</v>
      </c>
    </row>
    <row r="16" spans="1:7" x14ac:dyDescent="0.45">
      <c r="A16" s="16" t="s">
        <v>26</v>
      </c>
      <c r="B16" s="664" t="s">
        <v>1254</v>
      </c>
      <c r="C16" s="6" t="s">
        <v>22</v>
      </c>
      <c r="D16" s="16" t="s">
        <v>90</v>
      </c>
      <c r="E16" s="16" t="s">
        <v>91</v>
      </c>
      <c r="F16" s="17" t="s">
        <v>53</v>
      </c>
      <c r="G16" s="10" t="s">
        <v>92</v>
      </c>
    </row>
    <row r="17" spans="1:7" x14ac:dyDescent="0.45">
      <c r="A17" s="16" t="s">
        <v>26</v>
      </c>
      <c r="B17" s="664" t="s">
        <v>1254</v>
      </c>
      <c r="C17" s="6" t="s">
        <v>22</v>
      </c>
      <c r="D17" s="16" t="s">
        <v>93</v>
      </c>
      <c r="E17" s="16" t="s">
        <v>94</v>
      </c>
      <c r="F17" s="17" t="s">
        <v>53</v>
      </c>
      <c r="G17" s="10" t="s">
        <v>95</v>
      </c>
    </row>
    <row r="18" spans="1:7" x14ac:dyDescent="0.45">
      <c r="A18" s="16" t="s">
        <v>26</v>
      </c>
      <c r="B18" s="664" t="s">
        <v>1254</v>
      </c>
      <c r="C18" s="6" t="s">
        <v>22</v>
      </c>
      <c r="D18" s="16" t="s">
        <v>96</v>
      </c>
      <c r="E18" s="16" t="s">
        <v>97</v>
      </c>
      <c r="F18" s="17" t="s">
        <v>53</v>
      </c>
      <c r="G18" s="10" t="s">
        <v>98</v>
      </c>
    </row>
    <row r="19" spans="1:7" x14ac:dyDescent="0.45">
      <c r="A19" s="16" t="s">
        <v>26</v>
      </c>
      <c r="B19" s="664" t="s">
        <v>1254</v>
      </c>
      <c r="C19" s="6" t="s">
        <v>22</v>
      </c>
      <c r="D19" s="16" t="s">
        <v>99</v>
      </c>
      <c r="E19" s="16" t="s">
        <v>63</v>
      </c>
      <c r="F19" s="17" t="s">
        <v>53</v>
      </c>
      <c r="G19" s="10" t="s">
        <v>100</v>
      </c>
    </row>
    <row r="20" spans="1:7" x14ac:dyDescent="0.45">
      <c r="A20" s="16" t="s">
        <v>26</v>
      </c>
      <c r="B20" s="664" t="s">
        <v>1254</v>
      </c>
      <c r="C20" s="6" t="s">
        <v>22</v>
      </c>
      <c r="D20" s="16" t="s">
        <v>101</v>
      </c>
      <c r="E20" s="16" t="s">
        <v>55</v>
      </c>
      <c r="F20" s="6" t="s">
        <v>60</v>
      </c>
      <c r="G20" s="10" t="s">
        <v>102</v>
      </c>
    </row>
    <row r="21" spans="1:7" x14ac:dyDescent="0.45">
      <c r="A21" s="16" t="s">
        <v>26</v>
      </c>
      <c r="B21" s="664" t="s">
        <v>1254</v>
      </c>
      <c r="C21" s="6" t="s">
        <v>22</v>
      </c>
      <c r="D21" s="16" t="s">
        <v>103</v>
      </c>
      <c r="E21" s="16" t="s">
        <v>104</v>
      </c>
      <c r="F21" s="6" t="s">
        <v>60</v>
      </c>
      <c r="G21" s="10" t="s">
        <v>105</v>
      </c>
    </row>
    <row r="22" spans="1:7" x14ac:dyDescent="0.45">
      <c r="A22" s="16" t="s">
        <v>26</v>
      </c>
      <c r="B22" s="664" t="s">
        <v>1254</v>
      </c>
      <c r="C22" s="6" t="s">
        <v>22</v>
      </c>
      <c r="D22" s="16" t="s">
        <v>106</v>
      </c>
      <c r="E22" s="16" t="s">
        <v>63</v>
      </c>
      <c r="F22" s="6" t="s">
        <v>60</v>
      </c>
      <c r="G22" s="10" t="s">
        <v>107</v>
      </c>
    </row>
    <row r="23" spans="1:7" x14ac:dyDescent="0.45">
      <c r="A23" s="16" t="s">
        <v>26</v>
      </c>
      <c r="B23" s="664" t="s">
        <v>1254</v>
      </c>
      <c r="C23" s="6" t="s">
        <v>22</v>
      </c>
      <c r="D23" s="16" t="s">
        <v>108</v>
      </c>
      <c r="E23" s="16" t="s">
        <v>55</v>
      </c>
      <c r="F23" s="6" t="s">
        <v>60</v>
      </c>
      <c r="G23" s="10" t="s">
        <v>109</v>
      </c>
    </row>
    <row r="24" spans="1:7" x14ac:dyDescent="0.45">
      <c r="A24" s="12" t="s">
        <v>29</v>
      </c>
      <c r="B24" s="663" t="s">
        <v>1254</v>
      </c>
      <c r="C24" s="13" t="s">
        <v>22</v>
      </c>
      <c r="D24" s="12" t="s">
        <v>69</v>
      </c>
      <c r="E24" s="12" t="s">
        <v>63</v>
      </c>
      <c r="F24" s="14" t="s">
        <v>53</v>
      </c>
      <c r="G24" s="15" t="s">
        <v>110</v>
      </c>
    </row>
    <row r="25" spans="1:7" x14ac:dyDescent="0.45">
      <c r="A25" s="12" t="s">
        <v>29</v>
      </c>
      <c r="B25" s="663" t="s">
        <v>1254</v>
      </c>
      <c r="C25" s="13" t="s">
        <v>22</v>
      </c>
      <c r="D25" s="12" t="s">
        <v>111</v>
      </c>
      <c r="E25" s="12" t="s">
        <v>55</v>
      </c>
      <c r="F25" s="14" t="s">
        <v>53</v>
      </c>
      <c r="G25" s="15" t="s">
        <v>112</v>
      </c>
    </row>
    <row r="26" spans="1:7" x14ac:dyDescent="0.45">
      <c r="A26" s="12" t="s">
        <v>29</v>
      </c>
      <c r="B26" s="663" t="s">
        <v>1254</v>
      </c>
      <c r="C26" s="13" t="s">
        <v>22</v>
      </c>
      <c r="D26" s="12" t="s">
        <v>113</v>
      </c>
      <c r="E26" s="12" t="s">
        <v>114</v>
      </c>
      <c r="F26" s="14" t="s">
        <v>53</v>
      </c>
      <c r="G26" s="15" t="s">
        <v>115</v>
      </c>
    </row>
    <row r="27" spans="1:7" x14ac:dyDescent="0.45">
      <c r="A27" s="12" t="s">
        <v>29</v>
      </c>
      <c r="B27" s="663" t="s">
        <v>1254</v>
      </c>
      <c r="C27" s="13" t="s">
        <v>22</v>
      </c>
      <c r="D27" s="12" t="s">
        <v>116</v>
      </c>
      <c r="E27" s="12" t="s">
        <v>83</v>
      </c>
      <c r="F27" s="14" t="s">
        <v>53</v>
      </c>
      <c r="G27" s="15" t="s">
        <v>117</v>
      </c>
    </row>
    <row r="28" spans="1:7" x14ac:dyDescent="0.45">
      <c r="A28" s="12" t="s">
        <v>29</v>
      </c>
      <c r="B28" s="663" t="s">
        <v>1254</v>
      </c>
      <c r="C28" s="13" t="s">
        <v>22</v>
      </c>
      <c r="D28" s="12" t="s">
        <v>118</v>
      </c>
      <c r="E28" s="12" t="s">
        <v>119</v>
      </c>
      <c r="F28" s="14" t="s">
        <v>53</v>
      </c>
      <c r="G28" s="15" t="s">
        <v>120</v>
      </c>
    </row>
    <row r="29" spans="1:7" x14ac:dyDescent="0.45">
      <c r="A29" s="12" t="s">
        <v>29</v>
      </c>
      <c r="B29" s="663" t="s">
        <v>1254</v>
      </c>
      <c r="C29" s="13" t="s">
        <v>22</v>
      </c>
      <c r="D29" s="12" t="s">
        <v>82</v>
      </c>
      <c r="E29" s="12" t="s">
        <v>83</v>
      </c>
      <c r="F29" s="14" t="s">
        <v>53</v>
      </c>
      <c r="G29" s="15" t="s">
        <v>84</v>
      </c>
    </row>
    <row r="30" spans="1:7" x14ac:dyDescent="0.45">
      <c r="A30" s="12" t="s">
        <v>29</v>
      </c>
      <c r="B30" s="663" t="s">
        <v>1254</v>
      </c>
      <c r="C30" s="13" t="s">
        <v>22</v>
      </c>
      <c r="D30" s="12" t="s">
        <v>76</v>
      </c>
      <c r="E30" s="12" t="s">
        <v>77</v>
      </c>
      <c r="F30" s="14" t="s">
        <v>53</v>
      </c>
      <c r="G30" s="15" t="s">
        <v>78</v>
      </c>
    </row>
    <row r="31" spans="1:7" x14ac:dyDescent="0.45">
      <c r="A31" s="12" t="s">
        <v>29</v>
      </c>
      <c r="B31" s="663" t="s">
        <v>1254</v>
      </c>
      <c r="C31" s="13" t="s">
        <v>22</v>
      </c>
      <c r="D31" s="12" t="s">
        <v>121</v>
      </c>
      <c r="E31" s="12" t="s">
        <v>63</v>
      </c>
      <c r="F31" s="14" t="s">
        <v>53</v>
      </c>
      <c r="G31" s="15" t="s">
        <v>122</v>
      </c>
    </row>
    <row r="32" spans="1:7" x14ac:dyDescent="0.45">
      <c r="A32" s="12" t="s">
        <v>29</v>
      </c>
      <c r="B32" s="663" t="s">
        <v>1254</v>
      </c>
      <c r="C32" s="13" t="s">
        <v>22</v>
      </c>
      <c r="D32" s="12" t="s">
        <v>123</v>
      </c>
      <c r="E32" s="12" t="s">
        <v>63</v>
      </c>
      <c r="F32" s="14" t="s">
        <v>53</v>
      </c>
      <c r="G32" s="15" t="s">
        <v>124</v>
      </c>
    </row>
    <row r="33" spans="1:7" x14ac:dyDescent="0.45">
      <c r="A33" s="12" t="s">
        <v>29</v>
      </c>
      <c r="B33" s="663" t="s">
        <v>1254</v>
      </c>
      <c r="C33" s="13" t="s">
        <v>22</v>
      </c>
      <c r="D33" s="12" t="s">
        <v>125</v>
      </c>
      <c r="E33" s="12" t="s">
        <v>63</v>
      </c>
      <c r="F33" s="14" t="s">
        <v>53</v>
      </c>
      <c r="G33" s="15" t="s">
        <v>126</v>
      </c>
    </row>
    <row r="34" spans="1:7" x14ac:dyDescent="0.45">
      <c r="A34" s="16" t="s">
        <v>32</v>
      </c>
      <c r="B34" s="664" t="s">
        <v>1254</v>
      </c>
      <c r="C34" s="6" t="s">
        <v>22</v>
      </c>
      <c r="D34" s="16" t="s">
        <v>127</v>
      </c>
      <c r="E34" s="16" t="s">
        <v>128</v>
      </c>
      <c r="F34" s="17" t="s">
        <v>53</v>
      </c>
      <c r="G34" s="10" t="s">
        <v>129</v>
      </c>
    </row>
    <row r="35" spans="1:7" x14ac:dyDescent="0.45">
      <c r="A35" s="16" t="s">
        <v>32</v>
      </c>
      <c r="B35" s="664" t="s">
        <v>1254</v>
      </c>
      <c r="C35" s="6" t="s">
        <v>22</v>
      </c>
      <c r="D35" s="16" t="s">
        <v>130</v>
      </c>
      <c r="E35" s="16" t="s">
        <v>63</v>
      </c>
      <c r="F35" s="17" t="s">
        <v>53</v>
      </c>
      <c r="G35" s="10" t="s">
        <v>131</v>
      </c>
    </row>
    <row r="36" spans="1:7" x14ac:dyDescent="0.45">
      <c r="A36" s="16" t="s">
        <v>32</v>
      </c>
      <c r="B36" s="664" t="s">
        <v>1254</v>
      </c>
      <c r="C36" s="6" t="s">
        <v>22</v>
      </c>
      <c r="D36" s="16" t="s">
        <v>69</v>
      </c>
      <c r="E36" s="16" t="s">
        <v>63</v>
      </c>
      <c r="F36" s="17" t="s">
        <v>53</v>
      </c>
      <c r="G36" s="10" t="s">
        <v>70</v>
      </c>
    </row>
    <row r="37" spans="1:7" x14ac:dyDescent="0.45">
      <c r="A37" s="16" t="s">
        <v>32</v>
      </c>
      <c r="B37" s="664" t="s">
        <v>1254</v>
      </c>
      <c r="C37" s="6" t="s">
        <v>22</v>
      </c>
      <c r="D37" s="16" t="s">
        <v>106</v>
      </c>
      <c r="E37" s="16" t="s">
        <v>55</v>
      </c>
      <c r="F37" s="17" t="s">
        <v>53</v>
      </c>
      <c r="G37" s="10" t="s">
        <v>107</v>
      </c>
    </row>
    <row r="38" spans="1:7" x14ac:dyDescent="0.45">
      <c r="A38" s="16" t="s">
        <v>32</v>
      </c>
      <c r="B38" s="664" t="s">
        <v>1254</v>
      </c>
      <c r="C38" s="6" t="s">
        <v>22</v>
      </c>
      <c r="D38" s="16" t="s">
        <v>132</v>
      </c>
      <c r="E38" s="16" t="s">
        <v>133</v>
      </c>
      <c r="F38" s="17" t="s">
        <v>53</v>
      </c>
      <c r="G38" s="10" t="s">
        <v>134</v>
      </c>
    </row>
    <row r="39" spans="1:7" x14ac:dyDescent="0.45">
      <c r="A39" s="16" t="s">
        <v>32</v>
      </c>
      <c r="B39" s="664" t="s">
        <v>1254</v>
      </c>
      <c r="C39" s="6" t="s">
        <v>22</v>
      </c>
      <c r="D39" s="16" t="s">
        <v>135</v>
      </c>
      <c r="E39" s="16" t="s">
        <v>63</v>
      </c>
      <c r="F39" s="17" t="s">
        <v>53</v>
      </c>
      <c r="G39" s="10" t="s">
        <v>136</v>
      </c>
    </row>
    <row r="40" spans="1:7" x14ac:dyDescent="0.45">
      <c r="A40" s="16" t="s">
        <v>32</v>
      </c>
      <c r="B40" s="664" t="s">
        <v>1254</v>
      </c>
      <c r="C40" s="6" t="s">
        <v>22</v>
      </c>
      <c r="D40" s="16" t="s">
        <v>137</v>
      </c>
      <c r="E40" s="16" t="s">
        <v>55</v>
      </c>
      <c r="F40" s="17" t="s">
        <v>53</v>
      </c>
      <c r="G40" s="10" t="s">
        <v>109</v>
      </c>
    </row>
    <row r="41" spans="1:7" x14ac:dyDescent="0.45">
      <c r="A41" s="12" t="s">
        <v>35</v>
      </c>
      <c r="B41" s="663" t="s">
        <v>1254</v>
      </c>
      <c r="C41" s="13" t="s">
        <v>22</v>
      </c>
      <c r="D41" s="12" t="s">
        <v>96</v>
      </c>
      <c r="E41" s="12" t="s">
        <v>55</v>
      </c>
      <c r="F41" s="14" t="s">
        <v>53</v>
      </c>
      <c r="G41" s="15" t="s">
        <v>138</v>
      </c>
    </row>
    <row r="42" spans="1:7" x14ac:dyDescent="0.45">
      <c r="A42" s="12" t="s">
        <v>35</v>
      </c>
      <c r="B42" s="663" t="s">
        <v>1254</v>
      </c>
      <c r="C42" s="13" t="s">
        <v>22</v>
      </c>
      <c r="D42" s="12" t="s">
        <v>130</v>
      </c>
      <c r="E42" s="12" t="s">
        <v>63</v>
      </c>
      <c r="F42" s="14" t="s">
        <v>53</v>
      </c>
      <c r="G42" s="15" t="s">
        <v>139</v>
      </c>
    </row>
    <row r="43" spans="1:7" x14ac:dyDescent="0.45">
      <c r="A43" s="12" t="s">
        <v>35</v>
      </c>
      <c r="B43" s="663" t="s">
        <v>1254</v>
      </c>
      <c r="C43" s="13" t="s">
        <v>22</v>
      </c>
      <c r="D43" s="12" t="s">
        <v>69</v>
      </c>
      <c r="E43" s="12" t="s">
        <v>63</v>
      </c>
      <c r="F43" s="14" t="s">
        <v>53</v>
      </c>
      <c r="G43" s="15" t="s">
        <v>70</v>
      </c>
    </row>
    <row r="44" spans="1:7" x14ac:dyDescent="0.45">
      <c r="A44" s="12" t="s">
        <v>35</v>
      </c>
      <c r="B44" s="663" t="s">
        <v>1254</v>
      </c>
      <c r="C44" s="13" t="s">
        <v>22</v>
      </c>
      <c r="D44" s="12" t="s">
        <v>99</v>
      </c>
      <c r="E44" s="12" t="s">
        <v>63</v>
      </c>
      <c r="F44" s="14" t="s">
        <v>53</v>
      </c>
      <c r="G44" s="15" t="s">
        <v>140</v>
      </c>
    </row>
    <row r="45" spans="1:7" x14ac:dyDescent="0.45">
      <c r="A45" s="16" t="s">
        <v>38</v>
      </c>
      <c r="B45" s="664" t="s">
        <v>1254</v>
      </c>
      <c r="C45" s="6" t="s">
        <v>22</v>
      </c>
      <c r="D45" s="16" t="s">
        <v>141</v>
      </c>
      <c r="E45" s="16" t="s">
        <v>94</v>
      </c>
      <c r="F45" s="17" t="s">
        <v>53</v>
      </c>
      <c r="G45" s="10" t="s">
        <v>142</v>
      </c>
    </row>
    <row r="46" spans="1:7" x14ac:dyDescent="0.45">
      <c r="A46" s="16" t="s">
        <v>38</v>
      </c>
      <c r="B46" s="664" t="s">
        <v>1254</v>
      </c>
      <c r="C46" s="6" t="s">
        <v>22</v>
      </c>
      <c r="D46" s="16" t="s">
        <v>143</v>
      </c>
      <c r="E46" s="16" t="s">
        <v>144</v>
      </c>
      <c r="F46" s="17" t="s">
        <v>53</v>
      </c>
      <c r="G46" s="10" t="s">
        <v>145</v>
      </c>
    </row>
    <row r="47" spans="1:7" x14ac:dyDescent="0.45">
      <c r="A47" s="16" t="s">
        <v>38</v>
      </c>
      <c r="B47" s="664" t="s">
        <v>1254</v>
      </c>
      <c r="C47" s="6" t="s">
        <v>22</v>
      </c>
      <c r="D47" s="16" t="s">
        <v>146</v>
      </c>
      <c r="E47" s="16" t="s">
        <v>94</v>
      </c>
      <c r="F47" s="17" t="s">
        <v>53</v>
      </c>
      <c r="G47" s="10" t="s">
        <v>147</v>
      </c>
    </row>
    <row r="48" spans="1:7" x14ac:dyDescent="0.45">
      <c r="A48" s="16" t="s">
        <v>38</v>
      </c>
      <c r="B48" s="664" t="s">
        <v>1254</v>
      </c>
      <c r="C48" s="6" t="s">
        <v>22</v>
      </c>
      <c r="D48" s="16" t="s">
        <v>148</v>
      </c>
      <c r="E48" s="16" t="s">
        <v>144</v>
      </c>
      <c r="F48" s="17" t="s">
        <v>53</v>
      </c>
      <c r="G48" s="10" t="s">
        <v>149</v>
      </c>
    </row>
    <row r="49" spans="1:7" x14ac:dyDescent="0.45">
      <c r="A49" s="16" t="s">
        <v>38</v>
      </c>
      <c r="B49" s="664" t="s">
        <v>1254</v>
      </c>
      <c r="C49" s="6" t="s">
        <v>22</v>
      </c>
      <c r="D49" s="16" t="s">
        <v>150</v>
      </c>
      <c r="E49" s="16" t="s">
        <v>55</v>
      </c>
      <c r="F49" s="17" t="s">
        <v>53</v>
      </c>
      <c r="G49" s="10" t="s">
        <v>151</v>
      </c>
    </row>
    <row r="50" spans="1:7" x14ac:dyDescent="0.45">
      <c r="A50" s="16" t="s">
        <v>38</v>
      </c>
      <c r="B50" s="664" t="s">
        <v>1254</v>
      </c>
      <c r="C50" s="6" t="s">
        <v>22</v>
      </c>
      <c r="D50" s="16" t="s">
        <v>152</v>
      </c>
      <c r="E50" s="16" t="s">
        <v>153</v>
      </c>
      <c r="F50" s="17" t="s">
        <v>53</v>
      </c>
      <c r="G50" s="10" t="s">
        <v>154</v>
      </c>
    </row>
    <row r="51" spans="1:7" x14ac:dyDescent="0.45">
      <c r="A51" s="12" t="s">
        <v>41</v>
      </c>
      <c r="B51" s="663" t="s">
        <v>1255</v>
      </c>
      <c r="C51" s="13" t="s">
        <v>22</v>
      </c>
      <c r="D51" s="12" t="s">
        <v>155</v>
      </c>
      <c r="E51" s="12" t="s">
        <v>156</v>
      </c>
      <c r="F51" s="14" t="s">
        <v>53</v>
      </c>
      <c r="G51" s="15" t="s">
        <v>157</v>
      </c>
    </row>
    <row r="52" spans="1:7" x14ac:dyDescent="0.45">
      <c r="A52" s="12" t="s">
        <v>41</v>
      </c>
      <c r="B52" s="663" t="s">
        <v>1255</v>
      </c>
      <c r="C52" s="13" t="s">
        <v>22</v>
      </c>
      <c r="D52" s="12" t="s">
        <v>158</v>
      </c>
      <c r="E52" s="12" t="s">
        <v>55</v>
      </c>
      <c r="F52" s="14" t="s">
        <v>53</v>
      </c>
      <c r="G52" s="15" t="s">
        <v>159</v>
      </c>
    </row>
    <row r="53" spans="1:7" x14ac:dyDescent="0.45">
      <c r="A53" s="12" t="s">
        <v>41</v>
      </c>
      <c r="B53" s="663" t="s">
        <v>1255</v>
      </c>
      <c r="C53" s="13" t="s">
        <v>22</v>
      </c>
      <c r="D53" s="12" t="s">
        <v>160</v>
      </c>
      <c r="E53" s="12" t="s">
        <v>161</v>
      </c>
      <c r="F53" s="14" t="s">
        <v>53</v>
      </c>
      <c r="G53" s="15" t="s">
        <v>134</v>
      </c>
    </row>
    <row r="54" spans="1:7" x14ac:dyDescent="0.45">
      <c r="A54" s="12" t="s">
        <v>41</v>
      </c>
      <c r="B54" s="663" t="s">
        <v>1255</v>
      </c>
      <c r="C54" s="13" t="s">
        <v>22</v>
      </c>
      <c r="D54" s="12" t="s">
        <v>162</v>
      </c>
      <c r="E54" s="12" t="s">
        <v>55</v>
      </c>
      <c r="F54" s="14" t="s">
        <v>53</v>
      </c>
      <c r="G54" s="15" t="s">
        <v>163</v>
      </c>
    </row>
    <row r="55" spans="1:7" x14ac:dyDescent="0.45">
      <c r="A55" s="12" t="s">
        <v>41</v>
      </c>
      <c r="B55" s="663" t="s">
        <v>1255</v>
      </c>
      <c r="C55" s="13" t="s">
        <v>22</v>
      </c>
      <c r="D55" s="12" t="s">
        <v>164</v>
      </c>
      <c r="E55" s="12" t="s">
        <v>55</v>
      </c>
      <c r="F55" s="14" t="s">
        <v>53</v>
      </c>
      <c r="G55" s="15" t="s">
        <v>165</v>
      </c>
    </row>
    <row r="56" spans="1:7" x14ac:dyDescent="0.45">
      <c r="A56" s="16" t="s">
        <v>44</v>
      </c>
      <c r="B56" s="664" t="s">
        <v>1255</v>
      </c>
      <c r="C56" s="6" t="s">
        <v>22</v>
      </c>
      <c r="D56" s="16" t="s">
        <v>166</v>
      </c>
      <c r="E56" s="16" t="s">
        <v>167</v>
      </c>
      <c r="F56" s="17" t="s">
        <v>53</v>
      </c>
      <c r="G56" s="10" t="s">
        <v>168</v>
      </c>
    </row>
    <row r="57" spans="1:7" ht="32" x14ac:dyDescent="0.45">
      <c r="A57" s="12" t="s">
        <v>47</v>
      </c>
      <c r="B57" s="663" t="s">
        <v>1254</v>
      </c>
      <c r="C57" s="13" t="s">
        <v>46</v>
      </c>
      <c r="D57" s="12" t="s">
        <v>169</v>
      </c>
      <c r="E57" s="12" t="s">
        <v>55</v>
      </c>
      <c r="F57" s="14" t="s">
        <v>53</v>
      </c>
      <c r="G57" s="15" t="s">
        <v>170</v>
      </c>
    </row>
    <row r="58" spans="1:7" x14ac:dyDescent="0.45">
      <c r="A58" s="12" t="s">
        <v>47</v>
      </c>
      <c r="B58" s="663" t="s">
        <v>1254</v>
      </c>
      <c r="C58" s="13" t="s">
        <v>46</v>
      </c>
      <c r="D58" s="12" t="s">
        <v>171</v>
      </c>
      <c r="E58" s="12" t="s">
        <v>172</v>
      </c>
      <c r="F58" s="13" t="s">
        <v>60</v>
      </c>
      <c r="G58" s="15" t="s">
        <v>173</v>
      </c>
    </row>
    <row r="59" spans="1:7" x14ac:dyDescent="0.45">
      <c r="A59" s="665" t="s">
        <v>23</v>
      </c>
      <c r="B59" s="666" t="s">
        <v>1256</v>
      </c>
      <c r="C59" s="666" t="s">
        <v>22</v>
      </c>
      <c r="D59" s="665" t="s">
        <v>1271</v>
      </c>
      <c r="E59" s="665" t="s">
        <v>1272</v>
      </c>
      <c r="F59" s="667" t="s">
        <v>53</v>
      </c>
      <c r="G59" s="668" t="s">
        <v>1273</v>
      </c>
    </row>
    <row r="60" spans="1:7" x14ac:dyDescent="0.45">
      <c r="A60" s="665" t="s">
        <v>23</v>
      </c>
      <c r="B60" s="666" t="s">
        <v>1256</v>
      </c>
      <c r="C60" s="666" t="s">
        <v>22</v>
      </c>
      <c r="D60" s="665" t="s">
        <v>54</v>
      </c>
      <c r="E60" s="665" t="s">
        <v>55</v>
      </c>
      <c r="F60" s="667" t="s">
        <v>53</v>
      </c>
      <c r="G60" s="668" t="s">
        <v>56</v>
      </c>
    </row>
    <row r="61" spans="1:7" x14ac:dyDescent="0.45">
      <c r="A61" s="665" t="s">
        <v>23</v>
      </c>
      <c r="B61" s="666" t="s">
        <v>1256</v>
      </c>
      <c r="C61" s="666" t="s">
        <v>22</v>
      </c>
      <c r="D61" s="665" t="s">
        <v>57</v>
      </c>
      <c r="E61" s="665" t="s">
        <v>55</v>
      </c>
      <c r="F61" s="667" t="s">
        <v>53</v>
      </c>
      <c r="G61" s="668" t="s">
        <v>58</v>
      </c>
    </row>
    <row r="62" spans="1:7" x14ac:dyDescent="0.45">
      <c r="A62" s="665" t="s">
        <v>23</v>
      </c>
      <c r="B62" s="666" t="s">
        <v>1256</v>
      </c>
      <c r="C62" s="666" t="s">
        <v>22</v>
      </c>
      <c r="D62" s="665" t="s">
        <v>1274</v>
      </c>
      <c r="E62" s="665" t="s">
        <v>63</v>
      </c>
      <c r="F62" s="667" t="s">
        <v>53</v>
      </c>
      <c r="G62" s="668" t="s">
        <v>1275</v>
      </c>
    </row>
    <row r="63" spans="1:7" x14ac:dyDescent="0.45">
      <c r="A63" s="665" t="s">
        <v>23</v>
      </c>
      <c r="B63" s="666" t="s">
        <v>1256</v>
      </c>
      <c r="C63" s="666" t="s">
        <v>22</v>
      </c>
      <c r="D63" s="665" t="s">
        <v>1276</v>
      </c>
      <c r="E63" s="665" t="s">
        <v>63</v>
      </c>
      <c r="F63" s="667" t="s">
        <v>53</v>
      </c>
      <c r="G63" s="668" t="s">
        <v>1277</v>
      </c>
    </row>
    <row r="64" spans="1:7" x14ac:dyDescent="0.45">
      <c r="A64" s="665" t="s">
        <v>23</v>
      </c>
      <c r="B64" s="666" t="s">
        <v>1256</v>
      </c>
      <c r="C64" s="666" t="s">
        <v>22</v>
      </c>
      <c r="D64" s="665" t="s">
        <v>1278</v>
      </c>
      <c r="E64" s="665" t="s">
        <v>63</v>
      </c>
      <c r="F64" s="667" t="s">
        <v>53</v>
      </c>
      <c r="G64" s="668" t="s">
        <v>1279</v>
      </c>
    </row>
    <row r="65" spans="1:7" x14ac:dyDescent="0.45">
      <c r="A65" s="665" t="s">
        <v>23</v>
      </c>
      <c r="B65" s="666" t="s">
        <v>1256</v>
      </c>
      <c r="C65" s="666" t="s">
        <v>22</v>
      </c>
      <c r="D65" s="665" t="s">
        <v>1280</v>
      </c>
      <c r="E65" s="665" t="s">
        <v>63</v>
      </c>
      <c r="F65" s="667" t="s">
        <v>53</v>
      </c>
      <c r="G65" s="668" t="s">
        <v>1281</v>
      </c>
    </row>
    <row r="66" spans="1:7" x14ac:dyDescent="0.45">
      <c r="A66" s="669" t="s">
        <v>29</v>
      </c>
      <c r="B66" s="661" t="s">
        <v>1256</v>
      </c>
      <c r="C66" s="661" t="s">
        <v>22</v>
      </c>
      <c r="D66" s="669" t="s">
        <v>1271</v>
      </c>
      <c r="E66" s="669" t="s">
        <v>1272</v>
      </c>
      <c r="F66" s="670" t="s">
        <v>53</v>
      </c>
      <c r="G66" s="671" t="s">
        <v>1282</v>
      </c>
    </row>
    <row r="67" spans="1:7" x14ac:dyDescent="0.45">
      <c r="A67" s="669" t="s">
        <v>29</v>
      </c>
      <c r="B67" s="661" t="s">
        <v>1256</v>
      </c>
      <c r="C67" s="661" t="s">
        <v>22</v>
      </c>
      <c r="D67" s="669" t="s">
        <v>1283</v>
      </c>
      <c r="E67" s="669" t="s">
        <v>63</v>
      </c>
      <c r="F67" s="670" t="s">
        <v>53</v>
      </c>
      <c r="G67" s="671" t="s">
        <v>1284</v>
      </c>
    </row>
    <row r="68" spans="1:7" x14ac:dyDescent="0.45">
      <c r="A68" s="669" t="s">
        <v>29</v>
      </c>
      <c r="B68" s="661" t="s">
        <v>1256</v>
      </c>
      <c r="C68" s="661" t="s">
        <v>22</v>
      </c>
      <c r="D68" s="669" t="s">
        <v>1285</v>
      </c>
      <c r="E68" s="669" t="s">
        <v>55</v>
      </c>
      <c r="F68" s="670" t="s">
        <v>53</v>
      </c>
      <c r="G68" s="671" t="s">
        <v>1286</v>
      </c>
    </row>
    <row r="69" spans="1:7" x14ac:dyDescent="0.45">
      <c r="A69" s="669" t="s">
        <v>29</v>
      </c>
      <c r="B69" s="661" t="s">
        <v>1256</v>
      </c>
      <c r="C69" s="661" t="s">
        <v>22</v>
      </c>
      <c r="D69" s="669" t="s">
        <v>76</v>
      </c>
      <c r="E69" s="672" t="s">
        <v>1287</v>
      </c>
      <c r="F69" s="670" t="s">
        <v>53</v>
      </c>
      <c r="G69" s="671" t="s">
        <v>1288</v>
      </c>
    </row>
    <row r="70" spans="1:7" x14ac:dyDescent="0.45">
      <c r="A70" s="669" t="s">
        <v>29</v>
      </c>
      <c r="B70" s="661" t="s">
        <v>1256</v>
      </c>
      <c r="C70" s="661" t="s">
        <v>22</v>
      </c>
      <c r="D70" s="669" t="s">
        <v>82</v>
      </c>
      <c r="E70" s="672" t="s">
        <v>1289</v>
      </c>
      <c r="F70" s="670" t="s">
        <v>53</v>
      </c>
      <c r="G70" s="671" t="s">
        <v>1290</v>
      </c>
    </row>
    <row r="71" spans="1:7" x14ac:dyDescent="0.45">
      <c r="A71" s="669" t="s">
        <v>29</v>
      </c>
      <c r="B71" s="661" t="s">
        <v>1256</v>
      </c>
      <c r="C71" s="661" t="s">
        <v>22</v>
      </c>
      <c r="D71" s="669" t="s">
        <v>1291</v>
      </c>
      <c r="E71" s="672" t="s">
        <v>1292</v>
      </c>
      <c r="F71" s="670" t="s">
        <v>53</v>
      </c>
      <c r="G71" s="671" t="s">
        <v>1293</v>
      </c>
    </row>
    <row r="72" spans="1:7" x14ac:dyDescent="0.45">
      <c r="A72" s="669" t="s">
        <v>29</v>
      </c>
      <c r="B72" s="661" t="s">
        <v>1256</v>
      </c>
      <c r="C72" s="661" t="s">
        <v>22</v>
      </c>
      <c r="D72" s="669" t="s">
        <v>113</v>
      </c>
      <c r="E72" s="672" t="s">
        <v>1294</v>
      </c>
      <c r="F72" s="670" t="s">
        <v>53</v>
      </c>
      <c r="G72" s="671" t="s">
        <v>1295</v>
      </c>
    </row>
    <row r="73" spans="1:7" x14ac:dyDescent="0.45">
      <c r="A73" s="669" t="s">
        <v>29</v>
      </c>
      <c r="B73" s="661" t="s">
        <v>1256</v>
      </c>
      <c r="C73" s="661" t="s">
        <v>22</v>
      </c>
      <c r="D73" s="669" t="s">
        <v>1296</v>
      </c>
      <c r="E73" s="669" t="s">
        <v>94</v>
      </c>
      <c r="F73" s="670" t="s">
        <v>53</v>
      </c>
      <c r="G73" s="671" t="s">
        <v>1297</v>
      </c>
    </row>
    <row r="74" spans="1:7" x14ac:dyDescent="0.45">
      <c r="A74" s="669" t="s">
        <v>29</v>
      </c>
      <c r="B74" s="661" t="s">
        <v>1256</v>
      </c>
      <c r="C74" s="661" t="s">
        <v>22</v>
      </c>
      <c r="D74" s="669" t="s">
        <v>1298</v>
      </c>
      <c r="E74" s="669" t="s">
        <v>1299</v>
      </c>
      <c r="F74" s="670" t="s">
        <v>53</v>
      </c>
      <c r="G74" s="671" t="s">
        <v>1300</v>
      </c>
    </row>
    <row r="75" spans="1:7" x14ac:dyDescent="0.45">
      <c r="A75" s="669" t="s">
        <v>29</v>
      </c>
      <c r="B75" s="661" t="s">
        <v>1256</v>
      </c>
      <c r="C75" s="661" t="s">
        <v>22</v>
      </c>
      <c r="D75" s="669" t="s">
        <v>1301</v>
      </c>
      <c r="E75" s="669" t="s">
        <v>94</v>
      </c>
      <c r="F75" s="670" t="s">
        <v>53</v>
      </c>
      <c r="G75" s="671" t="s">
        <v>1302</v>
      </c>
    </row>
    <row r="76" spans="1:7" x14ac:dyDescent="0.45">
      <c r="A76" s="669" t="s">
        <v>29</v>
      </c>
      <c r="B76" s="661" t="s">
        <v>1256</v>
      </c>
      <c r="C76" s="661" t="s">
        <v>22</v>
      </c>
      <c r="D76" s="669" t="s">
        <v>1303</v>
      </c>
      <c r="E76" s="669" t="s">
        <v>94</v>
      </c>
      <c r="F76" s="670" t="s">
        <v>53</v>
      </c>
      <c r="G76" s="671" t="s">
        <v>1304</v>
      </c>
    </row>
    <row r="77" spans="1:7" x14ac:dyDescent="0.45">
      <c r="A77" s="669" t="s">
        <v>29</v>
      </c>
      <c r="B77" s="661" t="s">
        <v>1256</v>
      </c>
      <c r="C77" s="661" t="s">
        <v>22</v>
      </c>
      <c r="D77" s="669" t="s">
        <v>1305</v>
      </c>
      <c r="E77" s="669" t="s">
        <v>94</v>
      </c>
      <c r="F77" s="670" t="s">
        <v>53</v>
      </c>
      <c r="G77" s="671" t="s">
        <v>1306</v>
      </c>
    </row>
    <row r="78" spans="1:7" x14ac:dyDescent="0.45">
      <c r="A78" s="669" t="s">
        <v>29</v>
      </c>
      <c r="B78" s="661" t="s">
        <v>1256</v>
      </c>
      <c r="C78" s="661" t="s">
        <v>22</v>
      </c>
      <c r="D78" s="669" t="s">
        <v>1307</v>
      </c>
      <c r="E78" s="669" t="s">
        <v>1308</v>
      </c>
      <c r="F78" s="670" t="s">
        <v>60</v>
      </c>
      <c r="G78" s="671" t="s">
        <v>1309</v>
      </c>
    </row>
    <row r="79" spans="1:7" x14ac:dyDescent="0.45">
      <c r="A79" s="669" t="s">
        <v>29</v>
      </c>
      <c r="B79" s="661" t="s">
        <v>1256</v>
      </c>
      <c r="C79" s="661" t="s">
        <v>22</v>
      </c>
      <c r="D79" s="669" t="s">
        <v>1310</v>
      </c>
      <c r="E79" s="669" t="s">
        <v>94</v>
      </c>
      <c r="F79" s="670" t="s">
        <v>53</v>
      </c>
      <c r="G79" s="671" t="s">
        <v>1311</v>
      </c>
    </row>
    <row r="80" spans="1:7" x14ac:dyDescent="0.45">
      <c r="A80" s="669" t="s">
        <v>29</v>
      </c>
      <c r="B80" s="661" t="s">
        <v>1256</v>
      </c>
      <c r="C80" s="661" t="s">
        <v>22</v>
      </c>
      <c r="D80" s="669" t="s">
        <v>1312</v>
      </c>
      <c r="E80" s="669" t="s">
        <v>63</v>
      </c>
      <c r="F80" s="670" t="s">
        <v>53</v>
      </c>
      <c r="G80" s="671" t="s">
        <v>1313</v>
      </c>
    </row>
    <row r="81" spans="1:7" x14ac:dyDescent="0.45">
      <c r="A81" s="669" t="s">
        <v>29</v>
      </c>
      <c r="B81" s="661" t="s">
        <v>1256</v>
      </c>
      <c r="C81" s="661" t="s">
        <v>22</v>
      </c>
      <c r="D81" s="669" t="s">
        <v>1314</v>
      </c>
      <c r="E81" s="669" t="s">
        <v>63</v>
      </c>
      <c r="F81" s="670" t="s">
        <v>53</v>
      </c>
      <c r="G81" s="671" t="s">
        <v>1315</v>
      </c>
    </row>
    <row r="82" spans="1:7" x14ac:dyDescent="0.45">
      <c r="A82" s="669" t="s">
        <v>29</v>
      </c>
      <c r="B82" s="661" t="s">
        <v>1256</v>
      </c>
      <c r="C82" s="661" t="s">
        <v>22</v>
      </c>
      <c r="D82" s="669" t="s">
        <v>1316</v>
      </c>
      <c r="E82" s="669" t="s">
        <v>63</v>
      </c>
      <c r="F82" s="670" t="s">
        <v>53</v>
      </c>
      <c r="G82" s="671" t="s">
        <v>1317</v>
      </c>
    </row>
    <row r="83" spans="1:7" x14ac:dyDescent="0.45">
      <c r="A83" s="669" t="s">
        <v>29</v>
      </c>
      <c r="B83" s="661" t="s">
        <v>1256</v>
      </c>
      <c r="C83" s="661" t="s">
        <v>22</v>
      </c>
      <c r="D83" s="669" t="s">
        <v>1318</v>
      </c>
      <c r="E83" s="669" t="s">
        <v>63</v>
      </c>
      <c r="F83" s="670" t="s">
        <v>53</v>
      </c>
      <c r="G83" s="671" t="s">
        <v>126</v>
      </c>
    </row>
    <row r="84" spans="1:7" x14ac:dyDescent="0.45">
      <c r="A84" s="669" t="s">
        <v>29</v>
      </c>
      <c r="B84" s="661" t="s">
        <v>1256</v>
      </c>
      <c r="C84" s="661" t="s">
        <v>22</v>
      </c>
      <c r="D84" s="669" t="s">
        <v>1319</v>
      </c>
      <c r="E84" s="669" t="s">
        <v>1320</v>
      </c>
      <c r="F84" s="670" t="s">
        <v>60</v>
      </c>
      <c r="G84" s="671" t="s">
        <v>1321</v>
      </c>
    </row>
    <row r="85" spans="1:7" x14ac:dyDescent="0.45">
      <c r="A85" s="665" t="s">
        <v>26</v>
      </c>
      <c r="B85" s="666" t="s">
        <v>1256</v>
      </c>
      <c r="C85" s="666" t="s">
        <v>22</v>
      </c>
      <c r="D85" s="665" t="s">
        <v>1271</v>
      </c>
      <c r="E85" s="665" t="s">
        <v>1272</v>
      </c>
      <c r="F85" s="667" t="s">
        <v>53</v>
      </c>
      <c r="G85" s="668" t="s">
        <v>1282</v>
      </c>
    </row>
    <row r="86" spans="1:7" x14ac:dyDescent="0.45">
      <c r="A86" s="665" t="s">
        <v>26</v>
      </c>
      <c r="B86" s="666" t="s">
        <v>1256</v>
      </c>
      <c r="C86" s="666" t="s">
        <v>22</v>
      </c>
      <c r="D86" s="665" t="s">
        <v>67</v>
      </c>
      <c r="E86" s="665" t="s">
        <v>63</v>
      </c>
      <c r="F86" s="667" t="s">
        <v>53</v>
      </c>
      <c r="G86" s="668" t="s">
        <v>1322</v>
      </c>
    </row>
    <row r="87" spans="1:7" x14ac:dyDescent="0.45">
      <c r="A87" s="665" t="s">
        <v>26</v>
      </c>
      <c r="B87" s="666" t="s">
        <v>1256</v>
      </c>
      <c r="C87" s="666" t="s">
        <v>22</v>
      </c>
      <c r="D87" s="665" t="s">
        <v>1283</v>
      </c>
      <c r="E87" s="665" t="s">
        <v>63</v>
      </c>
      <c r="F87" s="667" t="s">
        <v>53</v>
      </c>
      <c r="G87" s="668" t="s">
        <v>1323</v>
      </c>
    </row>
    <row r="88" spans="1:7" x14ac:dyDescent="0.45">
      <c r="A88" s="665" t="s">
        <v>26</v>
      </c>
      <c r="B88" s="666" t="s">
        <v>1256</v>
      </c>
      <c r="C88" s="666" t="s">
        <v>22</v>
      </c>
      <c r="D88" s="665" t="s">
        <v>1324</v>
      </c>
      <c r="E88" s="673" t="s">
        <v>1325</v>
      </c>
      <c r="F88" s="667" t="s">
        <v>53</v>
      </c>
      <c r="G88" s="668" t="s">
        <v>1326</v>
      </c>
    </row>
    <row r="89" spans="1:7" x14ac:dyDescent="0.45">
      <c r="A89" s="665" t="s">
        <v>26</v>
      </c>
      <c r="B89" s="666" t="s">
        <v>1256</v>
      </c>
      <c r="C89" s="666" t="s">
        <v>22</v>
      </c>
      <c r="D89" s="665" t="s">
        <v>71</v>
      </c>
      <c r="E89" s="665" t="s">
        <v>55</v>
      </c>
      <c r="F89" s="667" t="s">
        <v>53</v>
      </c>
      <c r="G89" s="668" t="s">
        <v>1327</v>
      </c>
    </row>
    <row r="90" spans="1:7" x14ac:dyDescent="0.45">
      <c r="A90" s="665" t="s">
        <v>26</v>
      </c>
      <c r="B90" s="666" t="s">
        <v>1256</v>
      </c>
      <c r="C90" s="666" t="s">
        <v>22</v>
      </c>
      <c r="D90" s="665" t="s">
        <v>93</v>
      </c>
      <c r="E90" s="665" t="s">
        <v>94</v>
      </c>
      <c r="F90" s="667" t="s">
        <v>53</v>
      </c>
      <c r="G90" s="668" t="s">
        <v>95</v>
      </c>
    </row>
    <row r="91" spans="1:7" x14ac:dyDescent="0.45">
      <c r="A91" s="665" t="s">
        <v>26</v>
      </c>
      <c r="B91" s="666" t="s">
        <v>1256</v>
      </c>
      <c r="C91" s="666" t="s">
        <v>22</v>
      </c>
      <c r="D91" s="665" t="s">
        <v>1328</v>
      </c>
      <c r="E91" s="665" t="s">
        <v>94</v>
      </c>
      <c r="F91" s="667" t="s">
        <v>60</v>
      </c>
      <c r="G91" s="668" t="s">
        <v>1329</v>
      </c>
    </row>
    <row r="92" spans="1:7" x14ac:dyDescent="0.45">
      <c r="A92" s="665" t="s">
        <v>26</v>
      </c>
      <c r="B92" s="666" t="s">
        <v>1256</v>
      </c>
      <c r="C92" s="666" t="s">
        <v>22</v>
      </c>
      <c r="D92" s="665" t="s">
        <v>76</v>
      </c>
      <c r="E92" s="673" t="s">
        <v>1287</v>
      </c>
      <c r="F92" s="667" t="s">
        <v>60</v>
      </c>
      <c r="G92" s="668" t="s">
        <v>1330</v>
      </c>
    </row>
    <row r="93" spans="1:7" x14ac:dyDescent="0.45">
      <c r="A93" s="665" t="s">
        <v>26</v>
      </c>
      <c r="B93" s="666" t="s">
        <v>1256</v>
      </c>
      <c r="C93" s="666" t="s">
        <v>22</v>
      </c>
      <c r="D93" s="665" t="s">
        <v>82</v>
      </c>
      <c r="E93" s="673" t="s">
        <v>1289</v>
      </c>
      <c r="F93" s="667" t="s">
        <v>60</v>
      </c>
      <c r="G93" s="668" t="s">
        <v>1331</v>
      </c>
    </row>
    <row r="94" spans="1:7" x14ac:dyDescent="0.45">
      <c r="A94" s="665" t="s">
        <v>26</v>
      </c>
      <c r="B94" s="666" t="s">
        <v>1256</v>
      </c>
      <c r="C94" s="666" t="s">
        <v>22</v>
      </c>
      <c r="D94" s="665" t="s">
        <v>1332</v>
      </c>
      <c r="E94" s="673" t="s">
        <v>1333</v>
      </c>
      <c r="F94" s="667" t="s">
        <v>60</v>
      </c>
      <c r="G94" s="668" t="s">
        <v>1334</v>
      </c>
    </row>
    <row r="95" spans="1:7" x14ac:dyDescent="0.45">
      <c r="A95" s="665" t="s">
        <v>26</v>
      </c>
      <c r="B95" s="666" t="s">
        <v>1256</v>
      </c>
      <c r="C95" s="666" t="s">
        <v>22</v>
      </c>
      <c r="D95" s="665" t="s">
        <v>1335</v>
      </c>
      <c r="E95" s="673" t="s">
        <v>1336</v>
      </c>
      <c r="F95" s="667" t="s">
        <v>60</v>
      </c>
      <c r="G95" s="668" t="s">
        <v>1337</v>
      </c>
    </row>
    <row r="96" spans="1:7" x14ac:dyDescent="0.45">
      <c r="A96" s="665" t="s">
        <v>26</v>
      </c>
      <c r="B96" s="666" t="s">
        <v>1256</v>
      </c>
      <c r="C96" s="666" t="s">
        <v>22</v>
      </c>
      <c r="D96" s="665" t="s">
        <v>88</v>
      </c>
      <c r="E96" s="665" t="s">
        <v>63</v>
      </c>
      <c r="F96" s="667" t="s">
        <v>60</v>
      </c>
      <c r="G96" s="668" t="s">
        <v>1338</v>
      </c>
    </row>
    <row r="97" spans="1:7" x14ac:dyDescent="0.45">
      <c r="A97" s="665" t="s">
        <v>26</v>
      </c>
      <c r="B97" s="666" t="s">
        <v>1256</v>
      </c>
      <c r="C97" s="666" t="s">
        <v>22</v>
      </c>
      <c r="D97" s="665" t="s">
        <v>1339</v>
      </c>
      <c r="E97" s="665" t="s">
        <v>94</v>
      </c>
      <c r="F97" s="667" t="s">
        <v>60</v>
      </c>
      <c r="G97" s="668" t="s">
        <v>1340</v>
      </c>
    </row>
    <row r="98" spans="1:7" x14ac:dyDescent="0.45">
      <c r="A98" s="665" t="s">
        <v>26</v>
      </c>
      <c r="B98" s="666" t="s">
        <v>1256</v>
      </c>
      <c r="C98" s="666" t="s">
        <v>22</v>
      </c>
      <c r="D98" s="665" t="s">
        <v>1341</v>
      </c>
      <c r="E98" s="665" t="s">
        <v>1342</v>
      </c>
      <c r="F98" s="667" t="s">
        <v>60</v>
      </c>
      <c r="G98" s="668" t="s">
        <v>1343</v>
      </c>
    </row>
    <row r="99" spans="1:7" x14ac:dyDescent="0.45">
      <c r="A99" s="665" t="s">
        <v>26</v>
      </c>
      <c r="B99" s="666" t="s">
        <v>1256</v>
      </c>
      <c r="C99" s="666" t="s">
        <v>22</v>
      </c>
      <c r="D99" s="665" t="s">
        <v>1344</v>
      </c>
      <c r="E99" s="665" t="s">
        <v>1342</v>
      </c>
      <c r="F99" s="667" t="s">
        <v>60</v>
      </c>
      <c r="G99" s="668" t="s">
        <v>1345</v>
      </c>
    </row>
    <row r="100" spans="1:7" x14ac:dyDescent="0.45">
      <c r="A100" s="665" t="s">
        <v>26</v>
      </c>
      <c r="B100" s="666" t="s">
        <v>1256</v>
      </c>
      <c r="C100" s="666" t="s">
        <v>22</v>
      </c>
      <c r="D100" s="665" t="s">
        <v>1346</v>
      </c>
      <c r="E100" s="665" t="s">
        <v>1342</v>
      </c>
      <c r="F100" s="667" t="s">
        <v>60</v>
      </c>
      <c r="G100" s="668" t="s">
        <v>1347</v>
      </c>
    </row>
    <row r="101" spans="1:7" x14ac:dyDescent="0.45">
      <c r="A101" s="665" t="s">
        <v>26</v>
      </c>
      <c r="B101" s="666" t="s">
        <v>1256</v>
      </c>
      <c r="C101" s="666" t="s">
        <v>22</v>
      </c>
      <c r="D101" s="665" t="s">
        <v>96</v>
      </c>
      <c r="E101" s="665" t="s">
        <v>97</v>
      </c>
      <c r="F101" s="667" t="s">
        <v>60</v>
      </c>
      <c r="G101" s="668" t="s">
        <v>1348</v>
      </c>
    </row>
    <row r="102" spans="1:7" x14ac:dyDescent="0.45">
      <c r="A102" s="665" t="s">
        <v>26</v>
      </c>
      <c r="B102" s="666" t="s">
        <v>1256</v>
      </c>
      <c r="C102" s="666" t="s">
        <v>22</v>
      </c>
      <c r="D102" s="665" t="s">
        <v>1349</v>
      </c>
      <c r="E102" s="665" t="s">
        <v>94</v>
      </c>
      <c r="F102" s="667" t="s">
        <v>60</v>
      </c>
      <c r="G102" s="668" t="s">
        <v>1350</v>
      </c>
    </row>
    <row r="103" spans="1:7" x14ac:dyDescent="0.45">
      <c r="A103" s="665" t="s">
        <v>26</v>
      </c>
      <c r="B103" s="666" t="s">
        <v>1256</v>
      </c>
      <c r="C103" s="666" t="s">
        <v>22</v>
      </c>
      <c r="D103" s="665" t="s">
        <v>1351</v>
      </c>
      <c r="E103" s="673" t="s">
        <v>1352</v>
      </c>
      <c r="F103" s="667" t="s">
        <v>60</v>
      </c>
      <c r="G103" s="668" t="s">
        <v>1353</v>
      </c>
    </row>
    <row r="104" spans="1:7" x14ac:dyDescent="0.45">
      <c r="A104" s="665" t="s">
        <v>26</v>
      </c>
      <c r="B104" s="666" t="s">
        <v>1256</v>
      </c>
      <c r="C104" s="666" t="s">
        <v>22</v>
      </c>
      <c r="D104" s="665" t="s">
        <v>1354</v>
      </c>
      <c r="E104" s="673" t="s">
        <v>1355</v>
      </c>
      <c r="F104" s="667" t="s">
        <v>60</v>
      </c>
      <c r="G104" s="668" t="s">
        <v>1356</v>
      </c>
    </row>
    <row r="105" spans="1:7" x14ac:dyDescent="0.45">
      <c r="A105" s="665" t="s">
        <v>26</v>
      </c>
      <c r="B105" s="666" t="s">
        <v>1256</v>
      </c>
      <c r="C105" s="666" t="s">
        <v>22</v>
      </c>
      <c r="D105" s="665" t="s">
        <v>1357</v>
      </c>
      <c r="E105" s="673" t="s">
        <v>1358</v>
      </c>
      <c r="F105" s="667" t="s">
        <v>60</v>
      </c>
      <c r="G105" s="668" t="s">
        <v>1359</v>
      </c>
    </row>
    <row r="106" spans="1:7" x14ac:dyDescent="0.45">
      <c r="A106" s="665" t="s">
        <v>26</v>
      </c>
      <c r="B106" s="666" t="s">
        <v>1256</v>
      </c>
      <c r="C106" s="666" t="s">
        <v>22</v>
      </c>
      <c r="D106" s="665" t="s">
        <v>1360</v>
      </c>
      <c r="E106" s="665" t="s">
        <v>97</v>
      </c>
      <c r="F106" s="667" t="s">
        <v>60</v>
      </c>
      <c r="G106" s="668" t="s">
        <v>1361</v>
      </c>
    </row>
    <row r="107" spans="1:7" x14ac:dyDescent="0.45">
      <c r="A107" s="665" t="s">
        <v>26</v>
      </c>
      <c r="B107" s="666" t="s">
        <v>1256</v>
      </c>
      <c r="C107" s="666" t="s">
        <v>22</v>
      </c>
      <c r="D107" s="665" t="s">
        <v>1362</v>
      </c>
      <c r="E107" s="665" t="s">
        <v>94</v>
      </c>
      <c r="F107" s="667" t="s">
        <v>60</v>
      </c>
      <c r="G107" s="668" t="s">
        <v>1363</v>
      </c>
    </row>
    <row r="108" spans="1:7" x14ac:dyDescent="0.45">
      <c r="A108" s="665" t="s">
        <v>26</v>
      </c>
      <c r="B108" s="666" t="s">
        <v>1256</v>
      </c>
      <c r="C108" s="666" t="s">
        <v>22</v>
      </c>
      <c r="D108" s="665" t="s">
        <v>1364</v>
      </c>
      <c r="E108" s="665" t="s">
        <v>94</v>
      </c>
      <c r="F108" s="667" t="s">
        <v>60</v>
      </c>
      <c r="G108" s="668" t="s">
        <v>1365</v>
      </c>
    </row>
    <row r="109" spans="1:7" x14ac:dyDescent="0.45">
      <c r="A109" s="669" t="s">
        <v>32</v>
      </c>
      <c r="B109" s="661" t="s">
        <v>1256</v>
      </c>
      <c r="C109" s="661" t="s">
        <v>22</v>
      </c>
      <c r="D109" s="669" t="s">
        <v>1271</v>
      </c>
      <c r="E109" s="669" t="s">
        <v>1272</v>
      </c>
      <c r="F109" s="670" t="s">
        <v>53</v>
      </c>
      <c r="G109" s="671" t="s">
        <v>1282</v>
      </c>
    </row>
    <row r="110" spans="1:7" x14ac:dyDescent="0.45">
      <c r="A110" s="669" t="s">
        <v>32</v>
      </c>
      <c r="B110" s="661" t="s">
        <v>1256</v>
      </c>
      <c r="C110" s="661" t="s">
        <v>22</v>
      </c>
      <c r="D110" s="669" t="s">
        <v>127</v>
      </c>
      <c r="E110" s="672" t="s">
        <v>1366</v>
      </c>
      <c r="F110" s="670" t="s">
        <v>53</v>
      </c>
      <c r="G110" s="671" t="s">
        <v>129</v>
      </c>
    </row>
    <row r="111" spans="1:7" x14ac:dyDescent="0.45">
      <c r="A111" s="669" t="s">
        <v>32</v>
      </c>
      <c r="B111" s="661" t="s">
        <v>1256</v>
      </c>
      <c r="C111" s="661" t="s">
        <v>22</v>
      </c>
      <c r="D111" s="669" t="s">
        <v>1367</v>
      </c>
      <c r="E111" s="672" t="s">
        <v>1368</v>
      </c>
      <c r="F111" s="670" t="s">
        <v>53</v>
      </c>
      <c r="G111" s="671" t="s">
        <v>1369</v>
      </c>
    </row>
    <row r="112" spans="1:7" x14ac:dyDescent="0.45">
      <c r="A112" s="669" t="s">
        <v>32</v>
      </c>
      <c r="B112" s="661" t="s">
        <v>1256</v>
      </c>
      <c r="C112" s="661" t="s">
        <v>22</v>
      </c>
      <c r="D112" s="669" t="s">
        <v>1370</v>
      </c>
      <c r="E112" s="669" t="s">
        <v>63</v>
      </c>
      <c r="F112" s="670" t="s">
        <v>53</v>
      </c>
      <c r="G112" s="671" t="s">
        <v>1371</v>
      </c>
    </row>
    <row r="113" spans="1:7" x14ac:dyDescent="0.45">
      <c r="A113" s="669" t="s">
        <v>32</v>
      </c>
      <c r="B113" s="661" t="s">
        <v>1256</v>
      </c>
      <c r="C113" s="661" t="s">
        <v>22</v>
      </c>
      <c r="D113" s="669" t="s">
        <v>1283</v>
      </c>
      <c r="E113" s="669" t="s">
        <v>63</v>
      </c>
      <c r="F113" s="670" t="s">
        <v>53</v>
      </c>
      <c r="G113" s="671" t="s">
        <v>1323</v>
      </c>
    </row>
    <row r="114" spans="1:7" x14ac:dyDescent="0.45">
      <c r="A114" s="669" t="s">
        <v>32</v>
      </c>
      <c r="B114" s="661" t="s">
        <v>1256</v>
      </c>
      <c r="C114" s="661" t="s">
        <v>22</v>
      </c>
      <c r="D114" s="669" t="s">
        <v>106</v>
      </c>
      <c r="E114" s="669" t="s">
        <v>55</v>
      </c>
      <c r="F114" s="670" t="s">
        <v>53</v>
      </c>
      <c r="G114" s="671" t="s">
        <v>1372</v>
      </c>
    </row>
    <row r="115" spans="1:7" x14ac:dyDescent="0.45">
      <c r="A115" s="669" t="s">
        <v>32</v>
      </c>
      <c r="B115" s="661" t="s">
        <v>1256</v>
      </c>
      <c r="C115" s="661" t="s">
        <v>22</v>
      </c>
      <c r="D115" s="669" t="s">
        <v>132</v>
      </c>
      <c r="E115" s="672" t="s">
        <v>1373</v>
      </c>
      <c r="F115" s="670" t="s">
        <v>53</v>
      </c>
      <c r="G115" s="671" t="s">
        <v>134</v>
      </c>
    </row>
    <row r="116" spans="1:7" x14ac:dyDescent="0.45">
      <c r="A116" s="669" t="s">
        <v>32</v>
      </c>
      <c r="B116" s="661" t="s">
        <v>1256</v>
      </c>
      <c r="C116" s="661" t="s">
        <v>22</v>
      </c>
      <c r="D116" s="669" t="s">
        <v>135</v>
      </c>
      <c r="E116" s="669" t="s">
        <v>63</v>
      </c>
      <c r="F116" s="670" t="s">
        <v>60</v>
      </c>
      <c r="G116" s="671" t="s">
        <v>1374</v>
      </c>
    </row>
    <row r="117" spans="1:7" x14ac:dyDescent="0.45">
      <c r="A117" s="669" t="s">
        <v>32</v>
      </c>
      <c r="B117" s="661" t="s">
        <v>1256</v>
      </c>
      <c r="C117" s="661" t="s">
        <v>22</v>
      </c>
      <c r="D117" s="669" t="s">
        <v>137</v>
      </c>
      <c r="E117" s="669" t="s">
        <v>55</v>
      </c>
      <c r="F117" s="670" t="s">
        <v>53</v>
      </c>
      <c r="G117" s="671" t="s">
        <v>109</v>
      </c>
    </row>
    <row r="118" spans="1:7" x14ac:dyDescent="0.45">
      <c r="A118" s="669" t="s">
        <v>32</v>
      </c>
      <c r="B118" s="661" t="s">
        <v>1256</v>
      </c>
      <c r="C118" s="661" t="s">
        <v>22</v>
      </c>
      <c r="D118" s="669" t="s">
        <v>103</v>
      </c>
      <c r="E118" s="672" t="s">
        <v>1375</v>
      </c>
      <c r="F118" s="670" t="s">
        <v>60</v>
      </c>
      <c r="G118" s="671" t="s">
        <v>1376</v>
      </c>
    </row>
    <row r="119" spans="1:7" x14ac:dyDescent="0.45">
      <c r="A119" s="665" t="s">
        <v>35</v>
      </c>
      <c r="B119" s="666" t="s">
        <v>1256</v>
      </c>
      <c r="C119" s="666" t="s">
        <v>22</v>
      </c>
      <c r="D119" s="665" t="s">
        <v>1271</v>
      </c>
      <c r="E119" s="665" t="s">
        <v>1272</v>
      </c>
      <c r="F119" s="667" t="s">
        <v>53</v>
      </c>
      <c r="G119" s="668" t="s">
        <v>1282</v>
      </c>
    </row>
    <row r="120" spans="1:7" x14ac:dyDescent="0.45">
      <c r="A120" s="665" t="s">
        <v>35</v>
      </c>
      <c r="B120" s="666" t="s">
        <v>1256</v>
      </c>
      <c r="C120" s="666" t="s">
        <v>22</v>
      </c>
      <c r="D120" s="665" t="s">
        <v>96</v>
      </c>
      <c r="E120" s="665" t="s">
        <v>55</v>
      </c>
      <c r="F120" s="667" t="s">
        <v>53</v>
      </c>
      <c r="G120" s="668" t="s">
        <v>138</v>
      </c>
    </row>
    <row r="121" spans="1:7" x14ac:dyDescent="0.45">
      <c r="A121" s="665" t="s">
        <v>35</v>
      </c>
      <c r="B121" s="666" t="s">
        <v>1256</v>
      </c>
      <c r="C121" s="666" t="s">
        <v>22</v>
      </c>
      <c r="D121" s="665" t="s">
        <v>1377</v>
      </c>
      <c r="E121" s="673" t="s">
        <v>1378</v>
      </c>
      <c r="F121" s="667" t="s">
        <v>53</v>
      </c>
      <c r="G121" s="668" t="s">
        <v>1379</v>
      </c>
    </row>
    <row r="122" spans="1:7" x14ac:dyDescent="0.45">
      <c r="A122" s="665" t="s">
        <v>35</v>
      </c>
      <c r="B122" s="666" t="s">
        <v>1256</v>
      </c>
      <c r="C122" s="666" t="s">
        <v>22</v>
      </c>
      <c r="D122" s="665" t="s">
        <v>1380</v>
      </c>
      <c r="E122" s="665" t="s">
        <v>1342</v>
      </c>
      <c r="F122" s="667" t="s">
        <v>53</v>
      </c>
      <c r="G122" s="668" t="s">
        <v>1381</v>
      </c>
    </row>
    <row r="123" spans="1:7" x14ac:dyDescent="0.45">
      <c r="A123" s="665" t="s">
        <v>35</v>
      </c>
      <c r="B123" s="666" t="s">
        <v>1256</v>
      </c>
      <c r="C123" s="666" t="s">
        <v>22</v>
      </c>
      <c r="D123" s="665" t="s">
        <v>1382</v>
      </c>
      <c r="E123" s="665" t="s">
        <v>1342</v>
      </c>
      <c r="F123" s="667" t="s">
        <v>53</v>
      </c>
      <c r="G123" s="668" t="s">
        <v>1383</v>
      </c>
    </row>
    <row r="124" spans="1:7" x14ac:dyDescent="0.45">
      <c r="A124" s="665" t="s">
        <v>35</v>
      </c>
      <c r="B124" s="666" t="s">
        <v>1256</v>
      </c>
      <c r="C124" s="666" t="s">
        <v>22</v>
      </c>
      <c r="D124" s="665" t="s">
        <v>1283</v>
      </c>
      <c r="E124" s="665" t="s">
        <v>63</v>
      </c>
      <c r="F124" s="667" t="s">
        <v>53</v>
      </c>
      <c r="G124" s="668" t="s">
        <v>1323</v>
      </c>
    </row>
    <row r="125" spans="1:7" x14ac:dyDescent="0.45">
      <c r="A125" s="665" t="s">
        <v>35</v>
      </c>
      <c r="B125" s="666" t="s">
        <v>1256</v>
      </c>
      <c r="C125" s="666" t="s">
        <v>22</v>
      </c>
      <c r="D125" s="665" t="s">
        <v>1341</v>
      </c>
      <c r="E125" s="665" t="s">
        <v>1342</v>
      </c>
      <c r="F125" s="667" t="s">
        <v>60</v>
      </c>
      <c r="G125" s="668" t="s">
        <v>1384</v>
      </c>
    </row>
    <row r="126" spans="1:7" x14ac:dyDescent="0.45">
      <c r="A126" s="665" t="s">
        <v>35</v>
      </c>
      <c r="B126" s="666" t="s">
        <v>1256</v>
      </c>
      <c r="C126" s="666" t="s">
        <v>22</v>
      </c>
      <c r="D126" s="665" t="s">
        <v>1344</v>
      </c>
      <c r="E126" s="665" t="s">
        <v>1342</v>
      </c>
      <c r="F126" s="667" t="s">
        <v>60</v>
      </c>
      <c r="G126" s="668" t="s">
        <v>1385</v>
      </c>
    </row>
    <row r="127" spans="1:7" x14ac:dyDescent="0.45">
      <c r="A127" s="669" t="s">
        <v>38</v>
      </c>
      <c r="B127" s="661" t="s">
        <v>1256</v>
      </c>
      <c r="C127" s="661" t="s">
        <v>22</v>
      </c>
      <c r="D127" s="669" t="s">
        <v>1271</v>
      </c>
      <c r="E127" s="669" t="s">
        <v>1272</v>
      </c>
      <c r="F127" s="670" t="s">
        <v>53</v>
      </c>
      <c r="G127" s="671" t="s">
        <v>1282</v>
      </c>
    </row>
    <row r="128" spans="1:7" x14ac:dyDescent="0.45">
      <c r="A128" s="669" t="s">
        <v>38</v>
      </c>
      <c r="B128" s="661" t="s">
        <v>1256</v>
      </c>
      <c r="C128" s="661" t="s">
        <v>22</v>
      </c>
      <c r="D128" s="669" t="s">
        <v>1283</v>
      </c>
      <c r="E128" s="669" t="s">
        <v>63</v>
      </c>
      <c r="F128" s="670" t="s">
        <v>53</v>
      </c>
      <c r="G128" s="671" t="s">
        <v>1323</v>
      </c>
    </row>
    <row r="129" spans="1:7" x14ac:dyDescent="0.45">
      <c r="A129" s="669" t="s">
        <v>38</v>
      </c>
      <c r="B129" s="661" t="s">
        <v>1256</v>
      </c>
      <c r="C129" s="661" t="s">
        <v>22</v>
      </c>
      <c r="D129" s="669" t="s">
        <v>141</v>
      </c>
      <c r="E129" s="669" t="s">
        <v>94</v>
      </c>
      <c r="F129" s="670" t="s">
        <v>53</v>
      </c>
      <c r="G129" s="671" t="s">
        <v>142</v>
      </c>
    </row>
    <row r="130" spans="1:7" x14ac:dyDescent="0.45">
      <c r="A130" s="669" t="s">
        <v>38</v>
      </c>
      <c r="B130" s="661" t="s">
        <v>1256</v>
      </c>
      <c r="C130" s="661" t="s">
        <v>22</v>
      </c>
      <c r="D130" s="669" t="s">
        <v>143</v>
      </c>
      <c r="E130" s="669" t="s">
        <v>144</v>
      </c>
      <c r="F130" s="670" t="s">
        <v>53</v>
      </c>
      <c r="G130" s="671" t="s">
        <v>1386</v>
      </c>
    </row>
    <row r="131" spans="1:7" x14ac:dyDescent="0.45">
      <c r="A131" s="669" t="s">
        <v>38</v>
      </c>
      <c r="B131" s="661" t="s">
        <v>1256</v>
      </c>
      <c r="C131" s="661" t="s">
        <v>22</v>
      </c>
      <c r="D131" s="669" t="s">
        <v>146</v>
      </c>
      <c r="E131" s="669" t="s">
        <v>94</v>
      </c>
      <c r="F131" s="670" t="s">
        <v>53</v>
      </c>
      <c r="G131" s="671" t="s">
        <v>1387</v>
      </c>
    </row>
    <row r="132" spans="1:7" x14ac:dyDescent="0.45">
      <c r="A132" s="669" t="s">
        <v>38</v>
      </c>
      <c r="B132" s="661" t="s">
        <v>1256</v>
      </c>
      <c r="C132" s="661" t="s">
        <v>22</v>
      </c>
      <c r="D132" s="669" t="s">
        <v>148</v>
      </c>
      <c r="E132" s="669" t="s">
        <v>144</v>
      </c>
      <c r="F132" s="670" t="s">
        <v>53</v>
      </c>
      <c r="G132" s="671" t="s">
        <v>1388</v>
      </c>
    </row>
    <row r="133" spans="1:7" x14ac:dyDescent="0.45">
      <c r="A133" s="669" t="s">
        <v>38</v>
      </c>
      <c r="B133" s="661" t="s">
        <v>1256</v>
      </c>
      <c r="C133" s="661" t="s">
        <v>22</v>
      </c>
      <c r="D133" s="669" t="s">
        <v>1389</v>
      </c>
      <c r="E133" s="669" t="s">
        <v>1390</v>
      </c>
      <c r="F133" s="670" t="s">
        <v>53</v>
      </c>
      <c r="G133" s="671" t="s">
        <v>1391</v>
      </c>
    </row>
    <row r="134" spans="1:7" x14ac:dyDescent="0.45">
      <c r="A134" s="669" t="s">
        <v>38</v>
      </c>
      <c r="B134" s="661" t="s">
        <v>1256</v>
      </c>
      <c r="C134" s="661" t="s">
        <v>22</v>
      </c>
      <c r="D134" s="669" t="s">
        <v>1392</v>
      </c>
      <c r="E134" s="669" t="s">
        <v>1393</v>
      </c>
      <c r="F134" s="670" t="s">
        <v>60</v>
      </c>
      <c r="G134" s="671" t="s">
        <v>1394</v>
      </c>
    </row>
    <row r="135" spans="1:7" x14ac:dyDescent="0.45">
      <c r="A135" s="669" t="s">
        <v>38</v>
      </c>
      <c r="B135" s="661" t="s">
        <v>1256</v>
      </c>
      <c r="C135" s="661" t="s">
        <v>22</v>
      </c>
      <c r="D135" s="669" t="s">
        <v>152</v>
      </c>
      <c r="E135" s="669" t="s">
        <v>153</v>
      </c>
      <c r="F135" s="670" t="s">
        <v>60</v>
      </c>
      <c r="G135" s="671" t="s">
        <v>154</v>
      </c>
    </row>
    <row r="136" spans="1:7" x14ac:dyDescent="0.45">
      <c r="A136" s="665" t="s">
        <v>47</v>
      </c>
      <c r="B136" s="666" t="s">
        <v>1256</v>
      </c>
      <c r="C136" s="666" t="s">
        <v>46</v>
      </c>
      <c r="D136" s="665" t="s">
        <v>1271</v>
      </c>
      <c r="E136" s="665" t="s">
        <v>1272</v>
      </c>
      <c r="F136" s="667" t="s">
        <v>53</v>
      </c>
      <c r="G136" s="668" t="s">
        <v>1282</v>
      </c>
    </row>
    <row r="137" spans="1:7" x14ac:dyDescent="0.45">
      <c r="A137" s="665" t="s">
        <v>47</v>
      </c>
      <c r="B137" s="666" t="s">
        <v>1256</v>
      </c>
      <c r="C137" s="666" t="s">
        <v>46</v>
      </c>
      <c r="D137" s="665" t="s">
        <v>169</v>
      </c>
      <c r="E137" s="665" t="s">
        <v>55</v>
      </c>
      <c r="F137" s="667" t="s">
        <v>53</v>
      </c>
      <c r="G137" s="668" t="s">
        <v>1395</v>
      </c>
    </row>
    <row r="138" spans="1:7" x14ac:dyDescent="0.45">
      <c r="A138" s="665" t="s">
        <v>47</v>
      </c>
      <c r="B138" s="666" t="s">
        <v>1256</v>
      </c>
      <c r="C138" s="666" t="s">
        <v>46</v>
      </c>
      <c r="D138" s="665" t="s">
        <v>1396</v>
      </c>
      <c r="E138" s="665" t="s">
        <v>1397</v>
      </c>
      <c r="F138" s="667" t="s">
        <v>53</v>
      </c>
      <c r="G138" s="668" t="s">
        <v>1398</v>
      </c>
    </row>
    <row r="139" spans="1:7" x14ac:dyDescent="0.45">
      <c r="A139" s="665" t="s">
        <v>47</v>
      </c>
      <c r="B139" s="666" t="s">
        <v>1256</v>
      </c>
      <c r="C139" s="666" t="s">
        <v>46</v>
      </c>
      <c r="D139" s="665" t="s">
        <v>1399</v>
      </c>
      <c r="E139" s="665" t="s">
        <v>172</v>
      </c>
      <c r="F139" s="667" t="s">
        <v>60</v>
      </c>
      <c r="G139" s="668" t="s">
        <v>1400</v>
      </c>
    </row>
  </sheetData>
  <autoFilter ref="A1:G58" xr:uid="{00000000-0009-0000-0000-000002000000}"/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8"/>
  <sheetViews>
    <sheetView showGridLines="0" zoomScale="70" zoomScaleNormal="70" workbookViewId="0"/>
  </sheetViews>
  <sheetFormatPr defaultRowHeight="17" x14ac:dyDescent="0.45"/>
  <cols>
    <col min="2" max="2" width="26" customWidth="1"/>
    <col min="3" max="3" width="100" customWidth="1"/>
    <col min="5" max="5" width="26" customWidth="1"/>
    <col min="6" max="6" width="100" customWidth="1"/>
  </cols>
  <sheetData>
    <row r="1" spans="2:6" ht="25.5" x14ac:dyDescent="0.7">
      <c r="B1" s="679" t="s">
        <v>1416</v>
      </c>
      <c r="E1" s="679" t="s">
        <v>1401</v>
      </c>
    </row>
    <row r="3" spans="2:6" ht="17.5" x14ac:dyDescent="0.45">
      <c r="B3" s="18" t="s">
        <v>174</v>
      </c>
      <c r="E3" s="678" t="s">
        <v>1402</v>
      </c>
    </row>
    <row r="4" spans="2:6" ht="165" customHeight="1" x14ac:dyDescent="0.45">
      <c r="C4" s="19" t="s">
        <v>175</v>
      </c>
      <c r="F4" s="674" t="s">
        <v>1403</v>
      </c>
    </row>
    <row r="6" spans="2:6" ht="17.5" x14ac:dyDescent="0.45">
      <c r="B6" s="18" t="s">
        <v>176</v>
      </c>
      <c r="E6" s="678" t="s">
        <v>1404</v>
      </c>
    </row>
    <row r="7" spans="2:6" ht="330" customHeight="1" x14ac:dyDescent="0.45">
      <c r="C7" s="19" t="s">
        <v>177</v>
      </c>
      <c r="F7" s="674" t="s">
        <v>1405</v>
      </c>
    </row>
    <row r="9" spans="2:6" ht="17.5" x14ac:dyDescent="0.45">
      <c r="B9" s="18" t="s">
        <v>178</v>
      </c>
      <c r="E9" s="678" t="s">
        <v>1406</v>
      </c>
    </row>
    <row r="10" spans="2:6" ht="285" customHeight="1" x14ac:dyDescent="0.45">
      <c r="C10" s="19" t="s">
        <v>179</v>
      </c>
      <c r="F10" s="674" t="s">
        <v>1407</v>
      </c>
    </row>
    <row r="12" spans="2:6" ht="17.5" x14ac:dyDescent="0.45">
      <c r="B12" s="18" t="s">
        <v>180</v>
      </c>
      <c r="E12" s="678" t="s">
        <v>1408</v>
      </c>
    </row>
    <row r="13" spans="2:6" ht="210" customHeight="1" x14ac:dyDescent="0.45">
      <c r="C13" s="19" t="s">
        <v>181</v>
      </c>
      <c r="F13" s="674" t="s">
        <v>1409</v>
      </c>
    </row>
    <row r="15" spans="2:6" ht="17.5" x14ac:dyDescent="0.45">
      <c r="B15" s="18" t="s">
        <v>182</v>
      </c>
      <c r="E15" s="678" t="s">
        <v>1410</v>
      </c>
    </row>
    <row r="16" spans="2:6" ht="195" customHeight="1" x14ac:dyDescent="0.45">
      <c r="C16" s="19" t="s">
        <v>183</v>
      </c>
      <c r="F16" s="674" t="s">
        <v>1411</v>
      </c>
    </row>
    <row r="18" spans="2:6" ht="17.5" x14ac:dyDescent="0.45">
      <c r="B18" s="18" t="s">
        <v>184</v>
      </c>
      <c r="E18" s="678" t="s">
        <v>1412</v>
      </c>
    </row>
    <row r="19" spans="2:6" ht="409.6" customHeight="1" x14ac:dyDescent="0.45">
      <c r="C19" s="19" t="s">
        <v>185</v>
      </c>
      <c r="F19" s="674" t="s">
        <v>1413</v>
      </c>
    </row>
    <row r="21" spans="2:6" ht="17.5" x14ac:dyDescent="0.45">
      <c r="B21" s="18" t="s">
        <v>186</v>
      </c>
      <c r="E21" s="678" t="s">
        <v>1414</v>
      </c>
    </row>
    <row r="22" spans="2:6" ht="180" customHeight="1" x14ac:dyDescent="0.45">
      <c r="C22" s="19" t="s">
        <v>187</v>
      </c>
      <c r="F22" s="674" t="s">
        <v>1415</v>
      </c>
    </row>
    <row r="24" spans="2:6" ht="17.5" x14ac:dyDescent="0.45">
      <c r="B24" s="18" t="s">
        <v>188</v>
      </c>
    </row>
    <row r="25" spans="2:6" ht="120" customHeight="1" x14ac:dyDescent="0.45">
      <c r="C25" s="19" t="s">
        <v>189</v>
      </c>
    </row>
    <row r="27" spans="2:6" ht="17.5" x14ac:dyDescent="0.45">
      <c r="B27" s="18" t="s">
        <v>190</v>
      </c>
    </row>
    <row r="28" spans="2:6" ht="90" customHeight="1" x14ac:dyDescent="0.45">
      <c r="C28" s="19" t="s">
        <v>191</v>
      </c>
    </row>
  </sheetData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E7AB-3EA7-42BE-8085-C8CD3BDC7818}">
  <sheetPr>
    <tabColor theme="7" tint="0.39997558519241921"/>
  </sheetPr>
  <dimension ref="A1:U361"/>
  <sheetViews>
    <sheetView tabSelected="1" topLeftCell="B1" zoomScale="85" zoomScaleNormal="85" workbookViewId="0">
      <selection activeCell="S70" sqref="S70"/>
    </sheetView>
  </sheetViews>
  <sheetFormatPr defaultRowHeight="17" x14ac:dyDescent="0.45"/>
  <cols>
    <col min="1" max="1" width="66.08203125" style="20" hidden="1" customWidth="1"/>
    <col min="2" max="4" width="6" style="20" customWidth="1"/>
    <col min="5" max="5" width="2" style="20" hidden="1" customWidth="1"/>
    <col min="6" max="6" width="2.5" style="20" hidden="1" customWidth="1"/>
    <col min="7" max="7" width="1.83203125" style="20" hidden="1" customWidth="1"/>
    <col min="8" max="8" width="9" style="20" customWidth="1"/>
    <col min="9" max="9" width="34.58203125" style="20" customWidth="1"/>
    <col min="10" max="10" width="16.08203125" style="20" bestFit="1" customWidth="1"/>
    <col min="11" max="11" width="8.6640625" style="20"/>
    <col min="12" max="14" width="6" style="20" customWidth="1"/>
    <col min="15" max="17" width="1.83203125" style="20" hidden="1" customWidth="1"/>
    <col min="18" max="18" width="9" style="20" customWidth="1"/>
    <col min="19" max="19" width="35.83203125" style="20" customWidth="1"/>
    <col min="20" max="20" width="21.75" style="20" bestFit="1" customWidth="1"/>
    <col min="21" max="21" width="79.58203125" style="22" hidden="1" customWidth="1"/>
    <col min="22" max="16384" width="8.6640625" style="20"/>
  </cols>
  <sheetData>
    <row r="1" spans="1:21" ht="17.5" thickBot="1" x14ac:dyDescent="0.5">
      <c r="B1" s="21" t="s">
        <v>195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1" ht="18" thickTop="1" thickBot="1" x14ac:dyDescent="0.35">
      <c r="A2" s="23" t="s">
        <v>196</v>
      </c>
      <c r="B2" s="24" t="s">
        <v>197</v>
      </c>
      <c r="C2" s="25"/>
      <c r="D2" s="25"/>
      <c r="E2" s="26"/>
      <c r="F2" s="27"/>
      <c r="G2" s="28"/>
      <c r="H2" s="29"/>
      <c r="I2" s="30" t="s">
        <v>198</v>
      </c>
      <c r="J2" s="31" t="s">
        <v>199</v>
      </c>
      <c r="K2" s="32" t="s">
        <v>200</v>
      </c>
      <c r="L2" s="33" t="s">
        <v>201</v>
      </c>
      <c r="M2" s="25"/>
      <c r="N2" s="25"/>
      <c r="O2" s="26"/>
      <c r="P2" s="27"/>
      <c r="Q2" s="28"/>
      <c r="R2" s="29"/>
      <c r="S2" s="30" t="s">
        <v>198</v>
      </c>
      <c r="T2" s="34" t="s">
        <v>199</v>
      </c>
      <c r="U2" s="23" t="s">
        <v>196</v>
      </c>
    </row>
    <row r="3" spans="1:21" ht="18" thickTop="1" thickBot="1" x14ac:dyDescent="0.35">
      <c r="A3" s="35"/>
      <c r="B3" s="36" t="s">
        <v>202</v>
      </c>
      <c r="C3" s="37"/>
      <c r="D3" s="38" t="s">
        <v>203</v>
      </c>
      <c r="E3" s="39"/>
      <c r="F3" s="40"/>
      <c r="G3" s="41"/>
      <c r="H3" s="42"/>
      <c r="I3" s="43"/>
      <c r="J3" s="44"/>
      <c r="K3" s="45" t="s">
        <v>204</v>
      </c>
      <c r="L3" s="46" t="s">
        <v>202</v>
      </c>
      <c r="M3" s="37"/>
      <c r="N3" s="38" t="s">
        <v>203</v>
      </c>
      <c r="O3" s="47"/>
      <c r="P3" s="48"/>
      <c r="Q3" s="49"/>
      <c r="R3" s="42"/>
      <c r="S3" s="43"/>
      <c r="T3" s="50"/>
      <c r="U3" s="51"/>
    </row>
    <row r="4" spans="1:21" ht="17.5" thickTop="1" x14ac:dyDescent="0.3">
      <c r="A4" s="52" t="s">
        <v>205</v>
      </c>
      <c r="B4" s="53">
        <v>0</v>
      </c>
      <c r="C4" s="54"/>
      <c r="D4" s="55" t="str">
        <f>CONCATENATE("0x", DEC2HEX(B4,2))</f>
        <v>0x00</v>
      </c>
      <c r="E4" s="56"/>
      <c r="F4" s="56"/>
      <c r="G4" s="56"/>
      <c r="H4" s="57"/>
      <c r="I4" s="58" t="s">
        <v>206</v>
      </c>
      <c r="J4" s="59" t="s">
        <v>207</v>
      </c>
      <c r="K4" s="60">
        <v>1</v>
      </c>
      <c r="L4" s="61">
        <v>0</v>
      </c>
      <c r="M4" s="62"/>
      <c r="N4" s="63" t="str">
        <f>CONCATENATE("0x", DEC2HEX(L4,2))</f>
        <v>0x00</v>
      </c>
      <c r="O4" s="64"/>
      <c r="P4" s="64"/>
      <c r="Q4" s="64"/>
      <c r="R4" s="65"/>
      <c r="S4" s="66" t="s">
        <v>208</v>
      </c>
      <c r="T4" s="67" t="s">
        <v>209</v>
      </c>
      <c r="U4" s="68" t="s">
        <v>210</v>
      </c>
    </row>
    <row r="5" spans="1:21" x14ac:dyDescent="0.3">
      <c r="A5" s="69"/>
      <c r="B5" s="70">
        <v>1</v>
      </c>
      <c r="C5" s="71"/>
      <c r="D5" s="72" t="str">
        <f>CONCATENATE("0x", DEC2HEX(B5,2))</f>
        <v>0x01</v>
      </c>
      <c r="E5" s="73"/>
      <c r="F5" s="74"/>
      <c r="G5" s="75"/>
      <c r="H5" s="76"/>
      <c r="I5" s="77"/>
      <c r="J5" s="78"/>
      <c r="K5" s="60"/>
      <c r="L5" s="79">
        <v>1</v>
      </c>
      <c r="M5" s="71"/>
      <c r="N5" s="72" t="str">
        <f>CONCATENATE("0x", DEC2HEX(L5,2))</f>
        <v>0x01</v>
      </c>
      <c r="O5" s="73"/>
      <c r="P5" s="74"/>
      <c r="Q5" s="75"/>
      <c r="R5" s="76"/>
      <c r="S5" s="80" t="s">
        <v>211</v>
      </c>
      <c r="T5" s="81" t="s">
        <v>212</v>
      </c>
      <c r="U5" s="82" t="s">
        <v>210</v>
      </c>
    </row>
    <row r="6" spans="1:21" x14ac:dyDescent="0.3">
      <c r="A6" s="83" t="s">
        <v>213</v>
      </c>
      <c r="B6" s="70">
        <v>2</v>
      </c>
      <c r="C6" s="71"/>
      <c r="D6" s="72" t="str">
        <f t="shared" ref="D6:D69" si="0">CONCATENATE("0x", DEC2HEX(B6,2))</f>
        <v>0x02</v>
      </c>
      <c r="E6" s="73"/>
      <c r="F6" s="74"/>
      <c r="G6" s="75"/>
      <c r="H6" s="76"/>
      <c r="I6" s="77" t="s">
        <v>214</v>
      </c>
      <c r="J6" s="78"/>
      <c r="K6" s="60"/>
      <c r="L6" s="79">
        <v>2</v>
      </c>
      <c r="M6" s="71"/>
      <c r="N6" s="72" t="str">
        <f t="shared" ref="N6:N69" si="1">CONCATENATE("0x", DEC2HEX(L6,2))</f>
        <v>0x02</v>
      </c>
      <c r="O6" s="73"/>
      <c r="P6" s="74"/>
      <c r="Q6" s="75"/>
      <c r="R6" s="76"/>
      <c r="S6" s="80" t="s">
        <v>215</v>
      </c>
      <c r="T6" s="84" t="s">
        <v>216</v>
      </c>
      <c r="U6" s="82" t="s">
        <v>210</v>
      </c>
    </row>
    <row r="7" spans="1:21" x14ac:dyDescent="0.3">
      <c r="A7" s="83" t="s">
        <v>213</v>
      </c>
      <c r="B7" s="70">
        <v>3</v>
      </c>
      <c r="C7" s="71"/>
      <c r="D7" s="72" t="str">
        <f t="shared" si="0"/>
        <v>0x03</v>
      </c>
      <c r="E7" s="73"/>
      <c r="F7" s="74"/>
      <c r="G7" s="75"/>
      <c r="H7" s="76"/>
      <c r="I7" s="77" t="s">
        <v>217</v>
      </c>
      <c r="J7" s="78"/>
      <c r="K7" s="60"/>
      <c r="L7" s="79">
        <v>3</v>
      </c>
      <c r="M7" s="71"/>
      <c r="N7" s="72" t="str">
        <f t="shared" si="1"/>
        <v>0x03</v>
      </c>
      <c r="O7" s="73"/>
      <c r="P7" s="74"/>
      <c r="Q7" s="75"/>
      <c r="R7" s="76"/>
      <c r="S7" s="85"/>
      <c r="T7" s="84"/>
      <c r="U7" s="82"/>
    </row>
    <row r="8" spans="1:21" x14ac:dyDescent="0.3">
      <c r="A8" s="69"/>
      <c r="B8" s="70">
        <v>4</v>
      </c>
      <c r="C8" s="71"/>
      <c r="D8" s="72" t="str">
        <f t="shared" si="0"/>
        <v>0x04</v>
      </c>
      <c r="E8" s="73"/>
      <c r="F8" s="74"/>
      <c r="G8" s="75"/>
      <c r="H8" s="76"/>
      <c r="I8" s="77"/>
      <c r="J8" s="78"/>
      <c r="K8" s="60"/>
      <c r="L8" s="79">
        <v>4</v>
      </c>
      <c r="M8" s="71"/>
      <c r="N8" s="72" t="str">
        <f t="shared" si="1"/>
        <v>0x04</v>
      </c>
      <c r="O8" s="73"/>
      <c r="P8" s="74"/>
      <c r="Q8" s="75"/>
      <c r="R8" s="76"/>
      <c r="S8" s="80"/>
      <c r="T8" s="84"/>
      <c r="U8" s="82"/>
    </row>
    <row r="9" spans="1:21" x14ac:dyDescent="0.3">
      <c r="A9" s="69" t="s">
        <v>205</v>
      </c>
      <c r="B9" s="70">
        <v>5</v>
      </c>
      <c r="C9" s="71"/>
      <c r="D9" s="72" t="str">
        <f t="shared" si="0"/>
        <v>0x05</v>
      </c>
      <c r="E9" s="73"/>
      <c r="F9" s="74"/>
      <c r="G9" s="75"/>
      <c r="H9" s="76"/>
      <c r="I9" s="77" t="s">
        <v>218</v>
      </c>
      <c r="J9" s="78"/>
      <c r="K9" s="60"/>
      <c r="L9" s="79">
        <v>5</v>
      </c>
      <c r="M9" s="71"/>
      <c r="N9" s="72" t="str">
        <f t="shared" si="1"/>
        <v>0x05</v>
      </c>
      <c r="O9" s="73"/>
      <c r="P9" s="74"/>
      <c r="Q9" s="75"/>
      <c r="R9" s="76"/>
      <c r="S9" s="80" t="s">
        <v>219</v>
      </c>
      <c r="T9" s="84" t="s">
        <v>212</v>
      </c>
      <c r="U9" s="82" t="s">
        <v>210</v>
      </c>
    </row>
    <row r="10" spans="1:21" x14ac:dyDescent="0.3">
      <c r="A10" s="69" t="s">
        <v>205</v>
      </c>
      <c r="B10" s="70">
        <v>6</v>
      </c>
      <c r="C10" s="71"/>
      <c r="D10" s="72" t="str">
        <f t="shared" si="0"/>
        <v>0x06</v>
      </c>
      <c r="E10" s="73"/>
      <c r="F10" s="74"/>
      <c r="G10" s="75"/>
      <c r="H10" s="76"/>
      <c r="I10" s="77" t="s">
        <v>220</v>
      </c>
      <c r="J10" s="78"/>
      <c r="K10" s="60"/>
      <c r="L10" s="79">
        <v>6</v>
      </c>
      <c r="M10" s="71"/>
      <c r="N10" s="72" t="str">
        <f t="shared" si="1"/>
        <v>0x06</v>
      </c>
      <c r="O10" s="73"/>
      <c r="P10" s="74"/>
      <c r="Q10" s="75"/>
      <c r="R10" s="76"/>
      <c r="S10" s="86"/>
      <c r="T10" s="84"/>
      <c r="U10" s="82"/>
    </row>
    <row r="11" spans="1:21" x14ac:dyDescent="0.3">
      <c r="A11" s="69" t="s">
        <v>205</v>
      </c>
      <c r="B11" s="70">
        <v>7</v>
      </c>
      <c r="C11" s="71"/>
      <c r="D11" s="72" t="str">
        <f t="shared" si="0"/>
        <v>0x07</v>
      </c>
      <c r="E11" s="73"/>
      <c r="F11" s="74"/>
      <c r="G11" s="75"/>
      <c r="H11" s="76"/>
      <c r="I11" s="77" t="s">
        <v>221</v>
      </c>
      <c r="J11" s="78"/>
      <c r="K11" s="60"/>
      <c r="L11" s="79">
        <v>7</v>
      </c>
      <c r="M11" s="71"/>
      <c r="N11" s="72" t="str">
        <f t="shared" si="1"/>
        <v>0x07</v>
      </c>
      <c r="O11" s="73"/>
      <c r="P11" s="74"/>
      <c r="Q11" s="75"/>
      <c r="R11" s="76"/>
      <c r="S11" s="80" t="s">
        <v>222</v>
      </c>
      <c r="T11" s="84" t="s">
        <v>209</v>
      </c>
      <c r="U11" s="82" t="s">
        <v>210</v>
      </c>
    </row>
    <row r="12" spans="1:21" x14ac:dyDescent="0.3">
      <c r="A12" s="69" t="s">
        <v>205</v>
      </c>
      <c r="B12" s="70">
        <v>8</v>
      </c>
      <c r="C12" s="71"/>
      <c r="D12" s="72" t="str">
        <f t="shared" si="0"/>
        <v>0x08</v>
      </c>
      <c r="E12" s="73"/>
      <c r="F12" s="74"/>
      <c r="G12" s="75"/>
      <c r="H12" s="76"/>
      <c r="I12" s="77" t="s">
        <v>223</v>
      </c>
      <c r="J12" s="78" t="s">
        <v>224</v>
      </c>
      <c r="K12" s="60"/>
      <c r="L12" s="79">
        <v>8</v>
      </c>
      <c r="M12" s="71"/>
      <c r="N12" s="72" t="str">
        <f t="shared" si="1"/>
        <v>0x08</v>
      </c>
      <c r="O12" s="73"/>
      <c r="P12" s="74"/>
      <c r="Q12" s="75"/>
      <c r="R12" s="76"/>
      <c r="S12" s="80" t="s">
        <v>225</v>
      </c>
      <c r="T12" s="84" t="s">
        <v>212</v>
      </c>
      <c r="U12" s="82" t="s">
        <v>210</v>
      </c>
    </row>
    <row r="13" spans="1:21" x14ac:dyDescent="0.3">
      <c r="A13" s="69" t="s">
        <v>205</v>
      </c>
      <c r="B13" s="70">
        <v>9</v>
      </c>
      <c r="C13" s="71"/>
      <c r="D13" s="72" t="str">
        <f t="shared" si="0"/>
        <v>0x09</v>
      </c>
      <c r="E13" s="73"/>
      <c r="F13" s="74"/>
      <c r="G13" s="75"/>
      <c r="H13" s="76"/>
      <c r="I13" s="77" t="s">
        <v>226</v>
      </c>
      <c r="J13" s="78" t="s">
        <v>227</v>
      </c>
      <c r="K13" s="60"/>
      <c r="L13" s="79">
        <v>9</v>
      </c>
      <c r="M13" s="71"/>
      <c r="N13" s="72" t="str">
        <f t="shared" si="1"/>
        <v>0x09</v>
      </c>
      <c r="O13" s="73"/>
      <c r="P13" s="74"/>
      <c r="Q13" s="75"/>
      <c r="R13" s="76"/>
      <c r="S13" s="86" t="s">
        <v>228</v>
      </c>
      <c r="T13" s="84" t="s">
        <v>212</v>
      </c>
      <c r="U13" s="82"/>
    </row>
    <row r="14" spans="1:21" x14ac:dyDescent="0.3">
      <c r="A14" s="69" t="s">
        <v>205</v>
      </c>
      <c r="B14" s="70">
        <v>10</v>
      </c>
      <c r="C14" s="71"/>
      <c r="D14" s="72" t="str">
        <f t="shared" si="0"/>
        <v>0x0A</v>
      </c>
      <c r="E14" s="73"/>
      <c r="F14" s="74"/>
      <c r="G14" s="75"/>
      <c r="H14" s="87" t="s">
        <v>229</v>
      </c>
      <c r="I14" s="88" t="s">
        <v>230</v>
      </c>
      <c r="J14" s="78" t="s">
        <v>231</v>
      </c>
      <c r="K14" s="60"/>
      <c r="L14" s="79">
        <v>10</v>
      </c>
      <c r="M14" s="71"/>
      <c r="N14" s="72" t="str">
        <f t="shared" si="1"/>
        <v>0x0A</v>
      </c>
      <c r="O14" s="73"/>
      <c r="P14" s="74"/>
      <c r="Q14" s="75"/>
      <c r="R14" s="76"/>
      <c r="S14" s="86" t="s">
        <v>232</v>
      </c>
      <c r="T14" s="84" t="s">
        <v>212</v>
      </c>
      <c r="U14" s="82"/>
    </row>
    <row r="15" spans="1:21" x14ac:dyDescent="0.3">
      <c r="A15" s="69"/>
      <c r="B15" s="70">
        <v>11</v>
      </c>
      <c r="C15" s="71"/>
      <c r="D15" s="72" t="str">
        <f t="shared" si="0"/>
        <v>0x0B</v>
      </c>
      <c r="E15" s="73"/>
      <c r="F15" s="74"/>
      <c r="G15" s="75"/>
      <c r="H15" s="76"/>
      <c r="I15" s="77" t="s">
        <v>233</v>
      </c>
      <c r="J15" s="78"/>
      <c r="K15" s="60"/>
      <c r="L15" s="79">
        <v>11</v>
      </c>
      <c r="M15" s="71"/>
      <c r="N15" s="72" t="str">
        <f t="shared" si="1"/>
        <v>0x0B</v>
      </c>
      <c r="O15" s="73"/>
      <c r="P15" s="74"/>
      <c r="Q15" s="75"/>
      <c r="R15" s="76"/>
      <c r="S15" s="80"/>
      <c r="T15" s="84"/>
      <c r="U15" s="82"/>
    </row>
    <row r="16" spans="1:21" x14ac:dyDescent="0.3">
      <c r="A16" s="69"/>
      <c r="B16" s="70">
        <v>12</v>
      </c>
      <c r="C16" s="71"/>
      <c r="D16" s="72" t="str">
        <f t="shared" si="0"/>
        <v>0x0C</v>
      </c>
      <c r="E16" s="73"/>
      <c r="F16" s="74"/>
      <c r="G16" s="75"/>
      <c r="H16" s="76"/>
      <c r="I16" s="77"/>
      <c r="J16" s="78"/>
      <c r="K16" s="60"/>
      <c r="L16" s="79">
        <v>12</v>
      </c>
      <c r="M16" s="71"/>
      <c r="N16" s="72" t="str">
        <f t="shared" si="1"/>
        <v>0x0C</v>
      </c>
      <c r="O16" s="73"/>
      <c r="P16" s="74"/>
      <c r="Q16" s="75"/>
      <c r="R16" s="76"/>
      <c r="S16" s="80" t="s">
        <v>234</v>
      </c>
      <c r="T16" s="84" t="s">
        <v>212</v>
      </c>
      <c r="U16" s="82" t="s">
        <v>210</v>
      </c>
    </row>
    <row r="17" spans="1:21" x14ac:dyDescent="0.3">
      <c r="A17" s="69"/>
      <c r="B17" s="70">
        <v>13</v>
      </c>
      <c r="C17" s="71"/>
      <c r="D17" s="72" t="str">
        <f t="shared" si="0"/>
        <v>0x0D</v>
      </c>
      <c r="E17" s="73"/>
      <c r="F17" s="74"/>
      <c r="G17" s="75"/>
      <c r="H17" s="76"/>
      <c r="I17" s="77"/>
      <c r="J17" s="78"/>
      <c r="K17" s="60"/>
      <c r="L17" s="79">
        <v>13</v>
      </c>
      <c r="M17" s="71"/>
      <c r="N17" s="72" t="str">
        <f t="shared" si="1"/>
        <v>0x0D</v>
      </c>
      <c r="O17" s="73"/>
      <c r="P17" s="74"/>
      <c r="Q17" s="75"/>
      <c r="R17" s="76"/>
      <c r="S17" s="86" t="s">
        <v>235</v>
      </c>
      <c r="T17" s="84" t="s">
        <v>212</v>
      </c>
      <c r="U17" s="89" t="s">
        <v>213</v>
      </c>
    </row>
    <row r="18" spans="1:21" x14ac:dyDescent="0.3">
      <c r="A18" s="69"/>
      <c r="B18" s="70">
        <v>14</v>
      </c>
      <c r="C18" s="71"/>
      <c r="D18" s="72" t="str">
        <f t="shared" si="0"/>
        <v>0x0E</v>
      </c>
      <c r="E18" s="73"/>
      <c r="F18" s="74"/>
      <c r="G18" s="75"/>
      <c r="H18" s="76"/>
      <c r="I18" s="90" t="s">
        <v>236</v>
      </c>
      <c r="J18" s="78"/>
      <c r="K18" s="60"/>
      <c r="L18" s="79">
        <v>14</v>
      </c>
      <c r="M18" s="71"/>
      <c r="N18" s="72" t="str">
        <f t="shared" si="1"/>
        <v>0x0E</v>
      </c>
      <c r="O18" s="73"/>
      <c r="P18" s="74"/>
      <c r="Q18" s="75"/>
      <c r="R18" s="76"/>
      <c r="S18" s="86" t="s">
        <v>237</v>
      </c>
      <c r="T18" s="81" t="s">
        <v>212</v>
      </c>
      <c r="U18" s="89" t="s">
        <v>213</v>
      </c>
    </row>
    <row r="19" spans="1:21" ht="17.5" thickBot="1" x14ac:dyDescent="0.35">
      <c r="A19" s="69"/>
      <c r="B19" s="70">
        <v>15</v>
      </c>
      <c r="C19" s="71"/>
      <c r="D19" s="91" t="str">
        <f t="shared" si="0"/>
        <v>0x0F</v>
      </c>
      <c r="E19" s="92"/>
      <c r="F19" s="93"/>
      <c r="G19" s="94"/>
      <c r="H19" s="95"/>
      <c r="I19" s="96" t="s">
        <v>238</v>
      </c>
      <c r="J19" s="97"/>
      <c r="K19" s="98"/>
      <c r="L19" s="79">
        <v>15</v>
      </c>
      <c r="M19" s="71"/>
      <c r="N19" s="91" t="str">
        <f t="shared" si="1"/>
        <v>0x0F</v>
      </c>
      <c r="O19" s="92"/>
      <c r="P19" s="93"/>
      <c r="Q19" s="94"/>
      <c r="R19" s="95"/>
      <c r="S19" s="99" t="s">
        <v>239</v>
      </c>
      <c r="T19" s="100" t="s">
        <v>212</v>
      </c>
      <c r="U19" s="89" t="s">
        <v>213</v>
      </c>
    </row>
    <row r="20" spans="1:21" ht="17.5" thickTop="1" x14ac:dyDescent="0.3">
      <c r="A20" s="83" t="s">
        <v>213</v>
      </c>
      <c r="B20" s="53">
        <v>16</v>
      </c>
      <c r="C20" s="54"/>
      <c r="D20" s="63" t="str">
        <f t="shared" si="0"/>
        <v>0x10</v>
      </c>
      <c r="E20" s="73"/>
      <c r="F20" s="74"/>
      <c r="G20" s="75"/>
      <c r="H20" s="57"/>
      <c r="I20" s="101" t="s">
        <v>240</v>
      </c>
      <c r="J20" s="59"/>
      <c r="K20" s="102">
        <v>2</v>
      </c>
      <c r="L20" s="103">
        <v>16</v>
      </c>
      <c r="M20" s="54"/>
      <c r="N20" s="63" t="str">
        <f t="shared" si="1"/>
        <v>0x10</v>
      </c>
      <c r="O20" s="73"/>
      <c r="P20" s="74"/>
      <c r="Q20" s="75"/>
      <c r="R20" s="57"/>
      <c r="S20" s="104" t="s">
        <v>241</v>
      </c>
      <c r="T20" s="105"/>
      <c r="U20" s="83" t="s">
        <v>213</v>
      </c>
    </row>
    <row r="21" spans="1:21" x14ac:dyDescent="0.3">
      <c r="A21" s="83" t="s">
        <v>213</v>
      </c>
      <c r="B21" s="70">
        <v>17</v>
      </c>
      <c r="C21" s="71"/>
      <c r="D21" s="72" t="str">
        <f t="shared" si="0"/>
        <v>0x11</v>
      </c>
      <c r="E21" s="73"/>
      <c r="F21" s="74"/>
      <c r="G21" s="75"/>
      <c r="H21" s="76"/>
      <c r="I21" s="90" t="s">
        <v>242</v>
      </c>
      <c r="J21" s="78"/>
      <c r="K21" s="60"/>
      <c r="L21" s="79">
        <v>17</v>
      </c>
      <c r="M21" s="71"/>
      <c r="N21" s="72" t="str">
        <f t="shared" si="1"/>
        <v>0x11</v>
      </c>
      <c r="O21" s="73"/>
      <c r="P21" s="74"/>
      <c r="Q21" s="75"/>
      <c r="R21" s="76"/>
      <c r="S21" s="80"/>
      <c r="T21" s="106"/>
      <c r="U21" s="107"/>
    </row>
    <row r="22" spans="1:21" x14ac:dyDescent="0.3">
      <c r="A22" s="83" t="s">
        <v>213</v>
      </c>
      <c r="B22" s="70">
        <v>18</v>
      </c>
      <c r="C22" s="71"/>
      <c r="D22" s="72" t="str">
        <f t="shared" si="0"/>
        <v>0x12</v>
      </c>
      <c r="E22" s="73"/>
      <c r="F22" s="74"/>
      <c r="G22" s="75"/>
      <c r="H22" s="76"/>
      <c r="I22" s="90" t="s">
        <v>243</v>
      </c>
      <c r="J22" s="78"/>
      <c r="K22" s="60"/>
      <c r="L22" s="79">
        <v>18</v>
      </c>
      <c r="M22" s="71"/>
      <c r="N22" s="72" t="str">
        <f t="shared" si="1"/>
        <v>0x12</v>
      </c>
      <c r="O22" s="73"/>
      <c r="P22" s="74"/>
      <c r="Q22" s="75"/>
      <c r="R22" s="76"/>
      <c r="S22" s="80"/>
      <c r="T22" s="106"/>
      <c r="U22" s="107"/>
    </row>
    <row r="23" spans="1:21" x14ac:dyDescent="0.3">
      <c r="A23" s="69"/>
      <c r="B23" s="70">
        <v>19</v>
      </c>
      <c r="C23" s="71"/>
      <c r="D23" s="72" t="str">
        <f t="shared" si="0"/>
        <v>0x13</v>
      </c>
      <c r="E23" s="73"/>
      <c r="F23" s="74"/>
      <c r="G23" s="75"/>
      <c r="H23" s="76"/>
      <c r="I23" s="77"/>
      <c r="J23" s="78"/>
      <c r="K23" s="60"/>
      <c r="L23" s="79">
        <v>19</v>
      </c>
      <c r="M23" s="71"/>
      <c r="N23" s="72" t="str">
        <f t="shared" si="1"/>
        <v>0x13</v>
      </c>
      <c r="O23" s="73"/>
      <c r="P23" s="74"/>
      <c r="Q23" s="75"/>
      <c r="R23" s="76"/>
      <c r="S23" s="80"/>
      <c r="T23" s="106"/>
      <c r="U23" s="107"/>
    </row>
    <row r="24" spans="1:21" x14ac:dyDescent="0.3">
      <c r="A24" s="69"/>
      <c r="B24" s="70">
        <v>20</v>
      </c>
      <c r="C24" s="71"/>
      <c r="D24" s="72" t="str">
        <f t="shared" si="0"/>
        <v>0x14</v>
      </c>
      <c r="E24" s="73"/>
      <c r="F24" s="74"/>
      <c r="G24" s="75"/>
      <c r="H24" s="76"/>
      <c r="I24" s="77"/>
      <c r="J24" s="78"/>
      <c r="K24" s="60"/>
      <c r="L24" s="79">
        <v>20</v>
      </c>
      <c r="M24" s="71"/>
      <c r="N24" s="72" t="str">
        <f t="shared" si="1"/>
        <v>0x14</v>
      </c>
      <c r="O24" s="73"/>
      <c r="P24" s="74"/>
      <c r="Q24" s="75"/>
      <c r="R24" s="76"/>
      <c r="S24" s="80"/>
      <c r="T24" s="106"/>
      <c r="U24" s="107"/>
    </row>
    <row r="25" spans="1:21" x14ac:dyDescent="0.3">
      <c r="A25" s="69"/>
      <c r="B25" s="70">
        <v>21</v>
      </c>
      <c r="C25" s="71"/>
      <c r="D25" s="72" t="str">
        <f t="shared" si="0"/>
        <v>0x15</v>
      </c>
      <c r="E25" s="73"/>
      <c r="F25" s="74"/>
      <c r="G25" s="75"/>
      <c r="H25" s="76"/>
      <c r="I25" s="77"/>
      <c r="J25" s="78"/>
      <c r="K25" s="60"/>
      <c r="L25" s="79">
        <v>21</v>
      </c>
      <c r="M25" s="71"/>
      <c r="N25" s="72" t="str">
        <f t="shared" si="1"/>
        <v>0x15</v>
      </c>
      <c r="O25" s="73"/>
      <c r="P25" s="74"/>
      <c r="Q25" s="75"/>
      <c r="R25" s="76"/>
      <c r="S25" s="80"/>
      <c r="T25" s="106"/>
      <c r="U25" s="107"/>
    </row>
    <row r="26" spans="1:21" x14ac:dyDescent="0.3">
      <c r="A26" s="69"/>
      <c r="B26" s="70">
        <v>22</v>
      </c>
      <c r="C26" s="71"/>
      <c r="D26" s="72" t="str">
        <f t="shared" si="0"/>
        <v>0x16</v>
      </c>
      <c r="E26" s="73"/>
      <c r="F26" s="74"/>
      <c r="G26" s="75"/>
      <c r="H26" s="76"/>
      <c r="I26" s="77"/>
      <c r="J26" s="78"/>
      <c r="K26" s="60"/>
      <c r="L26" s="79">
        <v>22</v>
      </c>
      <c r="M26" s="71"/>
      <c r="N26" s="72" t="str">
        <f t="shared" si="1"/>
        <v>0x16</v>
      </c>
      <c r="O26" s="73"/>
      <c r="P26" s="74"/>
      <c r="Q26" s="75"/>
      <c r="R26" s="76"/>
      <c r="S26" s="80"/>
      <c r="T26" s="106"/>
      <c r="U26" s="107"/>
    </row>
    <row r="27" spans="1:21" x14ac:dyDescent="0.3">
      <c r="A27" s="69"/>
      <c r="B27" s="70">
        <v>23</v>
      </c>
      <c r="C27" s="71"/>
      <c r="D27" s="72" t="str">
        <f t="shared" si="0"/>
        <v>0x17</v>
      </c>
      <c r="E27" s="73"/>
      <c r="F27" s="74"/>
      <c r="G27" s="75"/>
      <c r="H27" s="76"/>
      <c r="I27" s="77"/>
      <c r="J27" s="78"/>
      <c r="K27" s="60"/>
      <c r="L27" s="79">
        <v>23</v>
      </c>
      <c r="M27" s="71"/>
      <c r="N27" s="72" t="str">
        <f t="shared" si="1"/>
        <v>0x17</v>
      </c>
      <c r="O27" s="73"/>
      <c r="P27" s="74"/>
      <c r="Q27" s="75"/>
      <c r="R27" s="76"/>
      <c r="S27" s="80"/>
      <c r="T27" s="106"/>
      <c r="U27" s="107"/>
    </row>
    <row r="28" spans="1:21" x14ac:dyDescent="0.3">
      <c r="A28" s="69"/>
      <c r="B28" s="70">
        <v>24</v>
      </c>
      <c r="C28" s="71"/>
      <c r="D28" s="72" t="str">
        <f t="shared" si="0"/>
        <v>0x18</v>
      </c>
      <c r="E28" s="73"/>
      <c r="F28" s="74"/>
      <c r="G28" s="75"/>
      <c r="H28" s="76"/>
      <c r="I28" s="108"/>
      <c r="J28" s="78"/>
      <c r="K28" s="60"/>
      <c r="L28" s="79">
        <v>24</v>
      </c>
      <c r="M28" s="71"/>
      <c r="N28" s="72" t="str">
        <f t="shared" si="1"/>
        <v>0x18</v>
      </c>
      <c r="O28" s="73"/>
      <c r="P28" s="74"/>
      <c r="Q28" s="75"/>
      <c r="R28" s="76"/>
      <c r="S28" s="109" t="s">
        <v>244</v>
      </c>
      <c r="T28" s="106"/>
      <c r="U28" s="107" t="s">
        <v>210</v>
      </c>
    </row>
    <row r="29" spans="1:21" x14ac:dyDescent="0.3">
      <c r="A29" s="69"/>
      <c r="B29" s="70">
        <v>25</v>
      </c>
      <c r="C29" s="71"/>
      <c r="D29" s="72" t="str">
        <f t="shared" si="0"/>
        <v>0x19</v>
      </c>
      <c r="E29" s="73"/>
      <c r="F29" s="74"/>
      <c r="G29" s="75"/>
      <c r="H29" s="76"/>
      <c r="I29" s="108"/>
      <c r="J29" s="78"/>
      <c r="K29" s="60"/>
      <c r="L29" s="79">
        <v>25</v>
      </c>
      <c r="M29" s="71"/>
      <c r="N29" s="72" t="str">
        <f t="shared" si="1"/>
        <v>0x19</v>
      </c>
      <c r="O29" s="73"/>
      <c r="P29" s="74"/>
      <c r="Q29" s="75"/>
      <c r="R29" s="76"/>
      <c r="S29" s="109" t="s">
        <v>245</v>
      </c>
      <c r="U29" s="107" t="s">
        <v>210</v>
      </c>
    </row>
    <row r="30" spans="1:21" x14ac:dyDescent="0.3">
      <c r="A30" s="69"/>
      <c r="B30" s="70">
        <v>26</v>
      </c>
      <c r="C30" s="71"/>
      <c r="D30" s="72" t="str">
        <f t="shared" si="0"/>
        <v>0x1A</v>
      </c>
      <c r="E30" s="73"/>
      <c r="F30" s="74"/>
      <c r="G30" s="75"/>
      <c r="H30" s="76"/>
      <c r="I30" s="108"/>
      <c r="J30" s="78"/>
      <c r="K30" s="60"/>
      <c r="L30" s="79">
        <v>26</v>
      </c>
      <c r="M30" s="71"/>
      <c r="N30" s="72" t="str">
        <f t="shared" si="1"/>
        <v>0x1A</v>
      </c>
      <c r="O30" s="73"/>
      <c r="P30" s="74"/>
      <c r="Q30" s="75"/>
      <c r="R30" s="76"/>
      <c r="S30" s="110" t="s">
        <v>246</v>
      </c>
      <c r="T30" s="106"/>
      <c r="U30" s="107"/>
    </row>
    <row r="31" spans="1:21" x14ac:dyDescent="0.3">
      <c r="A31" s="69"/>
      <c r="B31" s="70">
        <v>27</v>
      </c>
      <c r="C31" s="71"/>
      <c r="D31" s="72" t="str">
        <f t="shared" si="0"/>
        <v>0x1B</v>
      </c>
      <c r="E31" s="73"/>
      <c r="F31" s="74"/>
      <c r="G31" s="75"/>
      <c r="H31" s="76"/>
      <c r="I31" s="108"/>
      <c r="J31" s="78"/>
      <c r="K31" s="60"/>
      <c r="L31" s="79">
        <v>27</v>
      </c>
      <c r="M31" s="71"/>
      <c r="N31" s="72" t="str">
        <f t="shared" si="1"/>
        <v>0x1B</v>
      </c>
      <c r="O31" s="73"/>
      <c r="P31" s="74"/>
      <c r="Q31" s="75"/>
      <c r="R31" s="76"/>
      <c r="S31" s="108"/>
      <c r="T31" s="106"/>
      <c r="U31" s="107"/>
    </row>
    <row r="32" spans="1:21" x14ac:dyDescent="0.3">
      <c r="A32" s="69"/>
      <c r="B32" s="70">
        <v>28</v>
      </c>
      <c r="C32" s="71"/>
      <c r="D32" s="72" t="str">
        <f t="shared" si="0"/>
        <v>0x1C</v>
      </c>
      <c r="E32" s="73"/>
      <c r="F32" s="74"/>
      <c r="G32" s="75"/>
      <c r="H32" s="76"/>
      <c r="I32" s="108"/>
      <c r="J32" s="78"/>
      <c r="K32" s="60"/>
      <c r="L32" s="79">
        <v>28</v>
      </c>
      <c r="M32" s="71"/>
      <c r="N32" s="72" t="str">
        <f t="shared" si="1"/>
        <v>0x1C</v>
      </c>
      <c r="O32" s="73"/>
      <c r="P32" s="74"/>
      <c r="Q32" s="75"/>
      <c r="R32" s="76"/>
      <c r="S32" s="108"/>
      <c r="T32" s="106"/>
      <c r="U32" s="107"/>
    </row>
    <row r="33" spans="1:21" x14ac:dyDescent="0.3">
      <c r="A33" s="69"/>
      <c r="B33" s="70">
        <v>29</v>
      </c>
      <c r="C33" s="71"/>
      <c r="D33" s="72" t="str">
        <f t="shared" si="0"/>
        <v>0x1D</v>
      </c>
      <c r="E33" s="73"/>
      <c r="F33" s="74"/>
      <c r="G33" s="75"/>
      <c r="H33" s="76"/>
      <c r="I33" s="108"/>
      <c r="J33" s="78"/>
      <c r="K33" s="60"/>
      <c r="L33" s="79">
        <v>29</v>
      </c>
      <c r="M33" s="71"/>
      <c r="N33" s="72" t="str">
        <f t="shared" si="1"/>
        <v>0x1D</v>
      </c>
      <c r="O33" s="73"/>
      <c r="P33" s="74"/>
      <c r="Q33" s="75"/>
      <c r="R33" s="76"/>
      <c r="S33" s="110" t="s">
        <v>247</v>
      </c>
      <c r="T33" s="106"/>
      <c r="U33" s="107"/>
    </row>
    <row r="34" spans="1:21" x14ac:dyDescent="0.3">
      <c r="A34" s="69"/>
      <c r="B34" s="70">
        <v>30</v>
      </c>
      <c r="C34" s="71"/>
      <c r="D34" s="72" t="str">
        <f t="shared" si="0"/>
        <v>0x1E</v>
      </c>
      <c r="E34" s="73"/>
      <c r="F34" s="74"/>
      <c r="G34" s="75"/>
      <c r="H34" s="76"/>
      <c r="I34" s="108"/>
      <c r="J34" s="78"/>
      <c r="K34" s="60"/>
      <c r="L34" s="79">
        <v>30</v>
      </c>
      <c r="M34" s="71"/>
      <c r="N34" s="72" t="str">
        <f t="shared" si="1"/>
        <v>0x1E</v>
      </c>
      <c r="O34" s="73"/>
      <c r="P34" s="74"/>
      <c r="Q34" s="75"/>
      <c r="R34" s="76"/>
      <c r="S34" s="110" t="s">
        <v>248</v>
      </c>
      <c r="T34" s="106"/>
      <c r="U34" s="107"/>
    </row>
    <row r="35" spans="1:21" ht="17.5" thickBot="1" x14ac:dyDescent="0.35">
      <c r="A35" s="69"/>
      <c r="B35" s="70">
        <v>31</v>
      </c>
      <c r="C35" s="71"/>
      <c r="D35" s="91" t="str">
        <f t="shared" si="0"/>
        <v>0x1F</v>
      </c>
      <c r="E35" s="92"/>
      <c r="F35" s="93"/>
      <c r="G35" s="94"/>
      <c r="H35" s="95"/>
      <c r="I35" s="111"/>
      <c r="J35" s="97"/>
      <c r="K35" s="98"/>
      <c r="L35" s="79">
        <v>31</v>
      </c>
      <c r="M35" s="71"/>
      <c r="N35" s="91" t="str">
        <f t="shared" si="1"/>
        <v>0x1F</v>
      </c>
      <c r="O35" s="92"/>
      <c r="P35" s="93"/>
      <c r="Q35" s="94"/>
      <c r="R35" s="95"/>
      <c r="S35" s="112" t="s">
        <v>249</v>
      </c>
      <c r="T35" s="113"/>
      <c r="U35" s="107"/>
    </row>
    <row r="36" spans="1:21" ht="17.5" thickTop="1" x14ac:dyDescent="0.3">
      <c r="A36" s="69"/>
      <c r="B36" s="53">
        <v>32</v>
      </c>
      <c r="C36" s="54"/>
      <c r="D36" s="72" t="str">
        <f t="shared" si="0"/>
        <v>0x20</v>
      </c>
      <c r="E36" s="73"/>
      <c r="F36" s="74"/>
      <c r="G36" s="75"/>
      <c r="H36" s="57"/>
      <c r="I36" s="101"/>
      <c r="J36" s="59"/>
      <c r="K36" s="102">
        <v>3</v>
      </c>
      <c r="L36" s="103">
        <v>32</v>
      </c>
      <c r="M36" s="54"/>
      <c r="N36" s="72" t="str">
        <f t="shared" si="1"/>
        <v>0x20</v>
      </c>
      <c r="O36" s="73"/>
      <c r="P36" s="74"/>
      <c r="Q36" s="75"/>
      <c r="R36" s="57"/>
      <c r="S36" s="101"/>
      <c r="T36" s="105"/>
      <c r="U36" s="107"/>
    </row>
    <row r="37" spans="1:21" x14ac:dyDescent="0.3">
      <c r="A37" s="69"/>
      <c r="B37" s="70">
        <v>33</v>
      </c>
      <c r="C37" s="71"/>
      <c r="D37" s="72" t="str">
        <f t="shared" si="0"/>
        <v>0x21</v>
      </c>
      <c r="E37" s="73"/>
      <c r="F37" s="74"/>
      <c r="G37" s="75"/>
      <c r="H37" s="76"/>
      <c r="I37" s="90" t="s">
        <v>250</v>
      </c>
      <c r="J37" s="114"/>
      <c r="K37" s="60"/>
      <c r="L37" s="79">
        <v>33</v>
      </c>
      <c r="M37" s="71"/>
      <c r="N37" s="72" t="str">
        <f t="shared" si="1"/>
        <v>0x21</v>
      </c>
      <c r="O37" s="73"/>
      <c r="P37" s="74"/>
      <c r="Q37" s="75"/>
      <c r="R37" s="76"/>
      <c r="S37" s="90" t="s">
        <v>251</v>
      </c>
      <c r="T37" s="106"/>
      <c r="U37" s="107"/>
    </row>
    <row r="38" spans="1:21" x14ac:dyDescent="0.3">
      <c r="A38" s="69"/>
      <c r="B38" s="70">
        <v>34</v>
      </c>
      <c r="C38" s="71"/>
      <c r="D38" s="72" t="str">
        <f t="shared" si="0"/>
        <v>0x22</v>
      </c>
      <c r="E38" s="73"/>
      <c r="F38" s="74"/>
      <c r="G38" s="75"/>
      <c r="H38" s="76"/>
      <c r="I38" s="90"/>
      <c r="J38" s="78"/>
      <c r="K38" s="60"/>
      <c r="L38" s="79">
        <v>34</v>
      </c>
      <c r="M38" s="71"/>
      <c r="N38" s="72" t="str">
        <f t="shared" si="1"/>
        <v>0x22</v>
      </c>
      <c r="O38" s="73"/>
      <c r="P38" s="74"/>
      <c r="Q38" s="75"/>
      <c r="R38" s="76"/>
      <c r="S38" s="115" t="s">
        <v>252</v>
      </c>
      <c r="T38" s="106"/>
      <c r="U38" s="107"/>
    </row>
    <row r="39" spans="1:21" x14ac:dyDescent="0.3">
      <c r="A39" s="69"/>
      <c r="B39" s="70">
        <v>35</v>
      </c>
      <c r="C39" s="71"/>
      <c r="D39" s="72" t="str">
        <f t="shared" si="0"/>
        <v>0x23</v>
      </c>
      <c r="E39" s="73"/>
      <c r="F39" s="74"/>
      <c r="G39" s="75"/>
      <c r="H39" s="76"/>
      <c r="I39" s="90"/>
      <c r="J39" s="78"/>
      <c r="K39" s="60"/>
      <c r="L39" s="79">
        <v>35</v>
      </c>
      <c r="M39" s="71"/>
      <c r="N39" s="72" t="str">
        <f t="shared" si="1"/>
        <v>0x23</v>
      </c>
      <c r="O39" s="73"/>
      <c r="P39" s="74"/>
      <c r="Q39" s="75"/>
      <c r="R39" s="76"/>
      <c r="S39" s="90"/>
      <c r="T39" s="106"/>
      <c r="U39" s="107"/>
    </row>
    <row r="40" spans="1:21" x14ac:dyDescent="0.3">
      <c r="A40" s="69"/>
      <c r="B40" s="70">
        <v>36</v>
      </c>
      <c r="C40" s="71"/>
      <c r="D40" s="72" t="str">
        <f t="shared" si="0"/>
        <v>0x24</v>
      </c>
      <c r="E40" s="73"/>
      <c r="F40" s="74"/>
      <c r="G40" s="75"/>
      <c r="H40" s="76"/>
      <c r="I40" s="90"/>
      <c r="J40" s="78"/>
      <c r="K40" s="60"/>
      <c r="L40" s="79">
        <v>36</v>
      </c>
      <c r="M40" s="71"/>
      <c r="N40" s="72" t="str">
        <f t="shared" si="1"/>
        <v>0x24</v>
      </c>
      <c r="O40" s="73"/>
      <c r="P40" s="74"/>
      <c r="Q40" s="75"/>
      <c r="R40" s="76"/>
      <c r="S40" s="90"/>
      <c r="T40" s="106"/>
      <c r="U40" s="107"/>
    </row>
    <row r="41" spans="1:21" x14ac:dyDescent="0.3">
      <c r="A41" s="69"/>
      <c r="B41" s="70">
        <v>37</v>
      </c>
      <c r="C41" s="71"/>
      <c r="D41" s="72" t="str">
        <f t="shared" si="0"/>
        <v>0x25</v>
      </c>
      <c r="E41" s="73"/>
      <c r="F41" s="74"/>
      <c r="G41" s="75"/>
      <c r="H41" s="76"/>
      <c r="I41" s="90"/>
      <c r="J41" s="78"/>
      <c r="K41" s="60"/>
      <c r="L41" s="79">
        <v>37</v>
      </c>
      <c r="M41" s="71"/>
      <c r="N41" s="72" t="str">
        <f t="shared" si="1"/>
        <v>0x25</v>
      </c>
      <c r="O41" s="73"/>
      <c r="P41" s="74"/>
      <c r="Q41" s="75"/>
      <c r="R41" s="76"/>
      <c r="S41" s="90"/>
      <c r="T41" s="106"/>
      <c r="U41" s="107"/>
    </row>
    <row r="42" spans="1:21" x14ac:dyDescent="0.3">
      <c r="A42" s="69"/>
      <c r="B42" s="70">
        <v>38</v>
      </c>
      <c r="C42" s="71"/>
      <c r="D42" s="72" t="str">
        <f t="shared" si="0"/>
        <v>0x26</v>
      </c>
      <c r="E42" s="73"/>
      <c r="F42" s="74"/>
      <c r="G42" s="75"/>
      <c r="H42" s="76"/>
      <c r="I42" s="90"/>
      <c r="J42" s="78"/>
      <c r="K42" s="60"/>
      <c r="L42" s="79">
        <v>38</v>
      </c>
      <c r="M42" s="71"/>
      <c r="N42" s="72" t="str">
        <f t="shared" si="1"/>
        <v>0x26</v>
      </c>
      <c r="O42" s="73"/>
      <c r="P42" s="74"/>
      <c r="Q42" s="75"/>
      <c r="R42" s="76"/>
      <c r="S42" s="90"/>
      <c r="T42" s="106"/>
      <c r="U42" s="107"/>
    </row>
    <row r="43" spans="1:21" x14ac:dyDescent="0.3">
      <c r="A43" s="69"/>
      <c r="B43" s="70">
        <v>39</v>
      </c>
      <c r="C43" s="71"/>
      <c r="D43" s="72" t="str">
        <f t="shared" si="0"/>
        <v>0x27</v>
      </c>
      <c r="E43" s="73"/>
      <c r="F43" s="74"/>
      <c r="G43" s="75"/>
      <c r="H43" s="76"/>
      <c r="I43" s="115" t="s">
        <v>253</v>
      </c>
      <c r="J43" s="78"/>
      <c r="K43" s="60"/>
      <c r="L43" s="79">
        <v>39</v>
      </c>
      <c r="M43" s="71"/>
      <c r="N43" s="72" t="str">
        <f t="shared" si="1"/>
        <v>0x27</v>
      </c>
      <c r="O43" s="73"/>
      <c r="P43" s="74"/>
      <c r="Q43" s="75"/>
      <c r="R43" s="76"/>
      <c r="S43" s="115" t="s">
        <v>254</v>
      </c>
      <c r="T43" s="106"/>
      <c r="U43" s="107"/>
    </row>
    <row r="44" spans="1:21" x14ac:dyDescent="0.3">
      <c r="A44" s="69"/>
      <c r="B44" s="70">
        <v>40</v>
      </c>
      <c r="C44" s="71"/>
      <c r="D44" s="72" t="str">
        <f t="shared" si="0"/>
        <v>0x28</v>
      </c>
      <c r="E44" s="73"/>
      <c r="F44" s="74"/>
      <c r="G44" s="75"/>
      <c r="H44" s="76"/>
      <c r="I44" s="90"/>
      <c r="J44" s="78"/>
      <c r="K44" s="60"/>
      <c r="L44" s="79">
        <v>40</v>
      </c>
      <c r="M44" s="71"/>
      <c r="N44" s="72" t="str">
        <f t="shared" si="1"/>
        <v>0x28</v>
      </c>
      <c r="O44" s="73"/>
      <c r="P44" s="74"/>
      <c r="Q44" s="75"/>
      <c r="R44" s="76"/>
      <c r="S44" s="115" t="s">
        <v>255</v>
      </c>
      <c r="T44" s="106"/>
      <c r="U44" s="107"/>
    </row>
    <row r="45" spans="1:21" x14ac:dyDescent="0.3">
      <c r="A45" s="69"/>
      <c r="B45" s="70">
        <v>41</v>
      </c>
      <c r="C45" s="71"/>
      <c r="D45" s="72" t="str">
        <f t="shared" si="0"/>
        <v>0x29</v>
      </c>
      <c r="E45" s="73"/>
      <c r="F45" s="74"/>
      <c r="G45" s="75"/>
      <c r="H45" s="76"/>
      <c r="I45" s="90"/>
      <c r="J45" s="78"/>
      <c r="K45" s="60"/>
      <c r="L45" s="79">
        <v>41</v>
      </c>
      <c r="M45" s="71"/>
      <c r="N45" s="72" t="str">
        <f t="shared" si="1"/>
        <v>0x29</v>
      </c>
      <c r="O45" s="73"/>
      <c r="P45" s="74"/>
      <c r="Q45" s="75"/>
      <c r="R45" s="76"/>
      <c r="S45" s="90"/>
      <c r="T45" s="106"/>
      <c r="U45" s="107"/>
    </row>
    <row r="46" spans="1:21" x14ac:dyDescent="0.3">
      <c r="A46" s="69"/>
      <c r="B46" s="70">
        <v>42</v>
      </c>
      <c r="C46" s="71"/>
      <c r="D46" s="72" t="str">
        <f t="shared" si="0"/>
        <v>0x2A</v>
      </c>
      <c r="E46" s="73"/>
      <c r="F46" s="74"/>
      <c r="G46" s="75"/>
      <c r="H46" s="76"/>
      <c r="I46" s="90"/>
      <c r="J46" s="78"/>
      <c r="K46" s="60"/>
      <c r="L46" s="79">
        <v>42</v>
      </c>
      <c r="M46" s="71"/>
      <c r="N46" s="72" t="str">
        <f t="shared" si="1"/>
        <v>0x2A</v>
      </c>
      <c r="O46" s="73"/>
      <c r="P46" s="74"/>
      <c r="Q46" s="75"/>
      <c r="R46" s="76"/>
      <c r="S46" s="90"/>
      <c r="T46" s="106"/>
      <c r="U46" s="107"/>
    </row>
    <row r="47" spans="1:21" x14ac:dyDescent="0.3">
      <c r="A47" s="69"/>
      <c r="B47" s="70">
        <v>43</v>
      </c>
      <c r="C47" s="71"/>
      <c r="D47" s="72" t="str">
        <f t="shared" si="0"/>
        <v>0x2B</v>
      </c>
      <c r="E47" s="73"/>
      <c r="F47" s="74"/>
      <c r="G47" s="75"/>
      <c r="H47" s="76"/>
      <c r="I47" s="90"/>
      <c r="J47" s="78"/>
      <c r="K47" s="60"/>
      <c r="L47" s="79">
        <v>43</v>
      </c>
      <c r="M47" s="71"/>
      <c r="N47" s="72" t="str">
        <f t="shared" si="1"/>
        <v>0x2B</v>
      </c>
      <c r="O47" s="73"/>
      <c r="P47" s="74"/>
      <c r="Q47" s="75"/>
      <c r="R47" s="76"/>
      <c r="S47" s="115" t="s">
        <v>256</v>
      </c>
      <c r="T47" s="106"/>
      <c r="U47" s="107"/>
    </row>
    <row r="48" spans="1:21" x14ac:dyDescent="0.3">
      <c r="A48" s="69"/>
      <c r="B48" s="70">
        <v>44</v>
      </c>
      <c r="C48" s="71"/>
      <c r="D48" s="72" t="str">
        <f t="shared" si="0"/>
        <v>0x2C</v>
      </c>
      <c r="E48" s="73"/>
      <c r="F48" s="74"/>
      <c r="G48" s="75"/>
      <c r="H48" s="76"/>
      <c r="I48" s="90"/>
      <c r="J48" s="78"/>
      <c r="K48" s="60"/>
      <c r="L48" s="79">
        <v>44</v>
      </c>
      <c r="M48" s="71"/>
      <c r="N48" s="72" t="str">
        <f t="shared" si="1"/>
        <v>0x2C</v>
      </c>
      <c r="O48" s="73"/>
      <c r="P48" s="74"/>
      <c r="Q48" s="75"/>
      <c r="R48" s="76"/>
      <c r="S48" s="90"/>
      <c r="T48" s="106"/>
      <c r="U48" s="107"/>
    </row>
    <row r="49" spans="1:21" x14ac:dyDescent="0.3">
      <c r="A49" s="69"/>
      <c r="B49" s="70">
        <v>45</v>
      </c>
      <c r="C49" s="71"/>
      <c r="D49" s="72" t="str">
        <f t="shared" si="0"/>
        <v>0x2D</v>
      </c>
      <c r="E49" s="73"/>
      <c r="F49" s="74"/>
      <c r="G49" s="75"/>
      <c r="H49" s="76"/>
      <c r="I49" s="90"/>
      <c r="J49" s="78"/>
      <c r="K49" s="60"/>
      <c r="L49" s="79">
        <v>45</v>
      </c>
      <c r="M49" s="71"/>
      <c r="N49" s="72" t="str">
        <f t="shared" si="1"/>
        <v>0x2D</v>
      </c>
      <c r="O49" s="73"/>
      <c r="P49" s="74"/>
      <c r="Q49" s="75"/>
      <c r="R49" s="76"/>
      <c r="S49" s="90"/>
      <c r="T49" s="106"/>
      <c r="U49" s="107"/>
    </row>
    <row r="50" spans="1:21" x14ac:dyDescent="0.3">
      <c r="A50" s="69"/>
      <c r="B50" s="70">
        <v>46</v>
      </c>
      <c r="C50" s="71"/>
      <c r="D50" s="72" t="str">
        <f t="shared" si="0"/>
        <v>0x2E</v>
      </c>
      <c r="E50" s="73"/>
      <c r="F50" s="74"/>
      <c r="G50" s="75"/>
      <c r="H50" s="76"/>
      <c r="I50" s="90"/>
      <c r="J50" s="78"/>
      <c r="K50" s="60"/>
      <c r="L50" s="79">
        <v>46</v>
      </c>
      <c r="M50" s="71"/>
      <c r="N50" s="72" t="str">
        <f t="shared" si="1"/>
        <v>0x2E</v>
      </c>
      <c r="O50" s="73"/>
      <c r="P50" s="74"/>
      <c r="Q50" s="75"/>
      <c r="R50" s="76"/>
      <c r="S50" s="90"/>
      <c r="T50" s="106"/>
      <c r="U50" s="107"/>
    </row>
    <row r="51" spans="1:21" ht="17.5" thickBot="1" x14ac:dyDescent="0.35">
      <c r="A51" s="69"/>
      <c r="B51" s="70">
        <v>47</v>
      </c>
      <c r="C51" s="71"/>
      <c r="D51" s="91" t="str">
        <f t="shared" si="0"/>
        <v>0x2F</v>
      </c>
      <c r="E51" s="92"/>
      <c r="F51" s="93"/>
      <c r="G51" s="94"/>
      <c r="H51" s="95"/>
      <c r="I51" s="96"/>
      <c r="J51" s="97"/>
      <c r="K51" s="98"/>
      <c r="L51" s="79">
        <v>47</v>
      </c>
      <c r="M51" s="71"/>
      <c r="N51" s="91" t="str">
        <f t="shared" si="1"/>
        <v>0x2F</v>
      </c>
      <c r="O51" s="92"/>
      <c r="P51" s="93"/>
      <c r="Q51" s="94"/>
      <c r="R51" s="95"/>
      <c r="S51" s="96"/>
      <c r="T51" s="113"/>
      <c r="U51" s="107"/>
    </row>
    <row r="52" spans="1:21" ht="17.5" thickTop="1" x14ac:dyDescent="0.3">
      <c r="A52" s="69"/>
      <c r="B52" s="53">
        <v>48</v>
      </c>
      <c r="C52" s="54"/>
      <c r="D52" s="72" t="str">
        <f t="shared" si="0"/>
        <v>0x30</v>
      </c>
      <c r="E52" s="73"/>
      <c r="F52" s="74"/>
      <c r="G52" s="75"/>
      <c r="H52" s="57"/>
      <c r="I52" s="101"/>
      <c r="J52" s="59"/>
      <c r="K52" s="102">
        <v>4</v>
      </c>
      <c r="L52" s="103">
        <v>48</v>
      </c>
      <c r="M52" s="54"/>
      <c r="N52" s="72" t="str">
        <f t="shared" si="1"/>
        <v>0x30</v>
      </c>
      <c r="O52" s="73"/>
      <c r="P52" s="74"/>
      <c r="Q52" s="75"/>
      <c r="R52" s="57"/>
      <c r="S52" s="101"/>
      <c r="T52" s="105"/>
      <c r="U52" s="107"/>
    </row>
    <row r="53" spans="1:21" x14ac:dyDescent="0.3">
      <c r="A53" s="69"/>
      <c r="B53" s="70">
        <v>49</v>
      </c>
      <c r="C53" s="71"/>
      <c r="D53" s="72" t="str">
        <f t="shared" si="0"/>
        <v>0x31</v>
      </c>
      <c r="E53" s="73"/>
      <c r="F53" s="74"/>
      <c r="G53" s="75"/>
      <c r="H53" s="76"/>
      <c r="I53" s="90"/>
      <c r="J53" s="78"/>
      <c r="K53" s="60"/>
      <c r="L53" s="79">
        <v>49</v>
      </c>
      <c r="M53" s="71"/>
      <c r="N53" s="72" t="str">
        <f t="shared" si="1"/>
        <v>0x31</v>
      </c>
      <c r="O53" s="73"/>
      <c r="P53" s="74"/>
      <c r="Q53" s="75"/>
      <c r="R53" s="76"/>
      <c r="S53" s="90"/>
      <c r="T53" s="106"/>
      <c r="U53" s="107"/>
    </row>
    <row r="54" spans="1:21" x14ac:dyDescent="0.3">
      <c r="A54" s="69"/>
      <c r="B54" s="70">
        <v>50</v>
      </c>
      <c r="C54" s="71"/>
      <c r="D54" s="72" t="str">
        <f t="shared" si="0"/>
        <v>0x32</v>
      </c>
      <c r="E54" s="73"/>
      <c r="F54" s="74"/>
      <c r="G54" s="75"/>
      <c r="H54" s="76"/>
      <c r="I54" s="90"/>
      <c r="J54" s="78"/>
      <c r="K54" s="60"/>
      <c r="L54" s="79">
        <v>50</v>
      </c>
      <c r="M54" s="71"/>
      <c r="N54" s="72" t="str">
        <f t="shared" si="1"/>
        <v>0x32</v>
      </c>
      <c r="O54" s="73"/>
      <c r="P54" s="74"/>
      <c r="Q54" s="75"/>
      <c r="R54" s="76"/>
      <c r="S54" s="90"/>
      <c r="T54" s="106"/>
      <c r="U54" s="107"/>
    </row>
    <row r="55" spans="1:21" x14ac:dyDescent="0.3">
      <c r="A55" s="69"/>
      <c r="B55" s="70">
        <v>51</v>
      </c>
      <c r="C55" s="71"/>
      <c r="D55" s="72" t="str">
        <f t="shared" si="0"/>
        <v>0x33</v>
      </c>
      <c r="E55" s="73"/>
      <c r="F55" s="74"/>
      <c r="G55" s="75"/>
      <c r="H55" s="76"/>
      <c r="I55" s="90"/>
      <c r="J55" s="78"/>
      <c r="K55" s="60"/>
      <c r="L55" s="79">
        <v>51</v>
      </c>
      <c r="M55" s="71"/>
      <c r="N55" s="72" t="str">
        <f t="shared" si="1"/>
        <v>0x33</v>
      </c>
      <c r="O55" s="73"/>
      <c r="P55" s="74"/>
      <c r="Q55" s="75"/>
      <c r="R55" s="76"/>
      <c r="S55" s="90"/>
      <c r="T55" s="106"/>
      <c r="U55" s="107"/>
    </row>
    <row r="56" spans="1:21" x14ac:dyDescent="0.3">
      <c r="A56" s="69"/>
      <c r="B56" s="70">
        <v>52</v>
      </c>
      <c r="C56" s="71"/>
      <c r="D56" s="72" t="str">
        <f t="shared" si="0"/>
        <v>0x34</v>
      </c>
      <c r="E56" s="73"/>
      <c r="F56" s="74"/>
      <c r="G56" s="75"/>
      <c r="H56" s="76"/>
      <c r="I56" s="90" t="s">
        <v>257</v>
      </c>
      <c r="J56" s="78"/>
      <c r="K56" s="60"/>
      <c r="L56" s="79">
        <v>52</v>
      </c>
      <c r="M56" s="71"/>
      <c r="N56" s="72" t="str">
        <f t="shared" si="1"/>
        <v>0x34</v>
      </c>
      <c r="O56" s="73"/>
      <c r="P56" s="74"/>
      <c r="Q56" s="75"/>
      <c r="R56" s="76"/>
      <c r="S56" s="90" t="s">
        <v>258</v>
      </c>
      <c r="T56" s="106"/>
      <c r="U56" s="107"/>
    </row>
    <row r="57" spans="1:21" x14ac:dyDescent="0.3">
      <c r="A57" s="69"/>
      <c r="B57" s="70">
        <v>53</v>
      </c>
      <c r="C57" s="71"/>
      <c r="D57" s="72" t="str">
        <f t="shared" si="0"/>
        <v>0x35</v>
      </c>
      <c r="E57" s="73"/>
      <c r="F57" s="74"/>
      <c r="G57" s="75"/>
      <c r="H57" s="76"/>
      <c r="I57" s="115" t="s">
        <v>259</v>
      </c>
      <c r="J57" s="78"/>
      <c r="K57" s="60"/>
      <c r="L57" s="79">
        <v>53</v>
      </c>
      <c r="M57" s="71"/>
      <c r="N57" s="72" t="str">
        <f t="shared" si="1"/>
        <v>0x35</v>
      </c>
      <c r="O57" s="73"/>
      <c r="P57" s="74"/>
      <c r="Q57" s="75"/>
      <c r="R57" s="76"/>
      <c r="S57" s="115" t="s">
        <v>260</v>
      </c>
      <c r="T57" s="106"/>
      <c r="U57" s="107"/>
    </row>
    <row r="58" spans="1:21" x14ac:dyDescent="0.3">
      <c r="A58" s="69"/>
      <c r="B58" s="70">
        <v>54</v>
      </c>
      <c r="C58" s="71"/>
      <c r="D58" s="72" t="str">
        <f t="shared" si="0"/>
        <v>0x36</v>
      </c>
      <c r="E58" s="73"/>
      <c r="F58" s="74"/>
      <c r="G58" s="75"/>
      <c r="H58" s="76"/>
      <c r="I58" s="90"/>
      <c r="J58" s="78"/>
      <c r="K58" s="60"/>
      <c r="L58" s="79">
        <v>54</v>
      </c>
      <c r="M58" s="71"/>
      <c r="N58" s="72" t="str">
        <f t="shared" si="1"/>
        <v>0x36</v>
      </c>
      <c r="O58" s="73"/>
      <c r="P58" s="74"/>
      <c r="Q58" s="75"/>
      <c r="R58" s="76"/>
      <c r="S58" s="90"/>
      <c r="T58" s="106"/>
      <c r="U58" s="107"/>
    </row>
    <row r="59" spans="1:21" x14ac:dyDescent="0.3">
      <c r="A59" s="69"/>
      <c r="B59" s="70">
        <v>55</v>
      </c>
      <c r="C59" s="71"/>
      <c r="D59" s="72" t="str">
        <f t="shared" si="0"/>
        <v>0x37</v>
      </c>
      <c r="E59" s="73"/>
      <c r="F59" s="74"/>
      <c r="G59" s="75"/>
      <c r="H59" s="76"/>
      <c r="I59" s="90" t="s">
        <v>261</v>
      </c>
      <c r="J59" s="78"/>
      <c r="K59" s="60"/>
      <c r="L59" s="79">
        <v>55</v>
      </c>
      <c r="M59" s="71"/>
      <c r="N59" s="72" t="str">
        <f t="shared" si="1"/>
        <v>0x37</v>
      </c>
      <c r="O59" s="73"/>
      <c r="P59" s="74"/>
      <c r="Q59" s="75"/>
      <c r="R59" s="76"/>
      <c r="S59" s="90" t="s">
        <v>262</v>
      </c>
      <c r="T59" s="106"/>
      <c r="U59" s="107"/>
    </row>
    <row r="60" spans="1:21" x14ac:dyDescent="0.3">
      <c r="A60" s="69"/>
      <c r="B60" s="70">
        <v>56</v>
      </c>
      <c r="C60" s="71"/>
      <c r="D60" s="72" t="str">
        <f t="shared" si="0"/>
        <v>0x38</v>
      </c>
      <c r="E60" s="73"/>
      <c r="F60" s="74"/>
      <c r="G60" s="75"/>
      <c r="H60" s="76"/>
      <c r="I60" s="115" t="s">
        <v>263</v>
      </c>
      <c r="J60" s="78"/>
      <c r="K60" s="60"/>
      <c r="L60" s="79">
        <v>56</v>
      </c>
      <c r="M60" s="71"/>
      <c r="N60" s="72" t="str">
        <f t="shared" si="1"/>
        <v>0x38</v>
      </c>
      <c r="O60" s="73"/>
      <c r="P60" s="74"/>
      <c r="Q60" s="75"/>
      <c r="R60" s="76"/>
      <c r="S60" s="115" t="s">
        <v>264</v>
      </c>
      <c r="T60" s="106"/>
      <c r="U60" s="107"/>
    </row>
    <row r="61" spans="1:21" x14ac:dyDescent="0.3">
      <c r="A61" s="69"/>
      <c r="B61" s="70">
        <v>57</v>
      </c>
      <c r="C61" s="71"/>
      <c r="D61" s="72" t="str">
        <f t="shared" si="0"/>
        <v>0x39</v>
      </c>
      <c r="E61" s="73"/>
      <c r="F61" s="74"/>
      <c r="G61" s="75"/>
      <c r="H61" s="76"/>
      <c r="I61" s="116"/>
      <c r="J61" s="78"/>
      <c r="K61" s="60"/>
      <c r="L61" s="79">
        <v>57</v>
      </c>
      <c r="M61" s="71"/>
      <c r="N61" s="72" t="str">
        <f t="shared" si="1"/>
        <v>0x39</v>
      </c>
      <c r="O61" s="73"/>
      <c r="P61" s="74"/>
      <c r="Q61" s="75"/>
      <c r="R61" s="76"/>
      <c r="S61" s="90"/>
      <c r="T61" s="106"/>
      <c r="U61" s="107"/>
    </row>
    <row r="62" spans="1:21" x14ac:dyDescent="0.3">
      <c r="A62" s="69"/>
      <c r="B62" s="70">
        <v>58</v>
      </c>
      <c r="C62" s="71"/>
      <c r="D62" s="72" t="str">
        <f t="shared" si="0"/>
        <v>0x3A</v>
      </c>
      <c r="E62" s="73"/>
      <c r="F62" s="74"/>
      <c r="G62" s="75"/>
      <c r="H62" s="76"/>
      <c r="I62" s="116"/>
      <c r="J62" s="78"/>
      <c r="K62" s="60"/>
      <c r="L62" s="79">
        <v>58</v>
      </c>
      <c r="M62" s="71"/>
      <c r="N62" s="72" t="str">
        <f t="shared" si="1"/>
        <v>0x3A</v>
      </c>
      <c r="O62" s="73"/>
      <c r="P62" s="74"/>
      <c r="Q62" s="75"/>
      <c r="R62" s="76"/>
      <c r="S62" s="90" t="s">
        <v>265</v>
      </c>
      <c r="T62" s="106"/>
      <c r="U62" s="107"/>
    </row>
    <row r="63" spans="1:21" x14ac:dyDescent="0.3">
      <c r="A63" s="69"/>
      <c r="B63" s="70">
        <v>59</v>
      </c>
      <c r="C63" s="71"/>
      <c r="D63" s="72" t="str">
        <f t="shared" si="0"/>
        <v>0x3B</v>
      </c>
      <c r="E63" s="73"/>
      <c r="F63" s="74"/>
      <c r="G63" s="75"/>
      <c r="H63" s="76"/>
      <c r="I63" s="117"/>
      <c r="J63" s="78"/>
      <c r="K63" s="60"/>
      <c r="L63" s="79">
        <v>59</v>
      </c>
      <c r="M63" s="71"/>
      <c r="N63" s="72" t="str">
        <f t="shared" si="1"/>
        <v>0x3B</v>
      </c>
      <c r="O63" s="73"/>
      <c r="P63" s="74"/>
      <c r="Q63" s="75"/>
      <c r="R63" s="76"/>
      <c r="S63" s="115" t="s">
        <v>266</v>
      </c>
      <c r="T63" s="106"/>
      <c r="U63" s="107"/>
    </row>
    <row r="64" spans="1:21" x14ac:dyDescent="0.3">
      <c r="A64" s="69"/>
      <c r="B64" s="70">
        <v>60</v>
      </c>
      <c r="C64" s="71"/>
      <c r="D64" s="72" t="str">
        <f t="shared" si="0"/>
        <v>0x3C</v>
      </c>
      <c r="E64" s="73"/>
      <c r="F64" s="74"/>
      <c r="G64" s="75"/>
      <c r="H64" s="76"/>
      <c r="I64" s="90"/>
      <c r="J64" s="78"/>
      <c r="K64" s="60"/>
      <c r="L64" s="79">
        <v>60</v>
      </c>
      <c r="M64" s="71"/>
      <c r="N64" s="72" t="str">
        <f t="shared" si="1"/>
        <v>0x3C</v>
      </c>
      <c r="O64" s="73"/>
      <c r="P64" s="74"/>
      <c r="Q64" s="75"/>
      <c r="R64" s="76"/>
      <c r="S64" s="90"/>
      <c r="T64" s="106"/>
      <c r="U64" s="107"/>
    </row>
    <row r="65" spans="1:21" x14ac:dyDescent="0.3">
      <c r="A65" s="69"/>
      <c r="B65" s="70">
        <v>61</v>
      </c>
      <c r="C65" s="71"/>
      <c r="D65" s="72" t="str">
        <f t="shared" si="0"/>
        <v>0x3D</v>
      </c>
      <c r="E65" s="73"/>
      <c r="F65" s="74"/>
      <c r="G65" s="75"/>
      <c r="H65" s="76"/>
      <c r="I65" s="90"/>
      <c r="J65" s="78"/>
      <c r="K65" s="60"/>
      <c r="L65" s="79">
        <v>61</v>
      </c>
      <c r="M65" s="71"/>
      <c r="N65" s="72" t="str">
        <f t="shared" si="1"/>
        <v>0x3D</v>
      </c>
      <c r="O65" s="73"/>
      <c r="P65" s="74"/>
      <c r="Q65" s="75"/>
      <c r="R65" s="76"/>
      <c r="S65" s="90"/>
      <c r="T65" s="106"/>
      <c r="U65" s="107"/>
    </row>
    <row r="66" spans="1:21" x14ac:dyDescent="0.3">
      <c r="A66" s="69"/>
      <c r="B66" s="70">
        <v>62</v>
      </c>
      <c r="C66" s="71"/>
      <c r="D66" s="72" t="str">
        <f t="shared" si="0"/>
        <v>0x3E</v>
      </c>
      <c r="E66" s="73"/>
      <c r="F66" s="74"/>
      <c r="G66" s="75"/>
      <c r="H66" s="76"/>
      <c r="I66" s="90"/>
      <c r="J66" s="78"/>
      <c r="K66" s="60"/>
      <c r="L66" s="79">
        <v>62</v>
      </c>
      <c r="M66" s="71"/>
      <c r="N66" s="72" t="str">
        <f t="shared" si="1"/>
        <v>0x3E</v>
      </c>
      <c r="O66" s="73"/>
      <c r="P66" s="74"/>
      <c r="Q66" s="75"/>
      <c r="R66" s="76"/>
      <c r="S66" s="90"/>
      <c r="T66" s="106"/>
      <c r="U66" s="107"/>
    </row>
    <row r="67" spans="1:21" ht="17.5" thickBot="1" x14ac:dyDescent="0.35">
      <c r="A67" s="69"/>
      <c r="B67" s="70">
        <v>63</v>
      </c>
      <c r="C67" s="71"/>
      <c r="D67" s="91" t="str">
        <f t="shared" si="0"/>
        <v>0x3F</v>
      </c>
      <c r="E67" s="92"/>
      <c r="F67" s="93"/>
      <c r="G67" s="94"/>
      <c r="H67" s="95"/>
      <c r="I67" s="96"/>
      <c r="J67" s="97"/>
      <c r="K67" s="98"/>
      <c r="L67" s="79">
        <v>63</v>
      </c>
      <c r="M67" s="71"/>
      <c r="N67" s="91" t="str">
        <f t="shared" si="1"/>
        <v>0x3F</v>
      </c>
      <c r="O67" s="92"/>
      <c r="P67" s="93"/>
      <c r="Q67" s="94"/>
      <c r="R67" s="95"/>
      <c r="S67" s="118"/>
      <c r="T67" s="113"/>
      <c r="U67" s="107"/>
    </row>
    <row r="68" spans="1:21" ht="17.5" thickTop="1" x14ac:dyDescent="0.3">
      <c r="A68" s="69"/>
      <c r="B68" s="53">
        <v>64</v>
      </c>
      <c r="C68" s="54"/>
      <c r="D68" s="72" t="str">
        <f t="shared" si="0"/>
        <v>0x40</v>
      </c>
      <c r="E68" s="73"/>
      <c r="F68" s="74"/>
      <c r="G68" s="75"/>
      <c r="H68" s="57"/>
      <c r="I68" s="58"/>
      <c r="J68" s="59"/>
      <c r="K68" s="102">
        <v>5</v>
      </c>
      <c r="L68" s="103">
        <v>64</v>
      </c>
      <c r="M68" s="54"/>
      <c r="N68" s="72" t="str">
        <f t="shared" si="1"/>
        <v>0x40</v>
      </c>
      <c r="O68" s="73"/>
      <c r="P68" s="74"/>
      <c r="Q68" s="75"/>
      <c r="R68" s="57"/>
      <c r="S68" s="119" t="s">
        <v>267</v>
      </c>
      <c r="T68" s="105"/>
      <c r="U68" s="107"/>
    </row>
    <row r="69" spans="1:21" x14ac:dyDescent="0.3">
      <c r="A69" s="69"/>
      <c r="B69" s="70">
        <v>65</v>
      </c>
      <c r="C69" s="71"/>
      <c r="D69" s="72" t="str">
        <f t="shared" si="0"/>
        <v>0x41</v>
      </c>
      <c r="E69" s="73"/>
      <c r="F69" s="74"/>
      <c r="G69" s="75"/>
      <c r="H69" s="76"/>
      <c r="I69" s="77"/>
      <c r="J69" s="78"/>
      <c r="K69" s="60"/>
      <c r="L69" s="79">
        <v>65</v>
      </c>
      <c r="M69" s="71"/>
      <c r="N69" s="72" t="str">
        <f t="shared" si="1"/>
        <v>0x41</v>
      </c>
      <c r="O69" s="73"/>
      <c r="P69" s="74"/>
      <c r="Q69" s="75"/>
      <c r="R69" s="76"/>
      <c r="S69" s="120"/>
      <c r="T69" s="106"/>
      <c r="U69" s="107"/>
    </row>
    <row r="70" spans="1:21" x14ac:dyDescent="0.3">
      <c r="A70" s="69"/>
      <c r="B70" s="70">
        <v>66</v>
      </c>
      <c r="C70" s="71"/>
      <c r="D70" s="72" t="str">
        <f t="shared" ref="D70:D99" si="2">CONCATENATE("0x", DEC2HEX(B70,2))</f>
        <v>0x42</v>
      </c>
      <c r="E70" s="73"/>
      <c r="F70" s="74"/>
      <c r="G70" s="75"/>
      <c r="H70" s="76"/>
      <c r="I70" s="77"/>
      <c r="J70" s="78"/>
      <c r="K70" s="60"/>
      <c r="L70" s="79">
        <v>66</v>
      </c>
      <c r="M70" s="71"/>
      <c r="N70" s="72" t="str">
        <f t="shared" ref="N70:N99" si="3">CONCATENATE("0x", DEC2HEX(L70,2))</f>
        <v>0x42</v>
      </c>
      <c r="O70" s="73"/>
      <c r="P70" s="74"/>
      <c r="Q70" s="75"/>
      <c r="R70" s="76"/>
      <c r="S70" s="120"/>
      <c r="T70" s="106"/>
      <c r="U70" s="107"/>
    </row>
    <row r="71" spans="1:21" x14ac:dyDescent="0.3">
      <c r="A71" s="69"/>
      <c r="B71" s="70">
        <v>67</v>
      </c>
      <c r="C71" s="71"/>
      <c r="D71" s="72" t="str">
        <f t="shared" si="2"/>
        <v>0x43</v>
      </c>
      <c r="E71" s="73"/>
      <c r="F71" s="74"/>
      <c r="G71" s="75"/>
      <c r="H71" s="76"/>
      <c r="I71" s="77"/>
      <c r="J71" s="78"/>
      <c r="K71" s="60"/>
      <c r="L71" s="79">
        <v>67</v>
      </c>
      <c r="M71" s="71"/>
      <c r="N71" s="72" t="str">
        <f t="shared" si="3"/>
        <v>0x43</v>
      </c>
      <c r="O71" s="73"/>
      <c r="P71" s="74"/>
      <c r="Q71" s="75"/>
      <c r="R71" s="76"/>
      <c r="S71" s="120"/>
      <c r="T71" s="106"/>
      <c r="U71" s="107"/>
    </row>
    <row r="72" spans="1:21" x14ac:dyDescent="0.3">
      <c r="A72" s="69"/>
      <c r="B72" s="70">
        <v>68</v>
      </c>
      <c r="C72" s="71"/>
      <c r="D72" s="72" t="str">
        <f t="shared" si="2"/>
        <v>0x44</v>
      </c>
      <c r="E72" s="73"/>
      <c r="F72" s="74"/>
      <c r="G72" s="75"/>
      <c r="H72" s="76"/>
      <c r="I72" s="77"/>
      <c r="J72" s="78"/>
      <c r="K72" s="60"/>
      <c r="L72" s="79">
        <v>68</v>
      </c>
      <c r="M72" s="71"/>
      <c r="N72" s="72" t="str">
        <f t="shared" si="3"/>
        <v>0x44</v>
      </c>
      <c r="O72" s="73"/>
      <c r="P72" s="74"/>
      <c r="Q72" s="75"/>
      <c r="R72" s="76"/>
      <c r="S72" s="120"/>
      <c r="T72" s="106"/>
      <c r="U72" s="107"/>
    </row>
    <row r="73" spans="1:21" x14ac:dyDescent="0.3">
      <c r="A73" s="69"/>
      <c r="B73" s="70">
        <v>69</v>
      </c>
      <c r="C73" s="71"/>
      <c r="D73" s="72" t="str">
        <f t="shared" si="2"/>
        <v>0x45</v>
      </c>
      <c r="E73" s="73"/>
      <c r="F73" s="74"/>
      <c r="G73" s="75"/>
      <c r="H73" s="76"/>
      <c r="I73" s="77"/>
      <c r="J73" s="78"/>
      <c r="K73" s="60"/>
      <c r="L73" s="79">
        <v>69</v>
      </c>
      <c r="M73" s="71"/>
      <c r="N73" s="72" t="str">
        <f t="shared" si="3"/>
        <v>0x45</v>
      </c>
      <c r="O73" s="73"/>
      <c r="P73" s="74"/>
      <c r="Q73" s="75"/>
      <c r="R73" s="76"/>
      <c r="S73" s="120"/>
      <c r="T73" s="106"/>
      <c r="U73" s="107"/>
    </row>
    <row r="74" spans="1:21" x14ac:dyDescent="0.3">
      <c r="A74" s="69"/>
      <c r="B74" s="70">
        <v>70</v>
      </c>
      <c r="C74" s="71"/>
      <c r="D74" s="72" t="str">
        <f t="shared" si="2"/>
        <v>0x46</v>
      </c>
      <c r="E74" s="73"/>
      <c r="F74" s="74"/>
      <c r="G74" s="75"/>
      <c r="H74" s="76"/>
      <c r="I74" s="77"/>
      <c r="J74" s="78"/>
      <c r="K74" s="60"/>
      <c r="L74" s="79">
        <v>70</v>
      </c>
      <c r="M74" s="71"/>
      <c r="N74" s="72" t="str">
        <f t="shared" si="3"/>
        <v>0x46</v>
      </c>
      <c r="O74" s="73"/>
      <c r="P74" s="74"/>
      <c r="Q74" s="75"/>
      <c r="R74" s="76"/>
      <c r="S74" s="120"/>
      <c r="T74" s="106"/>
      <c r="U74" s="107"/>
    </row>
    <row r="75" spans="1:21" x14ac:dyDescent="0.3">
      <c r="A75" s="69"/>
      <c r="B75" s="70">
        <v>71</v>
      </c>
      <c r="C75" s="71"/>
      <c r="D75" s="72" t="str">
        <f t="shared" si="2"/>
        <v>0x47</v>
      </c>
      <c r="E75" s="73"/>
      <c r="F75" s="74"/>
      <c r="G75" s="75"/>
      <c r="H75" s="76"/>
      <c r="I75" s="77"/>
      <c r="J75" s="78"/>
      <c r="K75" s="60"/>
      <c r="L75" s="79">
        <v>71</v>
      </c>
      <c r="M75" s="71"/>
      <c r="N75" s="72" t="str">
        <f t="shared" si="3"/>
        <v>0x47</v>
      </c>
      <c r="O75" s="73"/>
      <c r="P75" s="74"/>
      <c r="Q75" s="75"/>
      <c r="R75" s="76"/>
      <c r="S75" s="120"/>
      <c r="T75" s="106"/>
      <c r="U75" s="107"/>
    </row>
    <row r="76" spans="1:21" x14ac:dyDescent="0.3">
      <c r="A76" s="69"/>
      <c r="B76" s="70">
        <v>72</v>
      </c>
      <c r="C76" s="71"/>
      <c r="D76" s="72" t="str">
        <f t="shared" si="2"/>
        <v>0x48</v>
      </c>
      <c r="E76" s="73"/>
      <c r="F76" s="74"/>
      <c r="G76" s="75"/>
      <c r="H76" s="76"/>
      <c r="I76" s="77"/>
      <c r="J76" s="78"/>
      <c r="K76" s="60"/>
      <c r="L76" s="79">
        <v>72</v>
      </c>
      <c r="M76" s="71"/>
      <c r="N76" s="72" t="str">
        <f t="shared" si="3"/>
        <v>0x48</v>
      </c>
      <c r="O76" s="73"/>
      <c r="P76" s="74"/>
      <c r="Q76" s="75"/>
      <c r="R76" s="76"/>
      <c r="S76" s="120"/>
      <c r="T76" s="106"/>
      <c r="U76" s="107"/>
    </row>
    <row r="77" spans="1:21" x14ac:dyDescent="0.3">
      <c r="A77" s="69"/>
      <c r="B77" s="70">
        <v>73</v>
      </c>
      <c r="C77" s="71"/>
      <c r="D77" s="72" t="str">
        <f t="shared" si="2"/>
        <v>0x49</v>
      </c>
      <c r="E77" s="73"/>
      <c r="F77" s="74"/>
      <c r="G77" s="75"/>
      <c r="H77" s="76"/>
      <c r="I77" s="77"/>
      <c r="J77" s="78"/>
      <c r="K77" s="60"/>
      <c r="L77" s="79">
        <v>73</v>
      </c>
      <c r="M77" s="71"/>
      <c r="N77" s="72" t="str">
        <f t="shared" si="3"/>
        <v>0x49</v>
      </c>
      <c r="O77" s="73"/>
      <c r="P77" s="74"/>
      <c r="Q77" s="75"/>
      <c r="R77" s="76"/>
      <c r="S77" s="120"/>
      <c r="T77" s="106"/>
      <c r="U77" s="107"/>
    </row>
    <row r="78" spans="1:21" x14ac:dyDescent="0.3">
      <c r="A78" s="69"/>
      <c r="B78" s="70">
        <v>74</v>
      </c>
      <c r="C78" s="71"/>
      <c r="D78" s="72" t="str">
        <f t="shared" si="2"/>
        <v>0x4A</v>
      </c>
      <c r="E78" s="73"/>
      <c r="F78" s="74"/>
      <c r="G78" s="75"/>
      <c r="H78" s="76"/>
      <c r="I78" s="77"/>
      <c r="J78" s="78"/>
      <c r="K78" s="60"/>
      <c r="L78" s="79">
        <v>74</v>
      </c>
      <c r="M78" s="71"/>
      <c r="N78" s="72" t="str">
        <f t="shared" si="3"/>
        <v>0x4A</v>
      </c>
      <c r="O78" s="73"/>
      <c r="P78" s="74"/>
      <c r="Q78" s="75"/>
      <c r="R78" s="76"/>
      <c r="S78" s="120"/>
      <c r="T78" s="106"/>
      <c r="U78" s="107"/>
    </row>
    <row r="79" spans="1:21" x14ac:dyDescent="0.3">
      <c r="A79" s="69"/>
      <c r="B79" s="70">
        <v>75</v>
      </c>
      <c r="C79" s="71"/>
      <c r="D79" s="72" t="str">
        <f t="shared" si="2"/>
        <v>0x4B</v>
      </c>
      <c r="E79" s="73"/>
      <c r="F79" s="74"/>
      <c r="G79" s="75"/>
      <c r="H79" s="76"/>
      <c r="I79" s="77"/>
      <c r="J79" s="78"/>
      <c r="K79" s="60"/>
      <c r="L79" s="79">
        <v>75</v>
      </c>
      <c r="M79" s="71"/>
      <c r="N79" s="72" t="str">
        <f t="shared" si="3"/>
        <v>0x4B</v>
      </c>
      <c r="O79" s="73"/>
      <c r="P79" s="74"/>
      <c r="Q79" s="75"/>
      <c r="R79" s="76"/>
      <c r="S79" s="120"/>
      <c r="T79" s="106"/>
      <c r="U79" s="107"/>
    </row>
    <row r="80" spans="1:21" x14ac:dyDescent="0.3">
      <c r="A80" s="69"/>
      <c r="B80" s="70">
        <v>76</v>
      </c>
      <c r="C80" s="71"/>
      <c r="D80" s="72" t="str">
        <f t="shared" si="2"/>
        <v>0x4C</v>
      </c>
      <c r="E80" s="73"/>
      <c r="F80" s="74"/>
      <c r="G80" s="75"/>
      <c r="H80" s="76"/>
      <c r="I80" s="77"/>
      <c r="J80" s="78"/>
      <c r="K80" s="60"/>
      <c r="L80" s="79">
        <v>76</v>
      </c>
      <c r="M80" s="71"/>
      <c r="N80" s="72" t="str">
        <f t="shared" si="3"/>
        <v>0x4C</v>
      </c>
      <c r="O80" s="73"/>
      <c r="P80" s="74"/>
      <c r="Q80" s="75"/>
      <c r="R80" s="76"/>
      <c r="S80" s="80"/>
      <c r="T80" s="106"/>
      <c r="U80" s="107"/>
    </row>
    <row r="81" spans="1:21" x14ac:dyDescent="0.3">
      <c r="A81" s="69"/>
      <c r="B81" s="70">
        <v>77</v>
      </c>
      <c r="C81" s="71"/>
      <c r="D81" s="72" t="str">
        <f t="shared" si="2"/>
        <v>0x4D</v>
      </c>
      <c r="E81" s="73"/>
      <c r="F81" s="74"/>
      <c r="G81" s="75"/>
      <c r="H81" s="76"/>
      <c r="I81" s="77"/>
      <c r="J81" s="78"/>
      <c r="K81" s="60"/>
      <c r="L81" s="79">
        <v>77</v>
      </c>
      <c r="M81" s="71"/>
      <c r="N81" s="72" t="str">
        <f t="shared" si="3"/>
        <v>0x4D</v>
      </c>
      <c r="O81" s="73"/>
      <c r="P81" s="74"/>
      <c r="Q81" s="75"/>
      <c r="R81" s="76"/>
      <c r="S81" s="80"/>
      <c r="T81" s="106"/>
      <c r="U81" s="107"/>
    </row>
    <row r="82" spans="1:21" x14ac:dyDescent="0.3">
      <c r="A82" s="69"/>
      <c r="B82" s="70">
        <v>78</v>
      </c>
      <c r="C82" s="71"/>
      <c r="D82" s="72" t="str">
        <f t="shared" si="2"/>
        <v>0x4E</v>
      </c>
      <c r="E82" s="73"/>
      <c r="F82" s="74"/>
      <c r="G82" s="75"/>
      <c r="H82" s="76"/>
      <c r="I82" s="77"/>
      <c r="J82" s="78"/>
      <c r="K82" s="60"/>
      <c r="L82" s="79">
        <v>78</v>
      </c>
      <c r="M82" s="71"/>
      <c r="N82" s="72" t="str">
        <f t="shared" si="3"/>
        <v>0x4E</v>
      </c>
      <c r="O82" s="73"/>
      <c r="P82" s="74"/>
      <c r="Q82" s="75"/>
      <c r="R82" s="76"/>
      <c r="S82" s="80"/>
      <c r="T82" s="106"/>
      <c r="U82" s="107"/>
    </row>
    <row r="83" spans="1:21" ht="17.5" thickBot="1" x14ac:dyDescent="0.35">
      <c r="A83" s="69"/>
      <c r="B83" s="70">
        <v>79</v>
      </c>
      <c r="C83" s="71"/>
      <c r="D83" s="91" t="str">
        <f t="shared" si="2"/>
        <v>0x4F</v>
      </c>
      <c r="E83" s="92"/>
      <c r="F83" s="93"/>
      <c r="G83" s="94"/>
      <c r="H83" s="95"/>
      <c r="I83" s="121"/>
      <c r="J83" s="97"/>
      <c r="K83" s="98"/>
      <c r="L83" s="79">
        <v>79</v>
      </c>
      <c r="M83" s="71"/>
      <c r="N83" s="91" t="str">
        <f t="shared" si="3"/>
        <v>0x4F</v>
      </c>
      <c r="O83" s="92"/>
      <c r="P83" s="93"/>
      <c r="Q83" s="94"/>
      <c r="R83" s="95"/>
      <c r="S83" s="122"/>
      <c r="T83" s="113"/>
      <c r="U83" s="107"/>
    </row>
    <row r="84" spans="1:21" ht="17.5" thickTop="1" x14ac:dyDescent="0.3">
      <c r="A84" s="69"/>
      <c r="B84" s="53">
        <v>80</v>
      </c>
      <c r="C84" s="54"/>
      <c r="D84" s="72" t="str">
        <f t="shared" si="2"/>
        <v>0x50</v>
      </c>
      <c r="E84" s="123"/>
      <c r="F84" s="124"/>
      <c r="G84" s="125"/>
      <c r="H84" s="57"/>
      <c r="I84" s="58"/>
      <c r="J84" s="59"/>
      <c r="K84" s="102">
        <v>6</v>
      </c>
      <c r="L84" s="103">
        <v>80</v>
      </c>
      <c r="M84" s="54"/>
      <c r="N84" s="72" t="str">
        <f t="shared" si="3"/>
        <v>0x50</v>
      </c>
      <c r="O84" s="123"/>
      <c r="P84" s="124"/>
      <c r="Q84" s="125"/>
      <c r="R84" s="57"/>
      <c r="S84" s="126" t="s">
        <v>268</v>
      </c>
      <c r="T84" s="105"/>
      <c r="U84" s="83" t="s">
        <v>213</v>
      </c>
    </row>
    <row r="85" spans="1:21" x14ac:dyDescent="0.3">
      <c r="A85" s="69"/>
      <c r="B85" s="70">
        <v>81</v>
      </c>
      <c r="C85" s="71"/>
      <c r="D85" s="72" t="str">
        <f t="shared" si="2"/>
        <v>0x51</v>
      </c>
      <c r="E85" s="73"/>
      <c r="F85" s="74"/>
      <c r="G85" s="75"/>
      <c r="H85" s="76"/>
      <c r="I85" s="77"/>
      <c r="J85" s="78"/>
      <c r="K85" s="60"/>
      <c r="L85" s="79">
        <v>81</v>
      </c>
      <c r="M85" s="71"/>
      <c r="N85" s="72" t="str">
        <f t="shared" si="3"/>
        <v>0x51</v>
      </c>
      <c r="O85" s="73"/>
      <c r="P85" s="74"/>
      <c r="Q85" s="75"/>
      <c r="R85" s="76"/>
      <c r="S85" s="127" t="s">
        <v>269</v>
      </c>
      <c r="T85" s="106"/>
      <c r="U85" s="83" t="s">
        <v>213</v>
      </c>
    </row>
    <row r="86" spans="1:21" x14ac:dyDescent="0.3">
      <c r="A86" s="69"/>
      <c r="B86" s="70">
        <v>82</v>
      </c>
      <c r="C86" s="71"/>
      <c r="D86" s="72" t="str">
        <f t="shared" si="2"/>
        <v>0x52</v>
      </c>
      <c r="E86" s="73"/>
      <c r="F86" s="74"/>
      <c r="G86" s="75"/>
      <c r="H86" s="76"/>
      <c r="I86" s="77"/>
      <c r="J86" s="78"/>
      <c r="K86" s="60"/>
      <c r="L86" s="79">
        <v>82</v>
      </c>
      <c r="M86" s="71"/>
      <c r="N86" s="72" t="str">
        <f t="shared" si="3"/>
        <v>0x52</v>
      </c>
      <c r="O86" s="73"/>
      <c r="P86" s="74"/>
      <c r="Q86" s="75"/>
      <c r="R86" s="76"/>
      <c r="S86" s="77"/>
      <c r="T86" s="106"/>
      <c r="U86" s="107"/>
    </row>
    <row r="87" spans="1:21" x14ac:dyDescent="0.3">
      <c r="A87" s="69"/>
      <c r="B87" s="70">
        <v>83</v>
      </c>
      <c r="C87" s="71"/>
      <c r="D87" s="72" t="str">
        <f t="shared" si="2"/>
        <v>0x53</v>
      </c>
      <c r="E87" s="73"/>
      <c r="F87" s="74"/>
      <c r="G87" s="75"/>
      <c r="H87" s="76"/>
      <c r="I87" s="77"/>
      <c r="J87" s="78"/>
      <c r="K87" s="60"/>
      <c r="L87" s="79">
        <v>83</v>
      </c>
      <c r="M87" s="71"/>
      <c r="N87" s="72" t="str">
        <f t="shared" si="3"/>
        <v>0x53</v>
      </c>
      <c r="O87" s="73"/>
      <c r="P87" s="74"/>
      <c r="Q87" s="75"/>
      <c r="R87" s="76"/>
      <c r="S87" s="77"/>
      <c r="T87" s="106"/>
      <c r="U87" s="107"/>
    </row>
    <row r="88" spans="1:21" x14ac:dyDescent="0.3">
      <c r="A88" s="69"/>
      <c r="B88" s="70">
        <v>84</v>
      </c>
      <c r="C88" s="71"/>
      <c r="D88" s="72" t="str">
        <f t="shared" si="2"/>
        <v>0x54</v>
      </c>
      <c r="E88" s="73"/>
      <c r="F88" s="74"/>
      <c r="G88" s="75"/>
      <c r="H88" s="76"/>
      <c r="I88" s="77"/>
      <c r="J88" s="78"/>
      <c r="K88" s="60"/>
      <c r="L88" s="79">
        <v>84</v>
      </c>
      <c r="M88" s="71"/>
      <c r="N88" s="72" t="str">
        <f t="shared" si="3"/>
        <v>0x54</v>
      </c>
      <c r="O88" s="73"/>
      <c r="P88" s="74"/>
      <c r="Q88" s="75"/>
      <c r="R88" s="76"/>
      <c r="S88" s="128"/>
      <c r="T88" s="106"/>
      <c r="U88" s="107"/>
    </row>
    <row r="89" spans="1:21" x14ac:dyDescent="0.3">
      <c r="A89" s="69"/>
      <c r="B89" s="70">
        <v>85</v>
      </c>
      <c r="C89" s="71"/>
      <c r="D89" s="72" t="str">
        <f t="shared" si="2"/>
        <v>0x55</v>
      </c>
      <c r="E89" s="73"/>
      <c r="F89" s="74"/>
      <c r="G89" s="75"/>
      <c r="H89" s="76"/>
      <c r="I89" s="77"/>
      <c r="J89" s="78"/>
      <c r="K89" s="60"/>
      <c r="L89" s="79">
        <v>85</v>
      </c>
      <c r="M89" s="71"/>
      <c r="N89" s="72" t="str">
        <f t="shared" si="3"/>
        <v>0x55</v>
      </c>
      <c r="O89" s="73"/>
      <c r="P89" s="74"/>
      <c r="Q89" s="75"/>
      <c r="R89" s="129"/>
      <c r="S89" s="130"/>
      <c r="T89" s="106"/>
      <c r="U89" s="107"/>
    </row>
    <row r="90" spans="1:21" x14ac:dyDescent="0.3">
      <c r="A90" s="69"/>
      <c r="B90" s="70">
        <v>86</v>
      </c>
      <c r="C90" s="71"/>
      <c r="D90" s="72" t="str">
        <f t="shared" si="2"/>
        <v>0x56</v>
      </c>
      <c r="E90" s="73"/>
      <c r="F90" s="74"/>
      <c r="G90" s="75"/>
      <c r="H90" s="76"/>
      <c r="I90" s="77"/>
      <c r="J90" s="78"/>
      <c r="K90" s="60"/>
      <c r="L90" s="79">
        <v>86</v>
      </c>
      <c r="M90" s="71"/>
      <c r="N90" s="72" t="str">
        <f t="shared" si="3"/>
        <v>0x56</v>
      </c>
      <c r="O90" s="73"/>
      <c r="P90" s="74"/>
      <c r="Q90" s="75"/>
      <c r="R90" s="76"/>
      <c r="S90" s="131"/>
      <c r="T90" s="106"/>
      <c r="U90" s="107"/>
    </row>
    <row r="91" spans="1:21" x14ac:dyDescent="0.3">
      <c r="A91" s="69"/>
      <c r="B91" s="70">
        <v>87</v>
      </c>
      <c r="C91" s="71"/>
      <c r="D91" s="72" t="str">
        <f t="shared" si="2"/>
        <v>0x57</v>
      </c>
      <c r="E91" s="73"/>
      <c r="F91" s="74"/>
      <c r="G91" s="75"/>
      <c r="H91" s="76"/>
      <c r="I91" s="77"/>
      <c r="J91" s="78"/>
      <c r="K91" s="60"/>
      <c r="L91" s="79">
        <v>87</v>
      </c>
      <c r="M91" s="71"/>
      <c r="N91" s="72" t="str">
        <f t="shared" si="3"/>
        <v>0x57</v>
      </c>
      <c r="O91" s="73"/>
      <c r="P91" s="74"/>
      <c r="Q91" s="75"/>
      <c r="R91" s="76"/>
      <c r="S91" s="77"/>
      <c r="T91" s="106"/>
      <c r="U91" s="107"/>
    </row>
    <row r="92" spans="1:21" x14ac:dyDescent="0.3">
      <c r="A92" s="69"/>
      <c r="B92" s="70">
        <v>88</v>
      </c>
      <c r="C92" s="71"/>
      <c r="D92" s="72" t="str">
        <f t="shared" si="2"/>
        <v>0x58</v>
      </c>
      <c r="E92" s="73"/>
      <c r="F92" s="74"/>
      <c r="G92" s="75"/>
      <c r="H92" s="76"/>
      <c r="I92" s="77"/>
      <c r="J92" s="78"/>
      <c r="K92" s="60"/>
      <c r="L92" s="79">
        <v>88</v>
      </c>
      <c r="M92" s="71"/>
      <c r="N92" s="72" t="str">
        <f t="shared" si="3"/>
        <v>0x58</v>
      </c>
      <c r="O92" s="73"/>
      <c r="P92" s="74"/>
      <c r="Q92" s="75"/>
      <c r="R92" s="76"/>
      <c r="S92" s="77"/>
      <c r="T92" s="106"/>
      <c r="U92" s="107"/>
    </row>
    <row r="93" spans="1:21" x14ac:dyDescent="0.3">
      <c r="A93" s="69"/>
      <c r="B93" s="70">
        <v>89</v>
      </c>
      <c r="C93" s="71"/>
      <c r="D93" s="72" t="str">
        <f t="shared" si="2"/>
        <v>0x59</v>
      </c>
      <c r="E93" s="73"/>
      <c r="F93" s="74"/>
      <c r="G93" s="75"/>
      <c r="H93" s="76"/>
      <c r="I93" s="77"/>
      <c r="J93" s="78"/>
      <c r="K93" s="60"/>
      <c r="L93" s="79">
        <v>89</v>
      </c>
      <c r="M93" s="71"/>
      <c r="N93" s="72" t="str">
        <f t="shared" si="3"/>
        <v>0x59</v>
      </c>
      <c r="O93" s="73"/>
      <c r="P93" s="74"/>
      <c r="Q93" s="75"/>
      <c r="R93" s="76"/>
      <c r="S93" s="77"/>
      <c r="T93" s="106"/>
      <c r="U93" s="107"/>
    </row>
    <row r="94" spans="1:21" x14ac:dyDescent="0.3">
      <c r="A94" s="69"/>
      <c r="B94" s="70">
        <v>90</v>
      </c>
      <c r="C94" s="71"/>
      <c r="D94" s="72" t="str">
        <f t="shared" si="2"/>
        <v>0x5A</v>
      </c>
      <c r="E94" s="73"/>
      <c r="F94" s="74"/>
      <c r="G94" s="75"/>
      <c r="H94" s="76"/>
      <c r="I94" s="77"/>
      <c r="J94" s="78"/>
      <c r="K94" s="60"/>
      <c r="L94" s="79">
        <v>90</v>
      </c>
      <c r="M94" s="71"/>
      <c r="N94" s="72" t="str">
        <f t="shared" si="3"/>
        <v>0x5A</v>
      </c>
      <c r="O94" s="73"/>
      <c r="P94" s="74"/>
      <c r="Q94" s="75"/>
      <c r="R94" s="76"/>
      <c r="S94" s="77"/>
      <c r="T94" s="106"/>
      <c r="U94" s="107"/>
    </row>
    <row r="95" spans="1:21" x14ac:dyDescent="0.3">
      <c r="A95" s="69"/>
      <c r="B95" s="70">
        <v>91</v>
      </c>
      <c r="C95" s="71"/>
      <c r="D95" s="72" t="str">
        <f t="shared" si="2"/>
        <v>0x5B</v>
      </c>
      <c r="E95" s="73"/>
      <c r="F95" s="74"/>
      <c r="G95" s="75"/>
      <c r="H95" s="76"/>
      <c r="I95" s="77"/>
      <c r="J95" s="78"/>
      <c r="K95" s="60"/>
      <c r="L95" s="79">
        <v>91</v>
      </c>
      <c r="M95" s="71"/>
      <c r="N95" s="72" t="str">
        <f t="shared" si="3"/>
        <v>0x5B</v>
      </c>
      <c r="O95" s="73"/>
      <c r="P95" s="74"/>
      <c r="Q95" s="75"/>
      <c r="R95" s="76"/>
      <c r="S95" s="77"/>
      <c r="T95" s="106"/>
      <c r="U95" s="107"/>
    </row>
    <row r="96" spans="1:21" x14ac:dyDescent="0.3">
      <c r="A96" s="69"/>
      <c r="B96" s="70">
        <v>92</v>
      </c>
      <c r="C96" s="71"/>
      <c r="D96" s="72" t="str">
        <f t="shared" si="2"/>
        <v>0x5C</v>
      </c>
      <c r="E96" s="73"/>
      <c r="F96" s="74"/>
      <c r="G96" s="75"/>
      <c r="H96" s="76"/>
      <c r="I96" s="77"/>
      <c r="J96" s="78"/>
      <c r="K96" s="60"/>
      <c r="L96" s="79">
        <v>92</v>
      </c>
      <c r="M96" s="71"/>
      <c r="N96" s="72" t="str">
        <f t="shared" si="3"/>
        <v>0x5C</v>
      </c>
      <c r="O96" s="73"/>
      <c r="P96" s="74"/>
      <c r="Q96" s="75"/>
      <c r="R96" s="76"/>
      <c r="S96" s="77"/>
      <c r="T96" s="106"/>
      <c r="U96" s="107"/>
    </row>
    <row r="97" spans="1:21" x14ac:dyDescent="0.3">
      <c r="A97" s="69"/>
      <c r="B97" s="70">
        <v>93</v>
      </c>
      <c r="C97" s="71"/>
      <c r="D97" s="72" t="str">
        <f t="shared" si="2"/>
        <v>0x5D</v>
      </c>
      <c r="E97" s="73"/>
      <c r="F97" s="74"/>
      <c r="G97" s="75"/>
      <c r="H97" s="76"/>
      <c r="I97" s="77"/>
      <c r="J97" s="78"/>
      <c r="K97" s="60"/>
      <c r="L97" s="79">
        <v>93</v>
      </c>
      <c r="M97" s="71"/>
      <c r="N97" s="72" t="str">
        <f t="shared" si="3"/>
        <v>0x5D</v>
      </c>
      <c r="O97" s="73"/>
      <c r="P97" s="74"/>
      <c r="Q97" s="75"/>
      <c r="R97" s="76"/>
      <c r="S97" s="77"/>
      <c r="T97" s="106"/>
      <c r="U97" s="107"/>
    </row>
    <row r="98" spans="1:21" x14ac:dyDescent="0.3">
      <c r="A98" s="69"/>
      <c r="B98" s="70">
        <v>94</v>
      </c>
      <c r="C98" s="71"/>
      <c r="D98" s="72" t="str">
        <f t="shared" si="2"/>
        <v>0x5E</v>
      </c>
      <c r="E98" s="73"/>
      <c r="F98" s="74"/>
      <c r="G98" s="75"/>
      <c r="H98" s="76"/>
      <c r="I98" s="77"/>
      <c r="J98" s="78"/>
      <c r="K98" s="60"/>
      <c r="L98" s="79">
        <v>94</v>
      </c>
      <c r="M98" s="71"/>
      <c r="N98" s="72" t="str">
        <f t="shared" si="3"/>
        <v>0x5E</v>
      </c>
      <c r="O98" s="73"/>
      <c r="P98" s="74"/>
      <c r="Q98" s="75"/>
      <c r="R98" s="76"/>
      <c r="S98" s="77"/>
      <c r="T98" s="106"/>
      <c r="U98" s="107"/>
    </row>
    <row r="99" spans="1:21" ht="17.5" thickBot="1" x14ac:dyDescent="0.35">
      <c r="A99" s="69"/>
      <c r="B99" s="132">
        <v>95</v>
      </c>
      <c r="C99" s="133"/>
      <c r="D99" s="91" t="str">
        <f t="shared" si="2"/>
        <v>0x5F</v>
      </c>
      <c r="E99" s="92"/>
      <c r="F99" s="93"/>
      <c r="G99" s="94"/>
      <c r="H99" s="95"/>
      <c r="I99" s="121"/>
      <c r="J99" s="97"/>
      <c r="K99" s="98"/>
      <c r="L99" s="134">
        <v>95</v>
      </c>
      <c r="M99" s="133"/>
      <c r="N99" s="91" t="str">
        <f t="shared" si="3"/>
        <v>0x5F</v>
      </c>
      <c r="O99" s="92"/>
      <c r="P99" s="93"/>
      <c r="Q99" s="94"/>
      <c r="R99" s="95"/>
      <c r="S99" s="121"/>
      <c r="T99" s="113"/>
      <c r="U99" s="107"/>
    </row>
    <row r="100" spans="1:21" ht="17.5" thickTop="1" x14ac:dyDescent="0.45">
      <c r="U100" s="135"/>
    </row>
    <row r="101" spans="1:21" ht="17.5" thickBot="1" x14ac:dyDescent="0.5">
      <c r="U101" s="135"/>
    </row>
    <row r="102" spans="1:21" ht="26.25" customHeight="1" thickTop="1" thickBot="1" x14ac:dyDescent="0.5">
      <c r="B102" s="136" t="s">
        <v>270</v>
      </c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8"/>
      <c r="U102" s="135"/>
    </row>
    <row r="103" spans="1:21" ht="17.25" customHeight="1" thickTop="1" x14ac:dyDescent="0.45">
      <c r="A103" s="139" t="s">
        <v>196</v>
      </c>
      <c r="B103" s="140" t="s">
        <v>197</v>
      </c>
      <c r="C103" s="141"/>
      <c r="D103" s="142" t="s">
        <v>271</v>
      </c>
      <c r="E103" s="143" t="s">
        <v>272</v>
      </c>
      <c r="F103" s="144"/>
      <c r="G103" s="143" t="s">
        <v>273</v>
      </c>
      <c r="H103" s="144"/>
      <c r="I103" s="142" t="s">
        <v>198</v>
      </c>
      <c r="J103" s="145" t="s">
        <v>199</v>
      </c>
      <c r="K103" s="146" t="s">
        <v>200</v>
      </c>
      <c r="L103" s="140" t="s">
        <v>201</v>
      </c>
      <c r="M103" s="141"/>
      <c r="N103" s="142" t="s">
        <v>271</v>
      </c>
      <c r="O103" s="143" t="s">
        <v>272</v>
      </c>
      <c r="P103" s="144"/>
      <c r="Q103" s="143" t="s">
        <v>273</v>
      </c>
      <c r="R103" s="144"/>
      <c r="S103" s="142" t="s">
        <v>198</v>
      </c>
      <c r="T103" s="145" t="s">
        <v>199</v>
      </c>
      <c r="U103" s="147" t="s">
        <v>196</v>
      </c>
    </row>
    <row r="104" spans="1:21" ht="17.5" thickBot="1" x14ac:dyDescent="0.35">
      <c r="A104" s="148"/>
      <c r="B104" s="149" t="s">
        <v>274</v>
      </c>
      <c r="C104" s="150" t="s">
        <v>275</v>
      </c>
      <c r="D104" s="151"/>
      <c r="E104" s="152"/>
      <c r="F104" s="153"/>
      <c r="G104" s="152"/>
      <c r="H104" s="153"/>
      <c r="I104" s="151"/>
      <c r="J104" s="154"/>
      <c r="K104" s="155" t="s">
        <v>204</v>
      </c>
      <c r="L104" s="149" t="s">
        <v>274</v>
      </c>
      <c r="M104" s="150" t="s">
        <v>275</v>
      </c>
      <c r="N104" s="151"/>
      <c r="O104" s="152"/>
      <c r="P104" s="153"/>
      <c r="Q104" s="152"/>
      <c r="R104" s="153"/>
      <c r="S104" s="151"/>
      <c r="T104" s="154"/>
      <c r="U104" s="156"/>
    </row>
    <row r="105" spans="1:21" ht="16.5" customHeight="1" thickTop="1" x14ac:dyDescent="0.3">
      <c r="A105" s="157" t="s">
        <v>276</v>
      </c>
      <c r="B105" s="158">
        <v>0</v>
      </c>
      <c r="C105" s="159">
        <v>256</v>
      </c>
      <c r="D105" s="55" t="str">
        <f>CONCATENATE("0x", DEC2HEX(B105,2))</f>
        <v>0x00</v>
      </c>
      <c r="E105" s="160"/>
      <c r="F105" s="161"/>
      <c r="G105" s="160"/>
      <c r="H105" s="161"/>
      <c r="I105" s="162" t="s">
        <v>277</v>
      </c>
      <c r="J105" s="163" t="s">
        <v>278</v>
      </c>
      <c r="K105" s="102">
        <v>1</v>
      </c>
      <c r="L105" s="158">
        <v>0</v>
      </c>
      <c r="M105" s="159">
        <v>256</v>
      </c>
      <c r="N105" s="55" t="str">
        <f>CONCATENATE("0x", DEC2HEX(L105,2))</f>
        <v>0x00</v>
      </c>
      <c r="O105" s="160"/>
      <c r="P105" s="160"/>
      <c r="Q105" s="160"/>
      <c r="R105" s="160"/>
      <c r="S105" s="162" t="s">
        <v>279</v>
      </c>
      <c r="T105" s="164"/>
      <c r="U105" s="165" t="s">
        <v>280</v>
      </c>
    </row>
    <row r="106" spans="1:21" ht="16.5" customHeight="1" x14ac:dyDescent="0.3">
      <c r="A106" s="157" t="s">
        <v>281</v>
      </c>
      <c r="B106" s="166">
        <v>1</v>
      </c>
      <c r="C106" s="167">
        <v>257</v>
      </c>
      <c r="D106" s="72" t="str">
        <f>CONCATENATE("0x", DEC2HEX(B106,2))</f>
        <v>0x01</v>
      </c>
      <c r="E106" s="168"/>
      <c r="F106" s="169"/>
      <c r="G106" s="168"/>
      <c r="H106" s="169"/>
      <c r="I106" s="80" t="s">
        <v>282</v>
      </c>
      <c r="J106" s="170"/>
      <c r="K106" s="60"/>
      <c r="L106" s="166">
        <v>1</v>
      </c>
      <c r="M106" s="167">
        <v>257</v>
      </c>
      <c r="N106" s="72" t="str">
        <f>CONCATENATE("0x", DEC2HEX(L106,2))</f>
        <v>0x01</v>
      </c>
      <c r="O106" s="168"/>
      <c r="P106" s="168"/>
      <c r="Q106" s="168"/>
      <c r="R106" s="168"/>
      <c r="S106" s="80" t="s">
        <v>283</v>
      </c>
      <c r="T106" s="170"/>
      <c r="U106" s="165" t="s">
        <v>284</v>
      </c>
    </row>
    <row r="107" spans="1:21" ht="16.5" customHeight="1" x14ac:dyDescent="0.3">
      <c r="A107" s="157"/>
      <c r="B107" s="166">
        <v>2</v>
      </c>
      <c r="C107" s="167">
        <v>258</v>
      </c>
      <c r="D107" s="72" t="str">
        <f t="shared" ref="D107:D170" si="4">CONCATENATE("0x", DEC2HEX(B107,2))</f>
        <v>0x02</v>
      </c>
      <c r="E107" s="168"/>
      <c r="F107" s="169"/>
      <c r="G107" s="168"/>
      <c r="H107" s="169"/>
      <c r="I107" s="80"/>
      <c r="J107" s="170"/>
      <c r="K107" s="60"/>
      <c r="L107" s="166">
        <v>2</v>
      </c>
      <c r="M107" s="167">
        <v>258</v>
      </c>
      <c r="N107" s="72" t="str">
        <f t="shared" ref="N107:N170" si="5">CONCATENATE("0x", DEC2HEX(L107,2))</f>
        <v>0x02</v>
      </c>
      <c r="O107" s="168"/>
      <c r="P107" s="168"/>
      <c r="Q107" s="168"/>
      <c r="R107" s="168"/>
      <c r="S107" s="80" t="s">
        <v>285</v>
      </c>
      <c r="T107" s="170"/>
      <c r="U107" s="165" t="s">
        <v>284</v>
      </c>
    </row>
    <row r="108" spans="1:21" ht="16.5" customHeight="1" x14ac:dyDescent="0.3">
      <c r="A108" s="157" t="s">
        <v>286</v>
      </c>
      <c r="B108" s="166">
        <v>3</v>
      </c>
      <c r="C108" s="167">
        <v>259</v>
      </c>
      <c r="D108" s="72" t="str">
        <f t="shared" si="4"/>
        <v>0x03</v>
      </c>
      <c r="E108" s="168"/>
      <c r="F108" s="169"/>
      <c r="G108" s="168"/>
      <c r="H108" s="169"/>
      <c r="I108" s="80" t="s">
        <v>287</v>
      </c>
      <c r="J108" s="170"/>
      <c r="K108" s="60"/>
      <c r="L108" s="166">
        <v>3</v>
      </c>
      <c r="M108" s="167">
        <v>259</v>
      </c>
      <c r="N108" s="72" t="str">
        <f t="shared" si="5"/>
        <v>0x03</v>
      </c>
      <c r="O108" s="168"/>
      <c r="P108" s="168"/>
      <c r="Q108" s="168"/>
      <c r="R108" s="168"/>
      <c r="S108" s="80" t="s">
        <v>288</v>
      </c>
      <c r="T108" s="170"/>
      <c r="U108" s="165" t="s">
        <v>289</v>
      </c>
    </row>
    <row r="109" spans="1:21" ht="16.5" customHeight="1" x14ac:dyDescent="0.3">
      <c r="A109" s="157"/>
      <c r="B109" s="166">
        <v>4</v>
      </c>
      <c r="C109" s="167">
        <v>260</v>
      </c>
      <c r="D109" s="72" t="str">
        <f t="shared" si="4"/>
        <v>0x04</v>
      </c>
      <c r="E109" s="168"/>
      <c r="F109" s="169"/>
      <c r="G109" s="168"/>
      <c r="H109" s="169"/>
      <c r="I109" s="80"/>
      <c r="J109" s="170"/>
      <c r="K109" s="60"/>
      <c r="L109" s="166">
        <v>4</v>
      </c>
      <c r="M109" s="167">
        <v>260</v>
      </c>
      <c r="N109" s="72" t="str">
        <f t="shared" si="5"/>
        <v>0x04</v>
      </c>
      <c r="O109" s="168"/>
      <c r="P109" s="168"/>
      <c r="Q109" s="168"/>
      <c r="R109" s="168"/>
      <c r="S109" s="80" t="s">
        <v>290</v>
      </c>
      <c r="T109" s="170"/>
      <c r="U109" s="165" t="s">
        <v>291</v>
      </c>
    </row>
    <row r="110" spans="1:21" ht="16.5" customHeight="1" x14ac:dyDescent="0.3">
      <c r="A110" s="157" t="s">
        <v>292</v>
      </c>
      <c r="B110" s="166">
        <v>5</v>
      </c>
      <c r="C110" s="167">
        <v>261</v>
      </c>
      <c r="D110" s="72" t="str">
        <f t="shared" si="4"/>
        <v>0x05</v>
      </c>
      <c r="E110" s="168"/>
      <c r="F110" s="169"/>
      <c r="G110" s="168"/>
      <c r="H110" s="169"/>
      <c r="I110" s="80" t="s">
        <v>293</v>
      </c>
      <c r="J110" s="170"/>
      <c r="K110" s="60"/>
      <c r="L110" s="166">
        <v>5</v>
      </c>
      <c r="M110" s="167">
        <v>261</v>
      </c>
      <c r="N110" s="72" t="str">
        <f t="shared" si="5"/>
        <v>0x05</v>
      </c>
      <c r="O110" s="168"/>
      <c r="P110" s="168"/>
      <c r="Q110" s="168"/>
      <c r="R110" s="168"/>
      <c r="S110" s="80" t="s">
        <v>294</v>
      </c>
      <c r="T110" s="170"/>
      <c r="U110" s="165" t="s">
        <v>295</v>
      </c>
    </row>
    <row r="111" spans="1:21" ht="16.5" customHeight="1" x14ac:dyDescent="0.3">
      <c r="A111" s="157"/>
      <c r="B111" s="166">
        <v>6</v>
      </c>
      <c r="C111" s="167">
        <v>262</v>
      </c>
      <c r="D111" s="72" t="str">
        <f t="shared" si="4"/>
        <v>0x06</v>
      </c>
      <c r="E111" s="168"/>
      <c r="F111" s="169"/>
      <c r="G111" s="168"/>
      <c r="H111" s="169"/>
      <c r="I111" s="80"/>
      <c r="J111" s="170"/>
      <c r="K111" s="60"/>
      <c r="L111" s="166">
        <v>6</v>
      </c>
      <c r="M111" s="167">
        <v>262</v>
      </c>
      <c r="N111" s="72" t="str">
        <f t="shared" si="5"/>
        <v>0x06</v>
      </c>
      <c r="O111" s="168"/>
      <c r="P111" s="168"/>
      <c r="Q111" s="168"/>
      <c r="R111" s="168"/>
      <c r="S111" s="80" t="s">
        <v>296</v>
      </c>
      <c r="T111" s="170"/>
      <c r="U111" s="165" t="s">
        <v>295</v>
      </c>
    </row>
    <row r="112" spans="1:21" ht="16.5" customHeight="1" x14ac:dyDescent="0.3">
      <c r="A112" s="157" t="s">
        <v>297</v>
      </c>
      <c r="B112" s="166">
        <v>7</v>
      </c>
      <c r="C112" s="167">
        <v>263</v>
      </c>
      <c r="D112" s="72" t="str">
        <f t="shared" si="4"/>
        <v>0x07</v>
      </c>
      <c r="E112" s="168"/>
      <c r="F112" s="169"/>
      <c r="G112" s="168"/>
      <c r="H112" s="169"/>
      <c r="I112" s="80" t="s">
        <v>298</v>
      </c>
      <c r="J112" s="170"/>
      <c r="K112" s="60"/>
      <c r="L112" s="166">
        <v>7</v>
      </c>
      <c r="M112" s="167">
        <v>263</v>
      </c>
      <c r="N112" s="72" t="str">
        <f t="shared" si="5"/>
        <v>0x07</v>
      </c>
      <c r="O112" s="168"/>
      <c r="P112" s="168"/>
      <c r="Q112" s="168"/>
      <c r="R112" s="168"/>
      <c r="S112" s="80" t="s">
        <v>299</v>
      </c>
      <c r="T112" s="170"/>
      <c r="U112" s="165" t="s">
        <v>300</v>
      </c>
    </row>
    <row r="113" spans="1:21" ht="16.5" customHeight="1" x14ac:dyDescent="0.3">
      <c r="A113" s="157"/>
      <c r="B113" s="166">
        <v>8</v>
      </c>
      <c r="C113" s="167">
        <v>264</v>
      </c>
      <c r="D113" s="72" t="str">
        <f t="shared" si="4"/>
        <v>0x08</v>
      </c>
      <c r="E113" s="168"/>
      <c r="F113" s="169"/>
      <c r="G113" s="168"/>
      <c r="H113" s="169"/>
      <c r="I113" s="80"/>
      <c r="J113" s="170"/>
      <c r="K113" s="60"/>
      <c r="L113" s="166">
        <v>8</v>
      </c>
      <c r="M113" s="167">
        <v>264</v>
      </c>
      <c r="N113" s="72" t="str">
        <f t="shared" si="5"/>
        <v>0x08</v>
      </c>
      <c r="O113" s="168"/>
      <c r="P113" s="168"/>
      <c r="Q113" s="168"/>
      <c r="R113" s="168"/>
      <c r="S113" s="80"/>
      <c r="T113" s="170"/>
      <c r="U113" s="165"/>
    </row>
    <row r="114" spans="1:21" ht="16.5" customHeight="1" x14ac:dyDescent="0.3">
      <c r="A114" s="171" t="s">
        <v>301</v>
      </c>
      <c r="B114" s="166">
        <v>9</v>
      </c>
      <c r="C114" s="167">
        <v>265</v>
      </c>
      <c r="D114" s="72" t="str">
        <f t="shared" si="4"/>
        <v>0x09</v>
      </c>
      <c r="E114" s="168"/>
      <c r="F114" s="169"/>
      <c r="G114" s="168"/>
      <c r="H114" s="169"/>
      <c r="I114" s="80" t="s">
        <v>302</v>
      </c>
      <c r="J114" s="170"/>
      <c r="K114" s="60"/>
      <c r="L114" s="166">
        <v>9</v>
      </c>
      <c r="M114" s="167">
        <v>265</v>
      </c>
      <c r="N114" s="72" t="str">
        <f t="shared" si="5"/>
        <v>0x09</v>
      </c>
      <c r="O114" s="168"/>
      <c r="P114" s="168"/>
      <c r="Q114" s="168"/>
      <c r="R114" s="168"/>
      <c r="S114" s="80" t="s">
        <v>303</v>
      </c>
      <c r="T114" s="170"/>
      <c r="U114" s="165" t="s">
        <v>304</v>
      </c>
    </row>
    <row r="115" spans="1:21" ht="16.5" customHeight="1" x14ac:dyDescent="0.3">
      <c r="A115" s="171" t="s">
        <v>305</v>
      </c>
      <c r="B115" s="166">
        <v>10</v>
      </c>
      <c r="C115" s="167">
        <v>266</v>
      </c>
      <c r="D115" s="72" t="str">
        <f t="shared" si="4"/>
        <v>0x0A</v>
      </c>
      <c r="E115" s="168"/>
      <c r="F115" s="169"/>
      <c r="G115" s="168"/>
      <c r="H115" s="169"/>
      <c r="I115" s="80" t="s">
        <v>306</v>
      </c>
      <c r="J115" s="170"/>
      <c r="K115" s="60"/>
      <c r="L115" s="166">
        <v>10</v>
      </c>
      <c r="M115" s="167">
        <v>266</v>
      </c>
      <c r="N115" s="72" t="str">
        <f t="shared" si="5"/>
        <v>0x0A</v>
      </c>
      <c r="O115" s="168"/>
      <c r="P115" s="168"/>
      <c r="Q115" s="168"/>
      <c r="R115" s="168"/>
      <c r="S115" s="80" t="s">
        <v>307</v>
      </c>
      <c r="T115" s="170"/>
      <c r="U115" s="165" t="s">
        <v>308</v>
      </c>
    </row>
    <row r="116" spans="1:21" ht="16.5" customHeight="1" x14ac:dyDescent="0.3">
      <c r="A116" s="157"/>
      <c r="B116" s="166">
        <v>11</v>
      </c>
      <c r="C116" s="167">
        <v>267</v>
      </c>
      <c r="D116" s="72" t="str">
        <f t="shared" si="4"/>
        <v>0x0B</v>
      </c>
      <c r="E116" s="168"/>
      <c r="F116" s="169"/>
      <c r="G116" s="168"/>
      <c r="H116" s="169"/>
      <c r="I116" s="172"/>
      <c r="J116" s="173"/>
      <c r="K116" s="60"/>
      <c r="L116" s="166">
        <v>11</v>
      </c>
      <c r="M116" s="167">
        <v>267</v>
      </c>
      <c r="N116" s="72" t="str">
        <f t="shared" si="5"/>
        <v>0x0B</v>
      </c>
      <c r="O116" s="168"/>
      <c r="P116" s="168"/>
      <c r="Q116" s="168"/>
      <c r="R116" s="168"/>
      <c r="S116" s="80"/>
      <c r="T116" s="170"/>
      <c r="U116" s="165"/>
    </row>
    <row r="117" spans="1:21" ht="16.5" customHeight="1" x14ac:dyDescent="0.3">
      <c r="A117" s="157"/>
      <c r="B117" s="166">
        <v>12</v>
      </c>
      <c r="C117" s="167">
        <v>268</v>
      </c>
      <c r="D117" s="72" t="str">
        <f t="shared" si="4"/>
        <v>0x0C</v>
      </c>
      <c r="E117" s="168"/>
      <c r="F117" s="169"/>
      <c r="G117" s="168"/>
      <c r="H117" s="169"/>
      <c r="I117" s="172"/>
      <c r="J117" s="173"/>
      <c r="K117" s="60"/>
      <c r="L117" s="166">
        <v>12</v>
      </c>
      <c r="M117" s="167">
        <v>268</v>
      </c>
      <c r="N117" s="72" t="str">
        <f t="shared" si="5"/>
        <v>0x0C</v>
      </c>
      <c r="O117" s="168"/>
      <c r="P117" s="168"/>
      <c r="Q117" s="168"/>
      <c r="R117" s="168"/>
      <c r="S117" s="80"/>
      <c r="T117" s="170"/>
      <c r="U117" s="165"/>
    </row>
    <row r="118" spans="1:21" ht="16.5" customHeight="1" x14ac:dyDescent="0.3">
      <c r="A118" s="157"/>
      <c r="B118" s="166">
        <v>13</v>
      </c>
      <c r="C118" s="167">
        <v>269</v>
      </c>
      <c r="D118" s="72" t="str">
        <f t="shared" si="4"/>
        <v>0x0D</v>
      </c>
      <c r="E118" s="168"/>
      <c r="F118" s="169"/>
      <c r="G118" s="168"/>
      <c r="H118" s="169"/>
      <c r="I118" s="172"/>
      <c r="J118" s="173"/>
      <c r="K118" s="60"/>
      <c r="L118" s="166">
        <v>13</v>
      </c>
      <c r="M118" s="167">
        <v>269</v>
      </c>
      <c r="N118" s="72" t="str">
        <f t="shared" si="5"/>
        <v>0x0D</v>
      </c>
      <c r="O118" s="168"/>
      <c r="P118" s="168"/>
      <c r="Q118" s="168"/>
      <c r="R118" s="168"/>
      <c r="S118" s="174" t="s">
        <v>309</v>
      </c>
      <c r="T118" s="175" t="s">
        <v>310</v>
      </c>
      <c r="U118" s="165"/>
    </row>
    <row r="119" spans="1:21" ht="16.5" customHeight="1" x14ac:dyDescent="0.3">
      <c r="A119" s="157"/>
      <c r="B119" s="166">
        <v>14</v>
      </c>
      <c r="C119" s="167">
        <v>270</v>
      </c>
      <c r="D119" s="72" t="str">
        <f t="shared" si="4"/>
        <v>0x0E</v>
      </c>
      <c r="E119" s="168"/>
      <c r="F119" s="169"/>
      <c r="G119" s="168"/>
      <c r="H119" s="169"/>
      <c r="I119" s="172"/>
      <c r="J119" s="173"/>
      <c r="K119" s="60"/>
      <c r="L119" s="166">
        <v>14</v>
      </c>
      <c r="M119" s="167">
        <v>270</v>
      </c>
      <c r="N119" s="72" t="str">
        <f t="shared" si="5"/>
        <v>0x0E</v>
      </c>
      <c r="O119" s="168"/>
      <c r="P119" s="168"/>
      <c r="Q119" s="168"/>
      <c r="R119" s="168"/>
      <c r="S119" s="120" t="s">
        <v>311</v>
      </c>
      <c r="T119" s="176"/>
      <c r="U119" s="177" t="s">
        <v>312</v>
      </c>
    </row>
    <row r="120" spans="1:21" ht="16.5" customHeight="1" thickBot="1" x14ac:dyDescent="0.35">
      <c r="A120" s="157"/>
      <c r="B120" s="178">
        <v>15</v>
      </c>
      <c r="C120" s="179">
        <v>271</v>
      </c>
      <c r="D120" s="91" t="str">
        <f t="shared" si="4"/>
        <v>0x0F</v>
      </c>
      <c r="E120" s="180"/>
      <c r="F120" s="181"/>
      <c r="G120" s="180"/>
      <c r="H120" s="181"/>
      <c r="I120" s="172"/>
      <c r="J120" s="182"/>
      <c r="K120" s="98"/>
      <c r="L120" s="178">
        <v>15</v>
      </c>
      <c r="M120" s="179">
        <v>271</v>
      </c>
      <c r="N120" s="91" t="str">
        <f t="shared" si="5"/>
        <v>0x0F</v>
      </c>
      <c r="O120" s="180"/>
      <c r="P120" s="180"/>
      <c r="Q120" s="180"/>
      <c r="R120" s="180"/>
      <c r="S120" s="183" t="s">
        <v>313</v>
      </c>
      <c r="T120" s="184"/>
      <c r="U120" s="177" t="s">
        <v>312</v>
      </c>
    </row>
    <row r="121" spans="1:21" ht="16.5" customHeight="1" thickTop="1" x14ac:dyDescent="0.3">
      <c r="A121" s="171" t="s">
        <v>314</v>
      </c>
      <c r="B121" s="185">
        <v>16</v>
      </c>
      <c r="C121" s="186">
        <v>272</v>
      </c>
      <c r="D121" s="63" t="str">
        <f t="shared" si="4"/>
        <v>0x10</v>
      </c>
      <c r="E121" s="160"/>
      <c r="F121" s="161"/>
      <c r="G121" s="160"/>
      <c r="H121" s="161"/>
      <c r="I121" s="162" t="s">
        <v>315</v>
      </c>
      <c r="J121" s="164"/>
      <c r="K121" s="102">
        <v>2</v>
      </c>
      <c r="L121" s="185">
        <v>16</v>
      </c>
      <c r="M121" s="186">
        <v>272</v>
      </c>
      <c r="N121" s="63" t="str">
        <f t="shared" si="5"/>
        <v>0x10</v>
      </c>
      <c r="O121" s="160"/>
      <c r="P121" s="160"/>
      <c r="Q121" s="160"/>
      <c r="R121" s="160"/>
      <c r="S121" s="162"/>
      <c r="T121" s="164"/>
      <c r="U121" s="165"/>
    </row>
    <row r="122" spans="1:21" ht="16.5" customHeight="1" x14ac:dyDescent="0.3">
      <c r="A122" s="157"/>
      <c r="B122" s="166">
        <v>17</v>
      </c>
      <c r="C122" s="167">
        <v>273</v>
      </c>
      <c r="D122" s="72" t="str">
        <f t="shared" si="4"/>
        <v>0x11</v>
      </c>
      <c r="E122" s="168"/>
      <c r="F122" s="169"/>
      <c r="G122" s="168"/>
      <c r="H122" s="169"/>
      <c r="I122" s="80"/>
      <c r="J122" s="170"/>
      <c r="K122" s="60"/>
      <c r="L122" s="166">
        <v>17</v>
      </c>
      <c r="M122" s="167">
        <v>273</v>
      </c>
      <c r="N122" s="72" t="str">
        <f t="shared" si="5"/>
        <v>0x11</v>
      </c>
      <c r="O122" s="168"/>
      <c r="P122" s="168"/>
      <c r="Q122" s="168"/>
      <c r="R122" s="168"/>
      <c r="S122" s="187"/>
      <c r="T122" s="170"/>
      <c r="U122" s="165"/>
    </row>
    <row r="123" spans="1:21" ht="16.5" customHeight="1" x14ac:dyDescent="0.3">
      <c r="A123" s="157"/>
      <c r="B123" s="166">
        <v>18</v>
      </c>
      <c r="C123" s="167">
        <v>274</v>
      </c>
      <c r="D123" s="72" t="str">
        <f t="shared" si="4"/>
        <v>0x12</v>
      </c>
      <c r="E123" s="168"/>
      <c r="F123" s="169"/>
      <c r="G123" s="168"/>
      <c r="H123" s="169"/>
      <c r="I123" s="80"/>
      <c r="J123" s="170"/>
      <c r="K123" s="60"/>
      <c r="L123" s="166">
        <v>18</v>
      </c>
      <c r="M123" s="167">
        <v>274</v>
      </c>
      <c r="N123" s="72" t="str">
        <f t="shared" si="5"/>
        <v>0x12</v>
      </c>
      <c r="O123" s="168"/>
      <c r="P123" s="168"/>
      <c r="Q123" s="168"/>
      <c r="R123" s="168"/>
      <c r="S123" s="187"/>
      <c r="T123" s="170"/>
      <c r="U123" s="165"/>
    </row>
    <row r="124" spans="1:21" ht="16.5" customHeight="1" x14ac:dyDescent="0.3">
      <c r="A124" s="157"/>
      <c r="B124" s="166">
        <v>19</v>
      </c>
      <c r="C124" s="167">
        <v>275</v>
      </c>
      <c r="D124" s="72" t="str">
        <f t="shared" si="4"/>
        <v>0x13</v>
      </c>
      <c r="E124" s="168"/>
      <c r="F124" s="169"/>
      <c r="G124" s="168"/>
      <c r="H124" s="169"/>
      <c r="I124" s="80"/>
      <c r="J124" s="170"/>
      <c r="K124" s="60"/>
      <c r="L124" s="166">
        <v>19</v>
      </c>
      <c r="M124" s="167">
        <v>275</v>
      </c>
      <c r="N124" s="72" t="str">
        <f t="shared" si="5"/>
        <v>0x13</v>
      </c>
      <c r="O124" s="168"/>
      <c r="P124" s="168"/>
      <c r="Q124" s="168"/>
      <c r="R124" s="168"/>
      <c r="S124" s="187"/>
      <c r="T124" s="170"/>
      <c r="U124" s="165"/>
    </row>
    <row r="125" spans="1:21" ht="16.5" customHeight="1" x14ac:dyDescent="0.3">
      <c r="A125" s="157"/>
      <c r="B125" s="166">
        <v>20</v>
      </c>
      <c r="C125" s="167">
        <v>276</v>
      </c>
      <c r="D125" s="72" t="str">
        <f t="shared" si="4"/>
        <v>0x14</v>
      </c>
      <c r="E125" s="168"/>
      <c r="F125" s="169"/>
      <c r="G125" s="168"/>
      <c r="H125" s="169"/>
      <c r="I125" s="80"/>
      <c r="J125" s="170"/>
      <c r="K125" s="60"/>
      <c r="L125" s="166">
        <v>20</v>
      </c>
      <c r="M125" s="167">
        <v>276</v>
      </c>
      <c r="N125" s="72" t="str">
        <f t="shared" si="5"/>
        <v>0x14</v>
      </c>
      <c r="O125" s="168"/>
      <c r="P125" s="168"/>
      <c r="Q125" s="168"/>
      <c r="R125" s="168"/>
      <c r="S125" s="80" t="s">
        <v>316</v>
      </c>
      <c r="T125" s="170"/>
      <c r="U125" s="89" t="s">
        <v>317</v>
      </c>
    </row>
    <row r="126" spans="1:21" ht="16.5" customHeight="1" x14ac:dyDescent="0.3">
      <c r="A126" s="171" t="s">
        <v>318</v>
      </c>
      <c r="B126" s="166">
        <v>21</v>
      </c>
      <c r="C126" s="167">
        <v>277</v>
      </c>
      <c r="D126" s="72" t="str">
        <f t="shared" si="4"/>
        <v>0x15</v>
      </c>
      <c r="E126" s="168"/>
      <c r="F126" s="169"/>
      <c r="G126" s="168"/>
      <c r="H126" s="169"/>
      <c r="I126" s="80" t="s">
        <v>319</v>
      </c>
      <c r="J126" s="188"/>
      <c r="K126" s="60"/>
      <c r="L126" s="166">
        <v>21</v>
      </c>
      <c r="M126" s="167">
        <v>277</v>
      </c>
      <c r="N126" s="72" t="str">
        <f t="shared" si="5"/>
        <v>0x15</v>
      </c>
      <c r="O126" s="168"/>
      <c r="P126" s="168"/>
      <c r="Q126" s="168"/>
      <c r="R126" s="168"/>
      <c r="S126" s="187" t="s">
        <v>320</v>
      </c>
      <c r="T126" s="170"/>
      <c r="U126" s="89" t="s">
        <v>317</v>
      </c>
    </row>
    <row r="127" spans="1:21" ht="16.5" customHeight="1" x14ac:dyDescent="0.3">
      <c r="A127" s="171" t="s">
        <v>321</v>
      </c>
      <c r="B127" s="166">
        <v>22</v>
      </c>
      <c r="C127" s="167">
        <v>278</v>
      </c>
      <c r="D127" s="72" t="str">
        <f t="shared" si="4"/>
        <v>0x16</v>
      </c>
      <c r="E127" s="168"/>
      <c r="F127" s="169"/>
      <c r="G127" s="168"/>
      <c r="H127" s="169"/>
      <c r="I127" s="80" t="s">
        <v>322</v>
      </c>
      <c r="J127" s="188"/>
      <c r="K127" s="60"/>
      <c r="L127" s="166">
        <v>22</v>
      </c>
      <c r="M127" s="167">
        <v>278</v>
      </c>
      <c r="N127" s="72" t="str">
        <f t="shared" si="5"/>
        <v>0x16</v>
      </c>
      <c r="O127" s="168"/>
      <c r="P127" s="168"/>
      <c r="Q127" s="168"/>
      <c r="R127" s="168"/>
      <c r="S127" s="80" t="s">
        <v>323</v>
      </c>
      <c r="T127" s="170"/>
      <c r="U127" s="89" t="s">
        <v>317</v>
      </c>
    </row>
    <row r="128" spans="1:21" ht="16.5" customHeight="1" x14ac:dyDescent="0.3">
      <c r="A128" s="171" t="s">
        <v>321</v>
      </c>
      <c r="B128" s="166">
        <v>23</v>
      </c>
      <c r="C128" s="167">
        <v>279</v>
      </c>
      <c r="D128" s="72" t="str">
        <f t="shared" si="4"/>
        <v>0x17</v>
      </c>
      <c r="E128" s="168"/>
      <c r="F128" s="169"/>
      <c r="G128" s="168"/>
      <c r="H128" s="169"/>
      <c r="I128" s="80" t="s">
        <v>324</v>
      </c>
      <c r="J128" s="188"/>
      <c r="K128" s="60"/>
      <c r="L128" s="166">
        <v>23</v>
      </c>
      <c r="M128" s="167">
        <v>279</v>
      </c>
      <c r="N128" s="72" t="str">
        <f t="shared" si="5"/>
        <v>0x17</v>
      </c>
      <c r="O128" s="168"/>
      <c r="P128" s="168"/>
      <c r="Q128" s="168"/>
      <c r="R128" s="168"/>
      <c r="S128" s="80" t="s">
        <v>325</v>
      </c>
      <c r="T128" s="170"/>
      <c r="U128" s="89" t="s">
        <v>317</v>
      </c>
    </row>
    <row r="129" spans="1:21" ht="16.5" customHeight="1" x14ac:dyDescent="0.3">
      <c r="A129" s="157"/>
      <c r="B129" s="166">
        <v>24</v>
      </c>
      <c r="C129" s="167">
        <v>280</v>
      </c>
      <c r="D129" s="72" t="str">
        <f t="shared" si="4"/>
        <v>0x18</v>
      </c>
      <c r="E129" s="168"/>
      <c r="F129" s="169"/>
      <c r="G129" s="168"/>
      <c r="H129" s="169"/>
      <c r="I129" s="80" t="s">
        <v>326</v>
      </c>
      <c r="J129" s="188"/>
      <c r="K129" s="60"/>
      <c r="L129" s="166">
        <v>24</v>
      </c>
      <c r="M129" s="167">
        <v>280</v>
      </c>
      <c r="N129" s="72" t="str">
        <f t="shared" si="5"/>
        <v>0x18</v>
      </c>
      <c r="O129" s="168"/>
      <c r="P129" s="168"/>
      <c r="Q129" s="168"/>
      <c r="R129" s="168"/>
      <c r="S129" s="80"/>
      <c r="T129" s="170"/>
      <c r="U129" s="165"/>
    </row>
    <row r="130" spans="1:21" ht="16.5" customHeight="1" x14ac:dyDescent="0.3">
      <c r="A130" s="157"/>
      <c r="B130" s="166">
        <v>25</v>
      </c>
      <c r="C130" s="167">
        <v>281</v>
      </c>
      <c r="D130" s="72" t="str">
        <f t="shared" si="4"/>
        <v>0x19</v>
      </c>
      <c r="E130" s="168"/>
      <c r="F130" s="169"/>
      <c r="G130" s="168"/>
      <c r="H130" s="169"/>
      <c r="J130" s="80"/>
      <c r="K130" s="60"/>
      <c r="L130" s="166">
        <v>25</v>
      </c>
      <c r="M130" s="167">
        <v>281</v>
      </c>
      <c r="N130" s="72" t="str">
        <f t="shared" si="5"/>
        <v>0x19</v>
      </c>
      <c r="O130" s="168"/>
      <c r="P130" s="168"/>
      <c r="Q130" s="168"/>
      <c r="R130" s="168"/>
      <c r="S130" s="80"/>
      <c r="T130" s="170"/>
      <c r="U130" s="165"/>
    </row>
    <row r="131" spans="1:21" ht="16.5" customHeight="1" x14ac:dyDescent="0.3">
      <c r="A131" s="157"/>
      <c r="B131" s="166">
        <v>26</v>
      </c>
      <c r="C131" s="167">
        <v>282</v>
      </c>
      <c r="D131" s="72" t="str">
        <f t="shared" si="4"/>
        <v>0x1A</v>
      </c>
      <c r="E131" s="168"/>
      <c r="F131" s="169"/>
      <c r="G131" s="168"/>
      <c r="H131" s="169"/>
      <c r="I131" s="80"/>
      <c r="J131" s="170"/>
      <c r="K131" s="60"/>
      <c r="L131" s="166">
        <v>26</v>
      </c>
      <c r="M131" s="167">
        <v>282</v>
      </c>
      <c r="N131" s="72" t="str">
        <f t="shared" si="5"/>
        <v>0x1A</v>
      </c>
      <c r="O131" s="168"/>
      <c r="P131" s="168"/>
      <c r="Q131" s="168"/>
      <c r="R131" s="168"/>
      <c r="S131" s="189" t="s">
        <v>327</v>
      </c>
      <c r="T131" s="170"/>
      <c r="U131" s="165"/>
    </row>
    <row r="132" spans="1:21" ht="16.5" customHeight="1" x14ac:dyDescent="0.3">
      <c r="A132" s="157"/>
      <c r="B132" s="166">
        <v>27</v>
      </c>
      <c r="C132" s="167">
        <v>283</v>
      </c>
      <c r="D132" s="72" t="str">
        <f t="shared" si="4"/>
        <v>0x1B</v>
      </c>
      <c r="E132" s="168"/>
      <c r="F132" s="169"/>
      <c r="G132" s="168"/>
      <c r="H132" s="169"/>
      <c r="I132" s="80"/>
      <c r="J132" s="170"/>
      <c r="K132" s="60"/>
      <c r="L132" s="166">
        <v>27</v>
      </c>
      <c r="M132" s="167">
        <v>283</v>
      </c>
      <c r="N132" s="72" t="str">
        <f t="shared" si="5"/>
        <v>0x1B</v>
      </c>
      <c r="O132" s="168"/>
      <c r="P132" s="168"/>
      <c r="Q132" s="168"/>
      <c r="R132" s="168"/>
      <c r="S132" s="189" t="s">
        <v>328</v>
      </c>
      <c r="T132" s="170"/>
      <c r="U132" s="165"/>
    </row>
    <row r="133" spans="1:21" ht="16.5" customHeight="1" x14ac:dyDescent="0.3">
      <c r="A133" s="157"/>
      <c r="B133" s="166">
        <v>28</v>
      </c>
      <c r="C133" s="167">
        <v>284</v>
      </c>
      <c r="D133" s="72" t="str">
        <f t="shared" si="4"/>
        <v>0x1C</v>
      </c>
      <c r="E133" s="168"/>
      <c r="F133" s="169"/>
      <c r="G133" s="168"/>
      <c r="H133" s="169"/>
      <c r="I133" s="80"/>
      <c r="J133" s="170"/>
      <c r="K133" s="60"/>
      <c r="L133" s="166">
        <v>28</v>
      </c>
      <c r="M133" s="167">
        <v>284</v>
      </c>
      <c r="N133" s="72" t="str">
        <f t="shared" si="5"/>
        <v>0x1C</v>
      </c>
      <c r="O133" s="168"/>
      <c r="P133" s="168"/>
      <c r="Q133" s="168"/>
      <c r="R133" s="168"/>
      <c r="S133" s="189" t="s">
        <v>329</v>
      </c>
      <c r="T133" s="170"/>
      <c r="U133" s="165"/>
    </row>
    <row r="134" spans="1:21" ht="16.5" customHeight="1" x14ac:dyDescent="0.3">
      <c r="A134" s="157"/>
      <c r="B134" s="166">
        <v>29</v>
      </c>
      <c r="C134" s="167">
        <v>285</v>
      </c>
      <c r="D134" s="72" t="str">
        <f t="shared" si="4"/>
        <v>0x1D</v>
      </c>
      <c r="E134" s="168"/>
      <c r="F134" s="169"/>
      <c r="G134" s="168"/>
      <c r="H134" s="169"/>
      <c r="I134" s="80"/>
      <c r="J134" s="170"/>
      <c r="K134" s="60"/>
      <c r="L134" s="166">
        <v>29</v>
      </c>
      <c r="M134" s="167">
        <v>285</v>
      </c>
      <c r="N134" s="72" t="str">
        <f t="shared" si="5"/>
        <v>0x1D</v>
      </c>
      <c r="O134" s="168"/>
      <c r="P134" s="168"/>
      <c r="Q134" s="168"/>
      <c r="R134" s="168"/>
      <c r="S134" s="80"/>
      <c r="T134" s="170"/>
      <c r="U134" s="165"/>
    </row>
    <row r="135" spans="1:21" ht="16.5" customHeight="1" x14ac:dyDescent="0.3">
      <c r="A135" s="157"/>
      <c r="B135" s="166">
        <v>30</v>
      </c>
      <c r="C135" s="167">
        <v>286</v>
      </c>
      <c r="D135" s="72" t="str">
        <f t="shared" si="4"/>
        <v>0x1E</v>
      </c>
      <c r="E135" s="168"/>
      <c r="F135" s="169"/>
      <c r="G135" s="168"/>
      <c r="H135" s="169"/>
      <c r="I135" s="80"/>
      <c r="J135" s="170"/>
      <c r="K135" s="60"/>
      <c r="L135" s="166">
        <v>30</v>
      </c>
      <c r="M135" s="167">
        <v>286</v>
      </c>
      <c r="N135" s="72" t="str">
        <f t="shared" si="5"/>
        <v>0x1E</v>
      </c>
      <c r="O135" s="168"/>
      <c r="P135" s="168"/>
      <c r="Q135" s="168"/>
      <c r="R135" s="168"/>
      <c r="S135" s="80"/>
      <c r="T135" s="176"/>
      <c r="U135" s="165"/>
    </row>
    <row r="136" spans="1:21" ht="16.5" customHeight="1" thickBot="1" x14ac:dyDescent="0.35">
      <c r="A136" s="157"/>
      <c r="B136" s="178">
        <v>31</v>
      </c>
      <c r="C136" s="179">
        <v>287</v>
      </c>
      <c r="D136" s="91" t="str">
        <f t="shared" si="4"/>
        <v>0x1F</v>
      </c>
      <c r="E136" s="180"/>
      <c r="F136" s="181"/>
      <c r="G136" s="180"/>
      <c r="H136" s="181"/>
      <c r="I136" s="122"/>
      <c r="J136" s="190"/>
      <c r="K136" s="98"/>
      <c r="L136" s="178">
        <v>31</v>
      </c>
      <c r="M136" s="179">
        <v>287</v>
      </c>
      <c r="N136" s="91" t="str">
        <f t="shared" si="5"/>
        <v>0x1F</v>
      </c>
      <c r="O136" s="180"/>
      <c r="P136" s="180"/>
      <c r="Q136" s="180"/>
      <c r="R136" s="180"/>
      <c r="S136" s="122"/>
      <c r="T136" s="184"/>
      <c r="U136" s="165"/>
    </row>
    <row r="137" spans="1:21" ht="16.5" customHeight="1" thickTop="1" x14ac:dyDescent="0.3">
      <c r="A137" s="191" t="s">
        <v>330</v>
      </c>
      <c r="B137" s="185">
        <v>32</v>
      </c>
      <c r="C137" s="186">
        <v>288</v>
      </c>
      <c r="D137" s="72" t="str">
        <f t="shared" si="4"/>
        <v>0x20</v>
      </c>
      <c r="E137" s="160"/>
      <c r="F137" s="161"/>
      <c r="G137" s="160"/>
      <c r="H137" s="161"/>
      <c r="I137" s="162" t="s">
        <v>331</v>
      </c>
      <c r="J137" s="164"/>
      <c r="K137" s="102">
        <v>3</v>
      </c>
      <c r="L137" s="185">
        <v>32</v>
      </c>
      <c r="M137" s="186">
        <v>288</v>
      </c>
      <c r="N137" s="72" t="str">
        <f t="shared" si="5"/>
        <v>0x20</v>
      </c>
      <c r="O137" s="160"/>
      <c r="P137" s="160"/>
      <c r="Q137" s="160"/>
      <c r="R137" s="160"/>
      <c r="S137" s="162" t="s">
        <v>332</v>
      </c>
      <c r="T137" s="164"/>
      <c r="U137" s="192" t="s">
        <v>333</v>
      </c>
    </row>
    <row r="138" spans="1:21" ht="16.5" customHeight="1" x14ac:dyDescent="0.3">
      <c r="A138" s="193"/>
      <c r="B138" s="166">
        <v>33</v>
      </c>
      <c r="C138" s="167">
        <v>289</v>
      </c>
      <c r="D138" s="72" t="str">
        <f t="shared" si="4"/>
        <v>0x21</v>
      </c>
      <c r="E138" s="168"/>
      <c r="F138" s="169"/>
      <c r="G138" s="168"/>
      <c r="H138" s="169"/>
      <c r="I138" s="80" t="s">
        <v>334</v>
      </c>
      <c r="J138" s="170"/>
      <c r="K138" s="60"/>
      <c r="L138" s="166">
        <v>33</v>
      </c>
      <c r="M138" s="167">
        <v>289</v>
      </c>
      <c r="N138" s="72" t="str">
        <f t="shared" si="5"/>
        <v>0x21</v>
      </c>
      <c r="O138" s="168"/>
      <c r="P138" s="168"/>
      <c r="Q138" s="168"/>
      <c r="R138" s="168"/>
      <c r="S138" s="80" t="s">
        <v>335</v>
      </c>
      <c r="T138" s="170"/>
      <c r="U138" s="192" t="s">
        <v>336</v>
      </c>
    </row>
    <row r="139" spans="1:21" ht="16.5" customHeight="1" x14ac:dyDescent="0.3">
      <c r="A139" s="193"/>
      <c r="B139" s="166">
        <v>34</v>
      </c>
      <c r="C139" s="167">
        <v>290</v>
      </c>
      <c r="D139" s="72" t="str">
        <f t="shared" si="4"/>
        <v>0x22</v>
      </c>
      <c r="E139" s="168"/>
      <c r="F139" s="169"/>
      <c r="G139" s="168"/>
      <c r="H139" s="169"/>
      <c r="I139" s="80" t="s">
        <v>337</v>
      </c>
      <c r="J139" s="170"/>
      <c r="K139" s="60"/>
      <c r="L139" s="166">
        <v>34</v>
      </c>
      <c r="M139" s="167">
        <v>290</v>
      </c>
      <c r="N139" s="72" t="str">
        <f t="shared" si="5"/>
        <v>0x22</v>
      </c>
      <c r="O139" s="168"/>
      <c r="P139" s="168"/>
      <c r="Q139" s="168"/>
      <c r="R139" s="168"/>
      <c r="S139" s="80" t="s">
        <v>338</v>
      </c>
      <c r="T139" s="170"/>
      <c r="U139" s="165" t="s">
        <v>339</v>
      </c>
    </row>
    <row r="140" spans="1:21" ht="16.5" customHeight="1" x14ac:dyDescent="0.3">
      <c r="A140" s="194"/>
      <c r="B140" s="166">
        <v>35</v>
      </c>
      <c r="C140" s="167">
        <v>291</v>
      </c>
      <c r="D140" s="72" t="str">
        <f t="shared" si="4"/>
        <v>0x23</v>
      </c>
      <c r="E140" s="168"/>
      <c r="F140" s="169"/>
      <c r="G140" s="168"/>
      <c r="H140" s="169"/>
      <c r="I140" s="80" t="s">
        <v>340</v>
      </c>
      <c r="J140" s="170"/>
      <c r="K140" s="60"/>
      <c r="L140" s="166">
        <v>35</v>
      </c>
      <c r="M140" s="167">
        <v>291</v>
      </c>
      <c r="N140" s="72" t="str">
        <f t="shared" si="5"/>
        <v>0x23</v>
      </c>
      <c r="O140" s="168"/>
      <c r="P140" s="168"/>
      <c r="Q140" s="168"/>
      <c r="R140" s="168"/>
      <c r="S140" s="80" t="s">
        <v>341</v>
      </c>
      <c r="T140" s="170"/>
      <c r="U140" s="165" t="s">
        <v>342</v>
      </c>
    </row>
    <row r="141" spans="1:21" ht="16.5" customHeight="1" x14ac:dyDescent="0.3">
      <c r="A141" s="157"/>
      <c r="B141" s="166">
        <v>36</v>
      </c>
      <c r="C141" s="167">
        <v>292</v>
      </c>
      <c r="D141" s="72" t="str">
        <f t="shared" si="4"/>
        <v>0x24</v>
      </c>
      <c r="E141" s="168"/>
      <c r="F141" s="169"/>
      <c r="G141" s="168"/>
      <c r="H141" s="169"/>
      <c r="I141" s="80"/>
      <c r="J141" s="170"/>
      <c r="K141" s="60"/>
      <c r="L141" s="166">
        <v>36</v>
      </c>
      <c r="M141" s="167">
        <v>292</v>
      </c>
      <c r="N141" s="72" t="str">
        <f t="shared" si="5"/>
        <v>0x24</v>
      </c>
      <c r="O141" s="168"/>
      <c r="P141" s="168"/>
      <c r="Q141" s="168"/>
      <c r="R141" s="168"/>
      <c r="S141" s="80"/>
      <c r="T141" s="170"/>
      <c r="U141" s="165"/>
    </row>
    <row r="142" spans="1:21" ht="16.5" customHeight="1" x14ac:dyDescent="0.3">
      <c r="A142" s="157"/>
      <c r="B142" s="166">
        <v>37</v>
      </c>
      <c r="C142" s="167">
        <v>293</v>
      </c>
      <c r="D142" s="72" t="str">
        <f t="shared" si="4"/>
        <v>0x25</v>
      </c>
      <c r="E142" s="168"/>
      <c r="F142" s="169"/>
      <c r="G142" s="168"/>
      <c r="H142" s="169"/>
      <c r="I142" s="80"/>
      <c r="J142" s="170"/>
      <c r="K142" s="60"/>
      <c r="L142" s="166">
        <v>37</v>
      </c>
      <c r="M142" s="167">
        <v>293</v>
      </c>
      <c r="N142" s="72" t="str">
        <f t="shared" si="5"/>
        <v>0x25</v>
      </c>
      <c r="O142" s="168"/>
      <c r="P142" s="168"/>
      <c r="Q142" s="168"/>
      <c r="R142" s="168"/>
      <c r="S142" s="80"/>
      <c r="T142" s="170"/>
      <c r="U142" s="165"/>
    </row>
    <row r="143" spans="1:21" ht="16.5" customHeight="1" x14ac:dyDescent="0.3">
      <c r="A143" s="171" t="s">
        <v>343</v>
      </c>
      <c r="B143" s="166">
        <v>38</v>
      </c>
      <c r="C143" s="167">
        <v>294</v>
      </c>
      <c r="D143" s="72" t="str">
        <f t="shared" si="4"/>
        <v>0x26</v>
      </c>
      <c r="E143" s="168"/>
      <c r="F143" s="169"/>
      <c r="G143" s="168"/>
      <c r="H143" s="169"/>
      <c r="I143" s="80" t="s">
        <v>344</v>
      </c>
      <c r="J143" s="170"/>
      <c r="K143" s="60"/>
      <c r="L143" s="166">
        <v>38</v>
      </c>
      <c r="M143" s="167">
        <v>294</v>
      </c>
      <c r="N143" s="72" t="str">
        <f t="shared" si="5"/>
        <v>0x26</v>
      </c>
      <c r="O143" s="168"/>
      <c r="P143" s="168"/>
      <c r="Q143" s="168"/>
      <c r="R143" s="168"/>
      <c r="S143" s="80" t="s">
        <v>345</v>
      </c>
      <c r="T143" s="170"/>
      <c r="U143" s="177" t="s">
        <v>346</v>
      </c>
    </row>
    <row r="144" spans="1:21" ht="16.5" customHeight="1" x14ac:dyDescent="0.3">
      <c r="A144" s="171" t="s">
        <v>343</v>
      </c>
      <c r="B144" s="166">
        <v>39</v>
      </c>
      <c r="C144" s="167">
        <v>295</v>
      </c>
      <c r="D144" s="72" t="str">
        <f t="shared" si="4"/>
        <v>0x27</v>
      </c>
      <c r="E144" s="168"/>
      <c r="F144" s="169"/>
      <c r="G144" s="168"/>
      <c r="H144" s="169"/>
      <c r="I144" s="80" t="s">
        <v>347</v>
      </c>
      <c r="J144" s="170"/>
      <c r="K144" s="60"/>
      <c r="L144" s="166">
        <v>39</v>
      </c>
      <c r="M144" s="167">
        <v>295</v>
      </c>
      <c r="N144" s="72" t="str">
        <f t="shared" si="5"/>
        <v>0x27</v>
      </c>
      <c r="O144" s="168"/>
      <c r="P144" s="168"/>
      <c r="Q144" s="168"/>
      <c r="R144" s="168"/>
      <c r="S144" s="80" t="s">
        <v>348</v>
      </c>
      <c r="T144" s="170"/>
      <c r="U144" s="177" t="s">
        <v>346</v>
      </c>
    </row>
    <row r="145" spans="1:21" ht="16.5" customHeight="1" x14ac:dyDescent="0.3">
      <c r="A145" s="157"/>
      <c r="B145" s="166">
        <v>40</v>
      </c>
      <c r="C145" s="167">
        <v>296</v>
      </c>
      <c r="D145" s="72" t="str">
        <f t="shared" si="4"/>
        <v>0x28</v>
      </c>
      <c r="E145" s="168"/>
      <c r="F145" s="169"/>
      <c r="G145" s="168"/>
      <c r="H145" s="169"/>
      <c r="I145" s="189" t="s">
        <v>349</v>
      </c>
      <c r="J145" s="170"/>
      <c r="K145" s="60"/>
      <c r="L145" s="166">
        <v>40</v>
      </c>
      <c r="M145" s="167">
        <v>296</v>
      </c>
      <c r="N145" s="72" t="str">
        <f t="shared" si="5"/>
        <v>0x28</v>
      </c>
      <c r="O145" s="168"/>
      <c r="P145" s="168"/>
      <c r="Q145" s="168"/>
      <c r="R145" s="168"/>
      <c r="S145" s="195" t="s">
        <v>350</v>
      </c>
      <c r="T145" s="170"/>
      <c r="U145" s="165"/>
    </row>
    <row r="146" spans="1:21" ht="16.5" customHeight="1" x14ac:dyDescent="0.3">
      <c r="A146" s="157"/>
      <c r="B146" s="166">
        <v>41</v>
      </c>
      <c r="C146" s="167">
        <v>297</v>
      </c>
      <c r="D146" s="72" t="str">
        <f t="shared" si="4"/>
        <v>0x29</v>
      </c>
      <c r="E146" s="168"/>
      <c r="F146" s="169"/>
      <c r="G146" s="168"/>
      <c r="H146" s="169"/>
      <c r="I146" s="189" t="s">
        <v>351</v>
      </c>
      <c r="J146" s="170"/>
      <c r="K146" s="60"/>
      <c r="L146" s="166">
        <v>41</v>
      </c>
      <c r="M146" s="167">
        <v>297</v>
      </c>
      <c r="N146" s="72" t="str">
        <f t="shared" si="5"/>
        <v>0x29</v>
      </c>
      <c r="O146" s="168"/>
      <c r="P146" s="168"/>
      <c r="Q146" s="168"/>
      <c r="R146" s="168"/>
      <c r="S146" s="195" t="s">
        <v>352</v>
      </c>
      <c r="T146" s="170"/>
      <c r="U146" s="165"/>
    </row>
    <row r="147" spans="1:21" ht="16.5" customHeight="1" x14ac:dyDescent="0.3">
      <c r="A147" s="157"/>
      <c r="B147" s="166">
        <v>42</v>
      </c>
      <c r="C147" s="167">
        <v>298</v>
      </c>
      <c r="D147" s="72" t="str">
        <f t="shared" si="4"/>
        <v>0x2A</v>
      </c>
      <c r="E147" s="168"/>
      <c r="F147" s="169"/>
      <c r="G147" s="168"/>
      <c r="H147" s="169"/>
      <c r="I147" s="80"/>
      <c r="J147" s="170"/>
      <c r="K147" s="60"/>
      <c r="L147" s="166">
        <v>42</v>
      </c>
      <c r="M147" s="167">
        <v>298</v>
      </c>
      <c r="N147" s="72" t="str">
        <f t="shared" si="5"/>
        <v>0x2A</v>
      </c>
      <c r="O147" s="168"/>
      <c r="P147" s="168"/>
      <c r="Q147" s="168"/>
      <c r="R147" s="168"/>
      <c r="S147" s="195" t="s">
        <v>353</v>
      </c>
      <c r="T147" s="170"/>
      <c r="U147" s="165"/>
    </row>
    <row r="148" spans="1:21" ht="16.5" customHeight="1" x14ac:dyDescent="0.3">
      <c r="A148" s="171" t="s">
        <v>354</v>
      </c>
      <c r="B148" s="166">
        <v>43</v>
      </c>
      <c r="C148" s="167">
        <v>299</v>
      </c>
      <c r="D148" s="72" t="str">
        <f t="shared" si="4"/>
        <v>0x2B</v>
      </c>
      <c r="E148" s="168"/>
      <c r="F148" s="169"/>
      <c r="G148" s="168"/>
      <c r="H148" s="169"/>
      <c r="I148" s="80" t="s">
        <v>355</v>
      </c>
      <c r="J148" s="170"/>
      <c r="K148" s="60"/>
      <c r="L148" s="166">
        <v>43</v>
      </c>
      <c r="M148" s="167">
        <v>299</v>
      </c>
      <c r="N148" s="72" t="str">
        <f t="shared" si="5"/>
        <v>0x2B</v>
      </c>
      <c r="O148" s="168"/>
      <c r="P148" s="168"/>
      <c r="Q148" s="168"/>
      <c r="R148" s="168"/>
      <c r="S148" s="80" t="s">
        <v>356</v>
      </c>
      <c r="T148" s="170"/>
      <c r="U148" s="196" t="s">
        <v>357</v>
      </c>
    </row>
    <row r="149" spans="1:21" ht="16.5" customHeight="1" x14ac:dyDescent="0.3">
      <c r="A149" s="171" t="s">
        <v>358</v>
      </c>
      <c r="B149" s="166">
        <v>44</v>
      </c>
      <c r="C149" s="167">
        <v>300</v>
      </c>
      <c r="D149" s="72" t="str">
        <f t="shared" si="4"/>
        <v>0x2C</v>
      </c>
      <c r="E149" s="168"/>
      <c r="F149" s="169"/>
      <c r="G149" s="168"/>
      <c r="H149" s="169"/>
      <c r="I149" s="80" t="s">
        <v>359</v>
      </c>
      <c r="J149" s="170"/>
      <c r="K149" s="60"/>
      <c r="L149" s="166">
        <v>44</v>
      </c>
      <c r="M149" s="167">
        <v>300</v>
      </c>
      <c r="N149" s="72" t="str">
        <f t="shared" si="5"/>
        <v>0x2C</v>
      </c>
      <c r="O149" s="168"/>
      <c r="P149" s="168"/>
      <c r="Q149" s="168"/>
      <c r="R149" s="168"/>
      <c r="S149" s="80" t="s">
        <v>360</v>
      </c>
      <c r="T149" s="170"/>
      <c r="U149" s="196" t="s">
        <v>361</v>
      </c>
    </row>
    <row r="150" spans="1:21" ht="16.5" customHeight="1" x14ac:dyDescent="0.3">
      <c r="A150" s="171" t="s">
        <v>362</v>
      </c>
      <c r="B150" s="166">
        <v>45</v>
      </c>
      <c r="C150" s="167">
        <v>301</v>
      </c>
      <c r="D150" s="72" t="str">
        <f t="shared" si="4"/>
        <v>0x2D</v>
      </c>
      <c r="E150" s="168"/>
      <c r="F150" s="169"/>
      <c r="G150" s="168"/>
      <c r="H150" s="169"/>
      <c r="I150" s="80" t="s">
        <v>363</v>
      </c>
      <c r="J150" s="170"/>
      <c r="K150" s="60"/>
      <c r="L150" s="166">
        <v>45</v>
      </c>
      <c r="M150" s="167">
        <v>301</v>
      </c>
      <c r="N150" s="72" t="str">
        <f t="shared" si="5"/>
        <v>0x2D</v>
      </c>
      <c r="O150" s="168"/>
      <c r="P150" s="168"/>
      <c r="Q150" s="168"/>
      <c r="R150" s="168"/>
      <c r="S150" s="80" t="s">
        <v>364</v>
      </c>
      <c r="T150" s="170"/>
      <c r="U150" s="196" t="s">
        <v>365</v>
      </c>
    </row>
    <row r="151" spans="1:21" ht="16.5" customHeight="1" x14ac:dyDescent="0.3">
      <c r="A151" s="171" t="s">
        <v>366</v>
      </c>
      <c r="B151" s="166">
        <v>46</v>
      </c>
      <c r="C151" s="167">
        <v>302</v>
      </c>
      <c r="D151" s="72" t="str">
        <f t="shared" si="4"/>
        <v>0x2E</v>
      </c>
      <c r="E151" s="168"/>
      <c r="F151" s="169"/>
      <c r="G151" s="168"/>
      <c r="H151" s="169"/>
      <c r="I151" s="80" t="s">
        <v>367</v>
      </c>
      <c r="J151" s="170"/>
      <c r="K151" s="60"/>
      <c r="L151" s="166">
        <v>46</v>
      </c>
      <c r="M151" s="167">
        <v>302</v>
      </c>
      <c r="N151" s="72" t="str">
        <f t="shared" si="5"/>
        <v>0x2E</v>
      </c>
      <c r="O151" s="168"/>
      <c r="P151" s="168"/>
      <c r="Q151" s="168"/>
      <c r="R151" s="168"/>
      <c r="S151" s="80" t="s">
        <v>368</v>
      </c>
      <c r="T151" s="176"/>
      <c r="U151" s="196" t="s">
        <v>369</v>
      </c>
    </row>
    <row r="152" spans="1:21" ht="16.5" customHeight="1" thickBot="1" x14ac:dyDescent="0.35">
      <c r="A152" s="157"/>
      <c r="B152" s="178">
        <v>47</v>
      </c>
      <c r="C152" s="179">
        <v>303</v>
      </c>
      <c r="D152" s="91" t="str">
        <f t="shared" si="4"/>
        <v>0x2F</v>
      </c>
      <c r="E152" s="180"/>
      <c r="F152" s="181"/>
      <c r="G152" s="180"/>
      <c r="H152" s="181"/>
      <c r="I152" s="122"/>
      <c r="J152" s="190"/>
      <c r="K152" s="98"/>
      <c r="L152" s="178">
        <v>47</v>
      </c>
      <c r="M152" s="179">
        <v>303</v>
      </c>
      <c r="N152" s="91" t="str">
        <f t="shared" si="5"/>
        <v>0x2F</v>
      </c>
      <c r="O152" s="180"/>
      <c r="P152" s="180"/>
      <c r="Q152" s="180"/>
      <c r="R152" s="180"/>
      <c r="S152" s="122"/>
      <c r="T152" s="184"/>
      <c r="U152" s="165"/>
    </row>
    <row r="153" spans="1:21" ht="16.5" customHeight="1" thickTop="1" x14ac:dyDescent="0.3">
      <c r="A153" s="171" t="s">
        <v>370</v>
      </c>
      <c r="B153" s="185">
        <v>48</v>
      </c>
      <c r="C153" s="186">
        <v>304</v>
      </c>
      <c r="D153" s="72" t="str">
        <f t="shared" si="4"/>
        <v>0x30</v>
      </c>
      <c r="E153" s="160"/>
      <c r="F153" s="161"/>
      <c r="G153" s="160"/>
      <c r="H153" s="161"/>
      <c r="I153" s="162" t="s">
        <v>371</v>
      </c>
      <c r="J153" s="164"/>
      <c r="K153" s="102">
        <v>4</v>
      </c>
      <c r="L153" s="185">
        <v>48</v>
      </c>
      <c r="M153" s="186">
        <v>304</v>
      </c>
      <c r="N153" s="72" t="str">
        <f t="shared" si="5"/>
        <v>0x30</v>
      </c>
      <c r="O153" s="160"/>
      <c r="P153" s="160"/>
      <c r="Q153" s="160"/>
      <c r="R153" s="160"/>
      <c r="S153" s="162" t="s">
        <v>372</v>
      </c>
      <c r="T153" s="164"/>
      <c r="U153" s="177" t="s">
        <v>373</v>
      </c>
    </row>
    <row r="154" spans="1:21" ht="16.5" customHeight="1" x14ac:dyDescent="0.3">
      <c r="A154" s="157"/>
      <c r="B154" s="166">
        <v>49</v>
      </c>
      <c r="C154" s="167">
        <v>305</v>
      </c>
      <c r="D154" s="72" t="str">
        <f t="shared" si="4"/>
        <v>0x31</v>
      </c>
      <c r="E154" s="168"/>
      <c r="F154" s="169"/>
      <c r="G154" s="168"/>
      <c r="H154" s="169"/>
      <c r="I154" s="80"/>
      <c r="J154" s="170"/>
      <c r="K154" s="60"/>
      <c r="L154" s="166">
        <v>49</v>
      </c>
      <c r="M154" s="167">
        <v>305</v>
      </c>
      <c r="N154" s="72" t="str">
        <f t="shared" si="5"/>
        <v>0x31</v>
      </c>
      <c r="O154" s="168"/>
      <c r="P154" s="168"/>
      <c r="Q154" s="168"/>
      <c r="R154" s="168"/>
      <c r="S154" s="80" t="s">
        <v>374</v>
      </c>
      <c r="T154" s="170"/>
      <c r="U154" s="177" t="s">
        <v>375</v>
      </c>
    </row>
    <row r="155" spans="1:21" ht="16.5" customHeight="1" x14ac:dyDescent="0.3">
      <c r="A155" s="157"/>
      <c r="B155" s="166">
        <v>50</v>
      </c>
      <c r="C155" s="167">
        <v>306</v>
      </c>
      <c r="D155" s="72" t="str">
        <f t="shared" si="4"/>
        <v>0x32</v>
      </c>
      <c r="E155" s="168"/>
      <c r="F155" s="169"/>
      <c r="G155" s="168"/>
      <c r="H155" s="169"/>
      <c r="I155" s="80"/>
      <c r="J155" s="170"/>
      <c r="K155" s="60"/>
      <c r="L155" s="166">
        <v>50</v>
      </c>
      <c r="M155" s="167">
        <v>306</v>
      </c>
      <c r="N155" s="72" t="str">
        <f t="shared" si="5"/>
        <v>0x32</v>
      </c>
      <c r="O155" s="168"/>
      <c r="P155" s="168"/>
      <c r="Q155" s="168"/>
      <c r="R155" s="168"/>
      <c r="S155" s="80"/>
      <c r="T155" s="170"/>
      <c r="U155" s="165"/>
    </row>
    <row r="156" spans="1:21" ht="16.5" customHeight="1" x14ac:dyDescent="0.3">
      <c r="A156" s="157"/>
      <c r="B156" s="166">
        <v>51</v>
      </c>
      <c r="C156" s="167">
        <v>307</v>
      </c>
      <c r="D156" s="72" t="str">
        <f t="shared" si="4"/>
        <v>0x33</v>
      </c>
      <c r="E156" s="168"/>
      <c r="F156" s="169"/>
      <c r="G156" s="168"/>
      <c r="H156" s="169"/>
      <c r="I156" s="80"/>
      <c r="J156" s="170"/>
      <c r="K156" s="60"/>
      <c r="L156" s="166">
        <v>51</v>
      </c>
      <c r="M156" s="167">
        <v>307</v>
      </c>
      <c r="N156" s="72" t="str">
        <f t="shared" si="5"/>
        <v>0x33</v>
      </c>
      <c r="O156" s="168"/>
      <c r="P156" s="168"/>
      <c r="Q156" s="168"/>
      <c r="R156" s="168"/>
      <c r="S156" s="187" t="s">
        <v>376</v>
      </c>
      <c r="T156" s="170" t="s">
        <v>377</v>
      </c>
      <c r="U156" s="170" t="s">
        <v>377</v>
      </c>
    </row>
    <row r="157" spans="1:21" ht="16.5" customHeight="1" x14ac:dyDescent="0.3">
      <c r="A157" s="157"/>
      <c r="B157" s="166">
        <v>52</v>
      </c>
      <c r="C157" s="167">
        <v>308</v>
      </c>
      <c r="D157" s="72" t="str">
        <f t="shared" si="4"/>
        <v>0x34</v>
      </c>
      <c r="E157" s="168"/>
      <c r="F157" s="169"/>
      <c r="G157" s="168"/>
      <c r="H157" s="169"/>
      <c r="I157" s="80"/>
      <c r="J157" s="170"/>
      <c r="K157" s="60"/>
      <c r="L157" s="166">
        <v>52</v>
      </c>
      <c r="M157" s="167">
        <v>308</v>
      </c>
      <c r="N157" s="72" t="str">
        <f t="shared" si="5"/>
        <v>0x34</v>
      </c>
      <c r="O157" s="168"/>
      <c r="P157" s="168"/>
      <c r="Q157" s="168"/>
      <c r="R157" s="168"/>
      <c r="S157" s="187" t="s">
        <v>378</v>
      </c>
      <c r="T157" s="170" t="s">
        <v>377</v>
      </c>
      <c r="U157" s="177" t="s">
        <v>379</v>
      </c>
    </row>
    <row r="158" spans="1:21" ht="16.5" customHeight="1" x14ac:dyDescent="0.3">
      <c r="A158" s="157"/>
      <c r="B158" s="166">
        <v>53</v>
      </c>
      <c r="C158" s="167">
        <v>309</v>
      </c>
      <c r="D158" s="72" t="str">
        <f t="shared" si="4"/>
        <v>0x35</v>
      </c>
      <c r="E158" s="168"/>
      <c r="F158" s="169"/>
      <c r="G158" s="168"/>
      <c r="H158" s="169"/>
      <c r="I158" s="80"/>
      <c r="J158" s="170"/>
      <c r="K158" s="60"/>
      <c r="L158" s="166">
        <v>53</v>
      </c>
      <c r="M158" s="167">
        <v>309</v>
      </c>
      <c r="N158" s="72" t="str">
        <f t="shared" si="5"/>
        <v>0x35</v>
      </c>
      <c r="O158" s="168"/>
      <c r="P158" s="168"/>
      <c r="Q158" s="168"/>
      <c r="R158" s="168"/>
      <c r="S158" s="80"/>
      <c r="T158" s="170"/>
      <c r="U158" s="165"/>
    </row>
    <row r="159" spans="1:21" ht="16.5" customHeight="1" x14ac:dyDescent="0.3">
      <c r="A159" s="157"/>
      <c r="B159" s="166">
        <v>54</v>
      </c>
      <c r="C159" s="167">
        <v>310</v>
      </c>
      <c r="D159" s="72" t="str">
        <f t="shared" si="4"/>
        <v>0x36</v>
      </c>
      <c r="E159" s="168"/>
      <c r="F159" s="169"/>
      <c r="G159" s="168"/>
      <c r="H159" s="169"/>
      <c r="I159" s="80"/>
      <c r="J159" s="170"/>
      <c r="K159" s="60"/>
      <c r="L159" s="166">
        <v>54</v>
      </c>
      <c r="M159" s="167">
        <v>310</v>
      </c>
      <c r="N159" s="72" t="str">
        <f t="shared" si="5"/>
        <v>0x36</v>
      </c>
      <c r="O159" s="168"/>
      <c r="P159" s="168"/>
      <c r="Q159" s="168"/>
      <c r="R159" s="168"/>
      <c r="S159" s="80"/>
      <c r="T159" s="188"/>
      <c r="U159" s="165"/>
    </row>
    <row r="160" spans="1:21" ht="16.5" customHeight="1" x14ac:dyDescent="0.3">
      <c r="A160" s="157"/>
      <c r="B160" s="166">
        <v>55</v>
      </c>
      <c r="C160" s="167">
        <v>311</v>
      </c>
      <c r="D160" s="72" t="str">
        <f t="shared" si="4"/>
        <v>0x37</v>
      </c>
      <c r="E160" s="168"/>
      <c r="F160" s="169"/>
      <c r="G160" s="168"/>
      <c r="H160" s="169"/>
      <c r="I160" s="80"/>
      <c r="J160" s="170"/>
      <c r="K160" s="60"/>
      <c r="L160" s="166">
        <v>55</v>
      </c>
      <c r="M160" s="167">
        <v>311</v>
      </c>
      <c r="N160" s="72" t="str">
        <f t="shared" si="5"/>
        <v>0x37</v>
      </c>
      <c r="O160" s="168"/>
      <c r="P160" s="168"/>
      <c r="Q160" s="168"/>
      <c r="R160" s="168"/>
      <c r="S160" s="80"/>
      <c r="T160" s="188"/>
      <c r="U160" s="165"/>
    </row>
    <row r="161" spans="1:21" ht="16.5" customHeight="1" x14ac:dyDescent="0.3">
      <c r="A161" s="157"/>
      <c r="B161" s="166">
        <v>56</v>
      </c>
      <c r="C161" s="167">
        <v>312</v>
      </c>
      <c r="D161" s="72" t="str">
        <f t="shared" si="4"/>
        <v>0x38</v>
      </c>
      <c r="E161" s="168"/>
      <c r="F161" s="169"/>
      <c r="G161" s="168"/>
      <c r="H161" s="169"/>
      <c r="I161" s="187"/>
      <c r="J161" s="170"/>
      <c r="K161" s="60"/>
      <c r="L161" s="166">
        <v>56</v>
      </c>
      <c r="M161" s="167">
        <v>312</v>
      </c>
      <c r="N161" s="72" t="str">
        <f t="shared" si="5"/>
        <v>0x38</v>
      </c>
      <c r="O161" s="168"/>
      <c r="P161" s="168"/>
      <c r="Q161" s="168"/>
      <c r="R161" s="168"/>
      <c r="S161" s="80"/>
      <c r="T161" s="188"/>
      <c r="U161" s="165"/>
    </row>
    <row r="162" spans="1:21" ht="16.5" customHeight="1" x14ac:dyDescent="0.3">
      <c r="A162" s="157"/>
      <c r="B162" s="166">
        <v>57</v>
      </c>
      <c r="C162" s="167">
        <v>313</v>
      </c>
      <c r="D162" s="72" t="str">
        <f t="shared" si="4"/>
        <v>0x39</v>
      </c>
      <c r="E162" s="168"/>
      <c r="F162" s="169"/>
      <c r="G162" s="168"/>
      <c r="H162" s="169"/>
      <c r="I162" s="187"/>
      <c r="J162" s="170"/>
      <c r="K162" s="60"/>
      <c r="L162" s="166">
        <v>57</v>
      </c>
      <c r="M162" s="167">
        <v>313</v>
      </c>
      <c r="N162" s="72" t="str">
        <f t="shared" si="5"/>
        <v>0x39</v>
      </c>
      <c r="O162" s="168"/>
      <c r="P162" s="168"/>
      <c r="Q162" s="168"/>
      <c r="R162" s="168"/>
      <c r="S162" s="80"/>
      <c r="T162" s="188"/>
      <c r="U162" s="165"/>
    </row>
    <row r="163" spans="1:21" ht="16.5" customHeight="1" x14ac:dyDescent="0.3">
      <c r="A163" s="157"/>
      <c r="B163" s="166">
        <v>58</v>
      </c>
      <c r="C163" s="167">
        <v>314</v>
      </c>
      <c r="D163" s="72" t="str">
        <f t="shared" si="4"/>
        <v>0x3A</v>
      </c>
      <c r="E163" s="168"/>
      <c r="F163" s="169"/>
      <c r="G163" s="168"/>
      <c r="H163" s="169"/>
      <c r="I163" s="90"/>
      <c r="J163" s="170"/>
      <c r="K163" s="60"/>
      <c r="L163" s="166">
        <v>58</v>
      </c>
      <c r="M163" s="167">
        <v>314</v>
      </c>
      <c r="N163" s="72" t="str">
        <f t="shared" si="5"/>
        <v>0x3A</v>
      </c>
      <c r="O163" s="168"/>
      <c r="P163" s="168"/>
      <c r="Q163" s="168"/>
      <c r="R163" s="168"/>
      <c r="S163" s="80" t="s">
        <v>380</v>
      </c>
      <c r="T163" s="170"/>
      <c r="U163" s="165" t="s">
        <v>381</v>
      </c>
    </row>
    <row r="164" spans="1:21" ht="16.5" customHeight="1" x14ac:dyDescent="0.3">
      <c r="A164" s="157"/>
      <c r="B164" s="166">
        <v>59</v>
      </c>
      <c r="C164" s="167">
        <v>315</v>
      </c>
      <c r="D164" s="72" t="str">
        <f t="shared" si="4"/>
        <v>0x3B</v>
      </c>
      <c r="E164" s="168"/>
      <c r="F164" s="169"/>
      <c r="G164" s="168"/>
      <c r="H164" s="169"/>
      <c r="I164" s="90"/>
      <c r="J164" s="170"/>
      <c r="K164" s="60"/>
      <c r="L164" s="166">
        <v>59</v>
      </c>
      <c r="M164" s="167">
        <v>315</v>
      </c>
      <c r="N164" s="72" t="str">
        <f t="shared" si="5"/>
        <v>0x3B</v>
      </c>
      <c r="O164" s="168"/>
      <c r="P164" s="168"/>
      <c r="Q164" s="168"/>
      <c r="R164" s="168"/>
      <c r="S164" s="80" t="s">
        <v>382</v>
      </c>
      <c r="T164" s="170"/>
      <c r="U164" s="165" t="s">
        <v>383</v>
      </c>
    </row>
    <row r="165" spans="1:21" ht="16.5" customHeight="1" x14ac:dyDescent="0.3">
      <c r="A165" s="157"/>
      <c r="B165" s="166">
        <v>60</v>
      </c>
      <c r="C165" s="167">
        <v>316</v>
      </c>
      <c r="D165" s="72" t="str">
        <f t="shared" si="4"/>
        <v>0x3C</v>
      </c>
      <c r="E165" s="168"/>
      <c r="F165" s="169"/>
      <c r="G165" s="168"/>
      <c r="H165" s="169"/>
      <c r="I165" s="80"/>
      <c r="J165" s="170"/>
      <c r="K165" s="60"/>
      <c r="L165" s="166">
        <v>60</v>
      </c>
      <c r="M165" s="167">
        <v>316</v>
      </c>
      <c r="N165" s="72" t="str">
        <f t="shared" si="5"/>
        <v>0x3C</v>
      </c>
      <c r="O165" s="168"/>
      <c r="P165" s="168"/>
      <c r="Q165" s="168"/>
      <c r="R165" s="168"/>
      <c r="S165" s="80" t="s">
        <v>384</v>
      </c>
      <c r="T165" s="170"/>
      <c r="U165" s="165" t="s">
        <v>385</v>
      </c>
    </row>
    <row r="166" spans="1:21" ht="16.5" customHeight="1" x14ac:dyDescent="0.3">
      <c r="A166" s="157"/>
      <c r="B166" s="166">
        <v>61</v>
      </c>
      <c r="C166" s="167">
        <v>317</v>
      </c>
      <c r="D166" s="72" t="str">
        <f t="shared" si="4"/>
        <v>0x3D</v>
      </c>
      <c r="E166" s="168"/>
      <c r="F166" s="169"/>
      <c r="G166" s="168"/>
      <c r="H166" s="169"/>
      <c r="I166" s="80"/>
      <c r="J166" s="170"/>
      <c r="K166" s="60"/>
      <c r="L166" s="166">
        <v>61</v>
      </c>
      <c r="M166" s="167">
        <v>317</v>
      </c>
      <c r="N166" s="72" t="str">
        <f t="shared" si="5"/>
        <v>0x3D</v>
      </c>
      <c r="O166" s="168"/>
      <c r="P166" s="168"/>
      <c r="Q166" s="168"/>
      <c r="R166" s="168"/>
      <c r="S166" s="80" t="s">
        <v>386</v>
      </c>
      <c r="T166" s="170"/>
      <c r="U166" s="165" t="s">
        <v>387</v>
      </c>
    </row>
    <row r="167" spans="1:21" ht="16.5" customHeight="1" x14ac:dyDescent="0.3">
      <c r="A167" s="157"/>
      <c r="B167" s="166">
        <v>62</v>
      </c>
      <c r="C167" s="167">
        <v>318</v>
      </c>
      <c r="D167" s="72" t="str">
        <f t="shared" si="4"/>
        <v>0x3E</v>
      </c>
      <c r="E167" s="168"/>
      <c r="F167" s="169"/>
      <c r="G167" s="168"/>
      <c r="H167" s="169"/>
      <c r="I167" s="80"/>
      <c r="J167" s="170"/>
      <c r="K167" s="60"/>
      <c r="L167" s="166">
        <v>62</v>
      </c>
      <c r="M167" s="167">
        <v>318</v>
      </c>
      <c r="N167" s="72" t="str">
        <f t="shared" si="5"/>
        <v>0x3E</v>
      </c>
      <c r="O167" s="168"/>
      <c r="P167" s="168"/>
      <c r="Q167" s="168"/>
      <c r="R167" s="168"/>
      <c r="S167" s="86"/>
      <c r="T167" s="176"/>
      <c r="U167" s="165"/>
    </row>
    <row r="168" spans="1:21" ht="16.5" customHeight="1" thickBot="1" x14ac:dyDescent="0.35">
      <c r="A168" s="157"/>
      <c r="B168" s="178">
        <v>63</v>
      </c>
      <c r="C168" s="179">
        <v>319</v>
      </c>
      <c r="D168" s="91" t="str">
        <f t="shared" si="4"/>
        <v>0x3F</v>
      </c>
      <c r="E168" s="180"/>
      <c r="F168" s="181"/>
      <c r="G168" s="180"/>
      <c r="H168" s="181"/>
      <c r="I168" s="197"/>
      <c r="J168" s="190"/>
      <c r="K168" s="98"/>
      <c r="L168" s="178">
        <v>63</v>
      </c>
      <c r="M168" s="179">
        <v>319</v>
      </c>
      <c r="N168" s="91" t="str">
        <f t="shared" si="5"/>
        <v>0x3F</v>
      </c>
      <c r="O168" s="180"/>
      <c r="P168" s="180"/>
      <c r="Q168" s="180"/>
      <c r="R168" s="180"/>
      <c r="S168" s="198"/>
      <c r="T168" s="184"/>
      <c r="U168" s="165"/>
    </row>
    <row r="169" spans="1:21" ht="16.5" customHeight="1" thickTop="1" x14ac:dyDescent="0.3">
      <c r="A169" s="157"/>
      <c r="B169" s="185">
        <v>64</v>
      </c>
      <c r="C169" s="186">
        <v>320</v>
      </c>
      <c r="D169" s="72" t="str">
        <f t="shared" si="4"/>
        <v>0x40</v>
      </c>
      <c r="E169" s="160"/>
      <c r="F169" s="161"/>
      <c r="G169" s="160"/>
      <c r="H169" s="161"/>
      <c r="I169" s="80" t="s">
        <v>388</v>
      </c>
      <c r="J169" s="199" t="s">
        <v>389</v>
      </c>
      <c r="K169" s="102">
        <v>5</v>
      </c>
      <c r="L169" s="185">
        <v>64</v>
      </c>
      <c r="M169" s="186">
        <v>320</v>
      </c>
      <c r="N169" s="72" t="str">
        <f t="shared" si="5"/>
        <v>0x40</v>
      </c>
      <c r="O169" s="160"/>
      <c r="P169" s="160"/>
      <c r="Q169" s="160"/>
      <c r="R169" s="160"/>
      <c r="S169" s="162" t="s">
        <v>390</v>
      </c>
      <c r="T169" s="164"/>
      <c r="U169" s="165" t="s">
        <v>391</v>
      </c>
    </row>
    <row r="170" spans="1:21" ht="16.5" customHeight="1" x14ac:dyDescent="0.3">
      <c r="A170" s="157"/>
      <c r="B170" s="166">
        <v>65</v>
      </c>
      <c r="C170" s="167">
        <v>321</v>
      </c>
      <c r="D170" s="72" t="str">
        <f t="shared" si="4"/>
        <v>0x41</v>
      </c>
      <c r="E170" s="168"/>
      <c r="F170" s="169"/>
      <c r="G170" s="168"/>
      <c r="H170" s="169"/>
      <c r="I170" s="80" t="s">
        <v>392</v>
      </c>
      <c r="J170" s="199" t="s">
        <v>393</v>
      </c>
      <c r="K170" s="60"/>
      <c r="L170" s="166">
        <v>65</v>
      </c>
      <c r="M170" s="167">
        <v>321</v>
      </c>
      <c r="N170" s="72" t="str">
        <f t="shared" si="5"/>
        <v>0x41</v>
      </c>
      <c r="O170" s="168"/>
      <c r="P170" s="168"/>
      <c r="Q170" s="168"/>
      <c r="R170" s="168"/>
      <c r="S170" s="80"/>
      <c r="T170" s="170"/>
      <c r="U170" s="165"/>
    </row>
    <row r="171" spans="1:21" ht="16.5" customHeight="1" x14ac:dyDescent="0.3">
      <c r="A171" s="157"/>
      <c r="B171" s="166">
        <v>66</v>
      </c>
      <c r="C171" s="167">
        <v>322</v>
      </c>
      <c r="D171" s="72" t="str">
        <f t="shared" ref="D171:D234" si="6">CONCATENATE("0x", DEC2HEX(B171,2))</f>
        <v>0x42</v>
      </c>
      <c r="E171" s="168"/>
      <c r="F171" s="169"/>
      <c r="G171" s="168"/>
      <c r="H171" s="169"/>
      <c r="I171" s="80" t="s">
        <v>394</v>
      </c>
      <c r="J171" s="199" t="s">
        <v>393</v>
      </c>
      <c r="K171" s="60"/>
      <c r="L171" s="166">
        <v>66</v>
      </c>
      <c r="M171" s="167">
        <v>322</v>
      </c>
      <c r="N171" s="72" t="str">
        <f t="shared" ref="N171:N234" si="7">CONCATENATE("0x", DEC2HEX(L171,2))</f>
        <v>0x42</v>
      </c>
      <c r="O171" s="168"/>
      <c r="P171" s="168"/>
      <c r="Q171" s="168"/>
      <c r="R171" s="168"/>
      <c r="S171" s="80"/>
      <c r="T171" s="170"/>
      <c r="U171" s="165"/>
    </row>
    <row r="172" spans="1:21" ht="16.5" customHeight="1" x14ac:dyDescent="0.3">
      <c r="A172" s="157"/>
      <c r="B172" s="166">
        <v>67</v>
      </c>
      <c r="C172" s="167">
        <v>323</v>
      </c>
      <c r="D172" s="72" t="str">
        <f t="shared" si="6"/>
        <v>0x43</v>
      </c>
      <c r="E172" s="168"/>
      <c r="F172" s="169"/>
      <c r="G172" s="168"/>
      <c r="H172" s="169"/>
      <c r="I172" s="80" t="s">
        <v>395</v>
      </c>
      <c r="J172" s="199" t="s">
        <v>393</v>
      </c>
      <c r="K172" s="60"/>
      <c r="L172" s="166">
        <v>67</v>
      </c>
      <c r="M172" s="167">
        <v>323</v>
      </c>
      <c r="N172" s="72" t="str">
        <f t="shared" si="7"/>
        <v>0x43</v>
      </c>
      <c r="O172" s="168"/>
      <c r="P172" s="168"/>
      <c r="Q172" s="168"/>
      <c r="R172" s="168"/>
      <c r="S172" s="80" t="s">
        <v>396</v>
      </c>
      <c r="T172" s="170"/>
      <c r="U172" s="177" t="s">
        <v>397</v>
      </c>
    </row>
    <row r="173" spans="1:21" ht="16.5" customHeight="1" x14ac:dyDescent="0.3">
      <c r="A173" s="157"/>
      <c r="B173" s="166">
        <v>68</v>
      </c>
      <c r="C173" s="167">
        <v>324</v>
      </c>
      <c r="D173" s="72" t="str">
        <f t="shared" si="6"/>
        <v>0x44</v>
      </c>
      <c r="E173" s="168"/>
      <c r="F173" s="169"/>
      <c r="G173" s="168"/>
      <c r="H173" s="169"/>
      <c r="I173" s="80" t="s">
        <v>398</v>
      </c>
      <c r="J173" s="199" t="s">
        <v>393</v>
      </c>
      <c r="K173" s="60"/>
      <c r="L173" s="166">
        <v>68</v>
      </c>
      <c r="M173" s="167">
        <v>324</v>
      </c>
      <c r="N173" s="72" t="str">
        <f t="shared" si="7"/>
        <v>0x44</v>
      </c>
      <c r="O173" s="168"/>
      <c r="P173" s="168"/>
      <c r="Q173" s="168"/>
      <c r="R173" s="168"/>
      <c r="S173" s="80" t="s">
        <v>399</v>
      </c>
      <c r="T173" s="170"/>
      <c r="U173" s="165" t="s">
        <v>400</v>
      </c>
    </row>
    <row r="174" spans="1:21" ht="16.5" customHeight="1" x14ac:dyDescent="0.3">
      <c r="A174" s="157"/>
      <c r="B174" s="166">
        <v>69</v>
      </c>
      <c r="C174" s="167">
        <v>325</v>
      </c>
      <c r="D174" s="72" t="str">
        <f t="shared" si="6"/>
        <v>0x45</v>
      </c>
      <c r="E174" s="168"/>
      <c r="F174" s="169"/>
      <c r="G174" s="168"/>
      <c r="H174" s="169"/>
      <c r="I174" s="80" t="s">
        <v>401</v>
      </c>
      <c r="J174" s="199" t="s">
        <v>393</v>
      </c>
      <c r="K174" s="60"/>
      <c r="L174" s="166">
        <v>69</v>
      </c>
      <c r="M174" s="167">
        <v>325</v>
      </c>
      <c r="N174" s="72" t="str">
        <f t="shared" si="7"/>
        <v>0x45</v>
      </c>
      <c r="O174" s="168"/>
      <c r="P174" s="168"/>
      <c r="Q174" s="168"/>
      <c r="R174" s="168"/>
      <c r="S174" s="80" t="s">
        <v>402</v>
      </c>
      <c r="T174" s="170"/>
      <c r="U174" s="165" t="s">
        <v>403</v>
      </c>
    </row>
    <row r="175" spans="1:21" ht="16.5" customHeight="1" x14ac:dyDescent="0.3">
      <c r="A175" s="157"/>
      <c r="B175" s="166">
        <v>70</v>
      </c>
      <c r="C175" s="167">
        <v>326</v>
      </c>
      <c r="D175" s="72" t="str">
        <f t="shared" si="6"/>
        <v>0x46</v>
      </c>
      <c r="E175" s="168"/>
      <c r="F175" s="169"/>
      <c r="G175" s="168"/>
      <c r="H175" s="169"/>
      <c r="I175" s="80" t="s">
        <v>404</v>
      </c>
      <c r="J175" s="199" t="s">
        <v>393</v>
      </c>
      <c r="K175" s="60"/>
      <c r="L175" s="166">
        <v>70</v>
      </c>
      <c r="M175" s="167">
        <v>326</v>
      </c>
      <c r="N175" s="72" t="str">
        <f t="shared" si="7"/>
        <v>0x46</v>
      </c>
      <c r="O175" s="168"/>
      <c r="P175" s="168"/>
      <c r="Q175" s="168"/>
      <c r="R175" s="168"/>
      <c r="S175" s="189" t="s">
        <v>405</v>
      </c>
      <c r="T175" s="170"/>
      <c r="U175" s="165"/>
    </row>
    <row r="176" spans="1:21" ht="16.5" customHeight="1" x14ac:dyDescent="0.3">
      <c r="A176" s="157"/>
      <c r="B176" s="166">
        <v>71</v>
      </c>
      <c r="C176" s="167">
        <v>327</v>
      </c>
      <c r="D176" s="72" t="str">
        <f t="shared" si="6"/>
        <v>0x47</v>
      </c>
      <c r="E176" s="168"/>
      <c r="F176" s="169"/>
      <c r="G176" s="168"/>
      <c r="H176" s="169"/>
      <c r="I176" s="80" t="s">
        <v>406</v>
      </c>
      <c r="J176" s="199"/>
      <c r="K176" s="60"/>
      <c r="L176" s="166">
        <v>71</v>
      </c>
      <c r="M176" s="167">
        <v>327</v>
      </c>
      <c r="N176" s="72" t="str">
        <f t="shared" si="7"/>
        <v>0x47</v>
      </c>
      <c r="O176" s="168"/>
      <c r="P176" s="168"/>
      <c r="Q176" s="168"/>
      <c r="R176" s="168"/>
      <c r="S176" s="80"/>
      <c r="T176" s="170"/>
      <c r="U176" s="165"/>
    </row>
    <row r="177" spans="1:21" ht="16.5" customHeight="1" x14ac:dyDescent="0.3">
      <c r="A177" s="157"/>
      <c r="B177" s="166">
        <v>72</v>
      </c>
      <c r="C177" s="167">
        <v>328</v>
      </c>
      <c r="D177" s="72" t="str">
        <f t="shared" si="6"/>
        <v>0x48</v>
      </c>
      <c r="E177" s="168"/>
      <c r="F177" s="169"/>
      <c r="G177" s="168"/>
      <c r="H177" s="169"/>
      <c r="I177" s="80" t="s">
        <v>407</v>
      </c>
      <c r="J177" s="199"/>
      <c r="K177" s="60"/>
      <c r="L177" s="166">
        <v>72</v>
      </c>
      <c r="M177" s="167">
        <v>328</v>
      </c>
      <c r="N177" s="72" t="str">
        <f t="shared" si="7"/>
        <v>0x48</v>
      </c>
      <c r="O177" s="168"/>
      <c r="P177" s="168"/>
      <c r="Q177" s="168"/>
      <c r="R177" s="168"/>
      <c r="S177" s="127" t="s">
        <v>408</v>
      </c>
      <c r="T177" s="170"/>
      <c r="U177" s="200" t="s">
        <v>409</v>
      </c>
    </row>
    <row r="178" spans="1:21" ht="16.5" customHeight="1" x14ac:dyDescent="0.3">
      <c r="A178" s="157"/>
      <c r="B178" s="166">
        <v>73</v>
      </c>
      <c r="C178" s="167">
        <v>329</v>
      </c>
      <c r="D178" s="72" t="str">
        <f t="shared" si="6"/>
        <v>0x49</v>
      </c>
      <c r="E178" s="168"/>
      <c r="F178" s="169"/>
      <c r="G178" s="168"/>
      <c r="H178" s="169"/>
      <c r="I178" s="80"/>
      <c r="J178" s="170"/>
      <c r="K178" s="60"/>
      <c r="L178" s="166">
        <v>73</v>
      </c>
      <c r="M178" s="167">
        <v>329</v>
      </c>
      <c r="N178" s="72" t="str">
        <f t="shared" si="7"/>
        <v>0x49</v>
      </c>
      <c r="O178" s="168"/>
      <c r="P178" s="168"/>
      <c r="Q178" s="168"/>
      <c r="R178" s="168"/>
      <c r="S178" s="127" t="s">
        <v>410</v>
      </c>
      <c r="T178" s="170"/>
      <c r="U178" s="200" t="s">
        <v>409</v>
      </c>
    </row>
    <row r="179" spans="1:21" ht="16.5" customHeight="1" x14ac:dyDescent="0.3">
      <c r="A179" s="157"/>
      <c r="B179" s="166">
        <v>74</v>
      </c>
      <c r="C179" s="167">
        <v>330</v>
      </c>
      <c r="D179" s="72" t="str">
        <f t="shared" si="6"/>
        <v>0x4A</v>
      </c>
      <c r="E179" s="168"/>
      <c r="F179" s="169"/>
      <c r="G179" s="168"/>
      <c r="H179" s="169"/>
      <c r="I179" s="80"/>
      <c r="J179" s="170"/>
      <c r="K179" s="60"/>
      <c r="L179" s="166">
        <v>74</v>
      </c>
      <c r="M179" s="167">
        <v>330</v>
      </c>
      <c r="N179" s="72" t="str">
        <f t="shared" si="7"/>
        <v>0x4A</v>
      </c>
      <c r="O179" s="168"/>
      <c r="P179" s="168"/>
      <c r="Q179" s="168"/>
      <c r="R179" s="168"/>
      <c r="S179" s="80" t="s">
        <v>411</v>
      </c>
      <c r="T179" s="170"/>
      <c r="U179" s="165"/>
    </row>
    <row r="180" spans="1:21" ht="16.5" customHeight="1" x14ac:dyDescent="0.3">
      <c r="A180" s="157"/>
      <c r="B180" s="166">
        <v>75</v>
      </c>
      <c r="C180" s="167">
        <v>331</v>
      </c>
      <c r="D180" s="72" t="str">
        <f t="shared" si="6"/>
        <v>0x4B</v>
      </c>
      <c r="E180" s="168"/>
      <c r="F180" s="169"/>
      <c r="G180" s="168"/>
      <c r="H180" s="169"/>
      <c r="I180" s="80"/>
      <c r="J180" s="170"/>
      <c r="K180" s="60"/>
      <c r="L180" s="166">
        <v>75</v>
      </c>
      <c r="M180" s="167">
        <v>331</v>
      </c>
      <c r="N180" s="72" t="str">
        <f t="shared" si="7"/>
        <v>0x4B</v>
      </c>
      <c r="O180" s="168"/>
      <c r="P180" s="168"/>
      <c r="Q180" s="168"/>
      <c r="R180" s="168"/>
      <c r="S180" s="80" t="s">
        <v>412</v>
      </c>
      <c r="T180" s="170"/>
      <c r="U180" s="177" t="s">
        <v>413</v>
      </c>
    </row>
    <row r="181" spans="1:21" ht="16.5" customHeight="1" x14ac:dyDescent="0.3">
      <c r="A181" s="157"/>
      <c r="B181" s="166">
        <v>76</v>
      </c>
      <c r="C181" s="167">
        <v>332</v>
      </c>
      <c r="D181" s="72" t="str">
        <f t="shared" si="6"/>
        <v>0x4C</v>
      </c>
      <c r="E181" s="168"/>
      <c r="F181" s="169"/>
      <c r="G181" s="168"/>
      <c r="H181" s="169"/>
      <c r="I181" s="80"/>
      <c r="J181" s="170"/>
      <c r="K181" s="60"/>
      <c r="L181" s="166">
        <v>76</v>
      </c>
      <c r="M181" s="167">
        <v>332</v>
      </c>
      <c r="N181" s="72" t="str">
        <f t="shared" si="7"/>
        <v>0x4C</v>
      </c>
      <c r="O181" s="168"/>
      <c r="P181" s="168"/>
      <c r="Q181" s="168"/>
      <c r="R181" s="168"/>
      <c r="S181" s="80" t="s">
        <v>414</v>
      </c>
      <c r="T181" s="170"/>
      <c r="U181" s="177" t="s">
        <v>415</v>
      </c>
    </row>
    <row r="182" spans="1:21" ht="16.5" customHeight="1" x14ac:dyDescent="0.3">
      <c r="A182" s="157"/>
      <c r="B182" s="166">
        <v>77</v>
      </c>
      <c r="C182" s="167">
        <v>333</v>
      </c>
      <c r="D182" s="72" t="str">
        <f t="shared" si="6"/>
        <v>0x4D</v>
      </c>
      <c r="E182" s="168"/>
      <c r="F182" s="169"/>
      <c r="G182" s="168"/>
      <c r="H182" s="169"/>
      <c r="I182" s="80"/>
      <c r="J182" s="170"/>
      <c r="K182" s="60"/>
      <c r="L182" s="166">
        <v>77</v>
      </c>
      <c r="M182" s="167">
        <v>333</v>
      </c>
      <c r="N182" s="72" t="str">
        <f t="shared" si="7"/>
        <v>0x4D</v>
      </c>
      <c r="O182" s="168"/>
      <c r="P182" s="168"/>
      <c r="Q182" s="168"/>
      <c r="R182" s="168"/>
      <c r="S182" s="80" t="s">
        <v>416</v>
      </c>
      <c r="T182" s="170"/>
      <c r="U182" s="177" t="s">
        <v>417</v>
      </c>
    </row>
    <row r="183" spans="1:21" ht="16.5" customHeight="1" x14ac:dyDescent="0.3">
      <c r="A183" s="157"/>
      <c r="B183" s="166">
        <v>78</v>
      </c>
      <c r="C183" s="167">
        <v>334</v>
      </c>
      <c r="D183" s="72" t="str">
        <f t="shared" si="6"/>
        <v>0x4E</v>
      </c>
      <c r="E183" s="168"/>
      <c r="F183" s="169"/>
      <c r="G183" s="168"/>
      <c r="H183" s="169"/>
      <c r="I183" s="80"/>
      <c r="J183" s="170"/>
      <c r="K183" s="60"/>
      <c r="L183" s="166">
        <v>78</v>
      </c>
      <c r="M183" s="167">
        <v>334</v>
      </c>
      <c r="N183" s="72" t="str">
        <f t="shared" si="7"/>
        <v>0x4E</v>
      </c>
      <c r="O183" s="168"/>
      <c r="P183" s="168"/>
      <c r="Q183" s="168"/>
      <c r="R183" s="168"/>
      <c r="S183" s="80" t="s">
        <v>418</v>
      </c>
      <c r="T183" s="176"/>
      <c r="U183" s="165" t="s">
        <v>419</v>
      </c>
    </row>
    <row r="184" spans="1:21" ht="16.5" customHeight="1" thickBot="1" x14ac:dyDescent="0.35">
      <c r="A184" s="157"/>
      <c r="B184" s="178">
        <v>79</v>
      </c>
      <c r="C184" s="179">
        <v>335</v>
      </c>
      <c r="D184" s="91" t="str">
        <f t="shared" si="6"/>
        <v>0x4F</v>
      </c>
      <c r="E184" s="180"/>
      <c r="F184" s="181"/>
      <c r="G184" s="180"/>
      <c r="H184" s="181"/>
      <c r="I184" s="201"/>
      <c r="J184" s="190"/>
      <c r="K184" s="98"/>
      <c r="L184" s="178">
        <v>79</v>
      </c>
      <c r="M184" s="179">
        <v>335</v>
      </c>
      <c r="N184" s="91" t="str">
        <f t="shared" si="7"/>
        <v>0x4F</v>
      </c>
      <c r="O184" s="180"/>
      <c r="P184" s="180"/>
      <c r="Q184" s="180"/>
      <c r="R184" s="180"/>
      <c r="S184" s="122" t="s">
        <v>420</v>
      </c>
      <c r="T184" s="184"/>
      <c r="U184" s="165"/>
    </row>
    <row r="185" spans="1:21" ht="16.5" customHeight="1" thickTop="1" x14ac:dyDescent="0.3">
      <c r="A185" s="157"/>
      <c r="B185" s="185">
        <v>80</v>
      </c>
      <c r="C185" s="186">
        <v>336</v>
      </c>
      <c r="D185" s="72" t="str">
        <f t="shared" si="6"/>
        <v>0x50</v>
      </c>
      <c r="E185" s="160"/>
      <c r="F185" s="161"/>
      <c r="G185" s="160"/>
      <c r="H185" s="161"/>
      <c r="I185" s="162"/>
      <c r="J185" s="164"/>
      <c r="K185" s="102">
        <v>6</v>
      </c>
      <c r="L185" s="185">
        <v>80</v>
      </c>
      <c r="M185" s="186">
        <v>336</v>
      </c>
      <c r="N185" s="72" t="str">
        <f t="shared" si="7"/>
        <v>0x50</v>
      </c>
      <c r="O185" s="160"/>
      <c r="P185" s="160"/>
      <c r="Q185" s="160"/>
      <c r="R185" s="160"/>
      <c r="S185" s="162" t="s">
        <v>421</v>
      </c>
      <c r="T185" s="202"/>
      <c r="U185" s="200" t="s">
        <v>422</v>
      </c>
    </row>
    <row r="186" spans="1:21" ht="16.5" customHeight="1" x14ac:dyDescent="0.3">
      <c r="A186" s="157"/>
      <c r="B186" s="166">
        <v>81</v>
      </c>
      <c r="C186" s="167">
        <v>337</v>
      </c>
      <c r="D186" s="72" t="str">
        <f t="shared" si="6"/>
        <v>0x51</v>
      </c>
      <c r="E186" s="168"/>
      <c r="F186" s="169"/>
      <c r="G186" s="168"/>
      <c r="H186" s="169"/>
      <c r="I186" s="80"/>
      <c r="J186" s="170"/>
      <c r="K186" s="60"/>
      <c r="L186" s="166">
        <v>81</v>
      </c>
      <c r="M186" s="167">
        <v>337</v>
      </c>
      <c r="N186" s="72" t="str">
        <f t="shared" si="7"/>
        <v>0x51</v>
      </c>
      <c r="O186" s="168"/>
      <c r="P186" s="168"/>
      <c r="Q186" s="168"/>
      <c r="R186" s="168"/>
      <c r="S186" s="80" t="s">
        <v>423</v>
      </c>
      <c r="T186" s="170"/>
      <c r="U186" s="203" t="s">
        <v>424</v>
      </c>
    </row>
    <row r="187" spans="1:21" ht="16.5" customHeight="1" x14ac:dyDescent="0.3">
      <c r="A187" s="157"/>
      <c r="B187" s="166">
        <v>82</v>
      </c>
      <c r="C187" s="167">
        <v>338</v>
      </c>
      <c r="D187" s="72" t="str">
        <f t="shared" si="6"/>
        <v>0x52</v>
      </c>
      <c r="E187" s="168"/>
      <c r="F187" s="169"/>
      <c r="G187" s="168"/>
      <c r="H187" s="169"/>
      <c r="I187" s="80"/>
      <c r="J187" s="170"/>
      <c r="K187" s="60"/>
      <c r="L187" s="166">
        <v>82</v>
      </c>
      <c r="M187" s="167">
        <v>338</v>
      </c>
      <c r="N187" s="72" t="str">
        <f t="shared" si="7"/>
        <v>0x52</v>
      </c>
      <c r="O187" s="168"/>
      <c r="P187" s="168"/>
      <c r="Q187" s="168"/>
      <c r="R187" s="168"/>
      <c r="S187" s="80" t="s">
        <v>425</v>
      </c>
      <c r="T187" s="170"/>
      <c r="U187" s="203"/>
    </row>
    <row r="188" spans="1:21" ht="16.5" customHeight="1" x14ac:dyDescent="0.3">
      <c r="A188" s="157"/>
      <c r="B188" s="166">
        <v>83</v>
      </c>
      <c r="C188" s="167">
        <v>339</v>
      </c>
      <c r="D188" s="72" t="str">
        <f t="shared" si="6"/>
        <v>0x53</v>
      </c>
      <c r="E188" s="168"/>
      <c r="F188" s="169"/>
      <c r="G188" s="168"/>
      <c r="H188" s="169"/>
      <c r="I188" s="80"/>
      <c r="J188" s="170"/>
      <c r="K188" s="60"/>
      <c r="L188" s="166">
        <v>83</v>
      </c>
      <c r="M188" s="167">
        <v>339</v>
      </c>
      <c r="N188" s="72" t="str">
        <f t="shared" si="7"/>
        <v>0x53</v>
      </c>
      <c r="O188" s="168"/>
      <c r="P188" s="168"/>
      <c r="Q188" s="168"/>
      <c r="R188" s="168"/>
      <c r="S188" s="80" t="s">
        <v>426</v>
      </c>
      <c r="T188" s="188"/>
      <c r="U188" s="200" t="s">
        <v>427</v>
      </c>
    </row>
    <row r="189" spans="1:21" ht="16.5" customHeight="1" x14ac:dyDescent="0.3">
      <c r="A189" s="157"/>
      <c r="B189" s="166">
        <v>84</v>
      </c>
      <c r="C189" s="167">
        <v>340</v>
      </c>
      <c r="D189" s="72" t="str">
        <f t="shared" si="6"/>
        <v>0x54</v>
      </c>
      <c r="E189" s="168"/>
      <c r="F189" s="169"/>
      <c r="G189" s="168"/>
      <c r="H189" s="169"/>
      <c r="I189" s="80"/>
      <c r="J189" s="170"/>
      <c r="K189" s="60"/>
      <c r="L189" s="166">
        <v>84</v>
      </c>
      <c r="M189" s="167">
        <v>340</v>
      </c>
      <c r="N189" s="72" t="str">
        <f t="shared" si="7"/>
        <v>0x54</v>
      </c>
      <c r="O189" s="168"/>
      <c r="P189" s="168"/>
      <c r="Q189" s="168"/>
      <c r="R189" s="168"/>
      <c r="S189" s="80" t="s">
        <v>428</v>
      </c>
      <c r="T189" s="170"/>
      <c r="U189" s="203" t="s">
        <v>424</v>
      </c>
    </row>
    <row r="190" spans="1:21" ht="16.5" customHeight="1" x14ac:dyDescent="0.3">
      <c r="A190" s="157"/>
      <c r="B190" s="166">
        <v>85</v>
      </c>
      <c r="C190" s="167">
        <v>341</v>
      </c>
      <c r="D190" s="72" t="str">
        <f t="shared" si="6"/>
        <v>0x55</v>
      </c>
      <c r="E190" s="168"/>
      <c r="F190" s="169"/>
      <c r="G190" s="168"/>
      <c r="H190" s="169"/>
      <c r="I190" s="80"/>
      <c r="J190" s="170"/>
      <c r="K190" s="60"/>
      <c r="L190" s="166">
        <v>85</v>
      </c>
      <c r="M190" s="167">
        <v>341</v>
      </c>
      <c r="N190" s="72" t="str">
        <f t="shared" si="7"/>
        <v>0x55</v>
      </c>
      <c r="O190" s="168"/>
      <c r="P190" s="168"/>
      <c r="Q190" s="168"/>
      <c r="R190" s="168"/>
      <c r="S190" s="80" t="s">
        <v>429</v>
      </c>
      <c r="T190" s="170"/>
      <c r="U190" s="203"/>
    </row>
    <row r="191" spans="1:21" ht="16.5" customHeight="1" x14ac:dyDescent="0.3">
      <c r="A191" s="157"/>
      <c r="B191" s="166">
        <v>86</v>
      </c>
      <c r="C191" s="167">
        <v>342</v>
      </c>
      <c r="D191" s="72" t="str">
        <f t="shared" si="6"/>
        <v>0x56</v>
      </c>
      <c r="E191" s="168"/>
      <c r="F191" s="169"/>
      <c r="G191" s="168"/>
      <c r="H191" s="169"/>
      <c r="I191" s="204"/>
      <c r="J191" s="170"/>
      <c r="K191" s="60"/>
      <c r="L191" s="166">
        <v>86</v>
      </c>
      <c r="M191" s="167">
        <v>342</v>
      </c>
      <c r="N191" s="72" t="str">
        <f t="shared" si="7"/>
        <v>0x56</v>
      </c>
      <c r="O191" s="168"/>
      <c r="P191" s="168"/>
      <c r="Q191" s="168"/>
      <c r="R191" s="168"/>
      <c r="S191" s="80" t="s">
        <v>430</v>
      </c>
      <c r="T191" s="188"/>
      <c r="U191" s="200" t="s">
        <v>422</v>
      </c>
    </row>
    <row r="192" spans="1:21" ht="16.5" customHeight="1" x14ac:dyDescent="0.3">
      <c r="A192" s="157"/>
      <c r="B192" s="166">
        <v>87</v>
      </c>
      <c r="C192" s="167">
        <v>343</v>
      </c>
      <c r="D192" s="72" t="str">
        <f t="shared" si="6"/>
        <v>0x57</v>
      </c>
      <c r="E192" s="168"/>
      <c r="F192" s="169"/>
      <c r="G192" s="168"/>
      <c r="H192" s="169"/>
      <c r="I192" s="80"/>
      <c r="J192" s="170"/>
      <c r="K192" s="60"/>
      <c r="L192" s="166">
        <v>87</v>
      </c>
      <c r="M192" s="167">
        <v>343</v>
      </c>
      <c r="N192" s="72" t="str">
        <f t="shared" si="7"/>
        <v>0x57</v>
      </c>
      <c r="O192" s="168"/>
      <c r="P192" s="168"/>
      <c r="Q192" s="168"/>
      <c r="R192" s="168"/>
      <c r="S192" s="80" t="s">
        <v>431</v>
      </c>
      <c r="T192" s="170"/>
      <c r="U192" s="203" t="s">
        <v>424</v>
      </c>
    </row>
    <row r="193" spans="1:21" ht="16.5" customHeight="1" x14ac:dyDescent="0.3">
      <c r="A193" s="157"/>
      <c r="B193" s="166">
        <v>88</v>
      </c>
      <c r="C193" s="167">
        <v>344</v>
      </c>
      <c r="D193" s="72" t="str">
        <f t="shared" si="6"/>
        <v>0x58</v>
      </c>
      <c r="E193" s="168"/>
      <c r="F193" s="169"/>
      <c r="G193" s="168"/>
      <c r="H193" s="169"/>
      <c r="I193" s="80"/>
      <c r="J193" s="170"/>
      <c r="K193" s="60"/>
      <c r="L193" s="166">
        <v>88</v>
      </c>
      <c r="M193" s="167">
        <v>344</v>
      </c>
      <c r="N193" s="72" t="str">
        <f t="shared" si="7"/>
        <v>0x58</v>
      </c>
      <c r="O193" s="168"/>
      <c r="P193" s="168"/>
      <c r="Q193" s="168"/>
      <c r="R193" s="168"/>
      <c r="S193" s="80" t="s">
        <v>432</v>
      </c>
      <c r="T193" s="170"/>
      <c r="U193" s="203"/>
    </row>
    <row r="194" spans="1:21" ht="16.5" customHeight="1" x14ac:dyDescent="0.3">
      <c r="A194" s="157"/>
      <c r="B194" s="166">
        <v>89</v>
      </c>
      <c r="C194" s="167">
        <v>345</v>
      </c>
      <c r="D194" s="72" t="str">
        <f t="shared" si="6"/>
        <v>0x59</v>
      </c>
      <c r="E194" s="168"/>
      <c r="F194" s="169"/>
      <c r="G194" s="168"/>
      <c r="H194" s="169"/>
      <c r="I194" s="80"/>
      <c r="J194" s="170"/>
      <c r="K194" s="60"/>
      <c r="L194" s="166">
        <v>89</v>
      </c>
      <c r="M194" s="167">
        <v>345</v>
      </c>
      <c r="N194" s="72" t="str">
        <f t="shared" si="7"/>
        <v>0x59</v>
      </c>
      <c r="O194" s="168"/>
      <c r="P194" s="168"/>
      <c r="Q194" s="168"/>
      <c r="R194" s="168"/>
      <c r="S194" s="80" t="s">
        <v>433</v>
      </c>
      <c r="T194" s="188"/>
      <c r="U194" s="200" t="s">
        <v>422</v>
      </c>
    </row>
    <row r="195" spans="1:21" ht="16.5" customHeight="1" x14ac:dyDescent="0.3">
      <c r="A195" s="157"/>
      <c r="B195" s="166">
        <v>90</v>
      </c>
      <c r="C195" s="167">
        <v>346</v>
      </c>
      <c r="D195" s="72" t="str">
        <f t="shared" si="6"/>
        <v>0x5A</v>
      </c>
      <c r="E195" s="168"/>
      <c r="F195" s="169"/>
      <c r="G195" s="168"/>
      <c r="H195" s="169"/>
      <c r="I195" s="80"/>
      <c r="J195" s="170"/>
      <c r="K195" s="60"/>
      <c r="L195" s="166">
        <v>90</v>
      </c>
      <c r="M195" s="167">
        <v>346</v>
      </c>
      <c r="N195" s="72" t="str">
        <f t="shared" si="7"/>
        <v>0x5A</v>
      </c>
      <c r="O195" s="168"/>
      <c r="P195" s="168"/>
      <c r="Q195" s="168"/>
      <c r="R195" s="168"/>
      <c r="S195" s="80" t="s">
        <v>434</v>
      </c>
      <c r="T195" s="170"/>
      <c r="U195" s="203" t="s">
        <v>424</v>
      </c>
    </row>
    <row r="196" spans="1:21" ht="16.5" customHeight="1" x14ac:dyDescent="0.3">
      <c r="A196" s="157"/>
      <c r="B196" s="166">
        <v>91</v>
      </c>
      <c r="C196" s="167">
        <v>347</v>
      </c>
      <c r="D196" s="72" t="str">
        <f t="shared" si="6"/>
        <v>0x5B</v>
      </c>
      <c r="E196" s="168"/>
      <c r="F196" s="169"/>
      <c r="G196" s="168"/>
      <c r="H196" s="169"/>
      <c r="I196" s="80"/>
      <c r="J196" s="170"/>
      <c r="K196" s="60"/>
      <c r="L196" s="166">
        <v>91</v>
      </c>
      <c r="M196" s="167">
        <v>347</v>
      </c>
      <c r="N196" s="72" t="str">
        <f t="shared" si="7"/>
        <v>0x5B</v>
      </c>
      <c r="O196" s="168"/>
      <c r="P196" s="168"/>
      <c r="Q196" s="168"/>
      <c r="R196" s="168"/>
      <c r="S196" s="80" t="s">
        <v>435</v>
      </c>
      <c r="T196" s="170"/>
      <c r="U196" s="203"/>
    </row>
    <row r="197" spans="1:21" ht="16.5" customHeight="1" x14ac:dyDescent="0.3">
      <c r="A197" s="157"/>
      <c r="B197" s="166">
        <v>92</v>
      </c>
      <c r="C197" s="167">
        <v>348</v>
      </c>
      <c r="D197" s="72" t="str">
        <f t="shared" si="6"/>
        <v>0x5C</v>
      </c>
      <c r="E197" s="168"/>
      <c r="F197" s="169"/>
      <c r="G197" s="168"/>
      <c r="H197" s="169"/>
      <c r="I197" s="80"/>
      <c r="J197" s="170"/>
      <c r="K197" s="60"/>
      <c r="L197" s="166">
        <v>92</v>
      </c>
      <c r="M197" s="167">
        <v>348</v>
      </c>
      <c r="N197" s="72" t="str">
        <f t="shared" si="7"/>
        <v>0x5C</v>
      </c>
      <c r="O197" s="168"/>
      <c r="P197" s="168"/>
      <c r="Q197" s="168"/>
      <c r="R197" s="168"/>
      <c r="S197" s="80"/>
      <c r="T197" s="170"/>
      <c r="U197" s="165"/>
    </row>
    <row r="198" spans="1:21" ht="16.5" customHeight="1" x14ac:dyDescent="0.3">
      <c r="A198" s="157"/>
      <c r="B198" s="166">
        <v>93</v>
      </c>
      <c r="C198" s="167">
        <v>349</v>
      </c>
      <c r="D198" s="72" t="str">
        <f t="shared" si="6"/>
        <v>0x5D</v>
      </c>
      <c r="E198" s="168"/>
      <c r="F198" s="169"/>
      <c r="G198" s="168"/>
      <c r="H198" s="169"/>
      <c r="I198" s="80"/>
      <c r="J198" s="170"/>
      <c r="K198" s="60"/>
      <c r="L198" s="166">
        <v>93</v>
      </c>
      <c r="M198" s="167">
        <v>349</v>
      </c>
      <c r="N198" s="72" t="str">
        <f t="shared" si="7"/>
        <v>0x5D</v>
      </c>
      <c r="O198" s="168"/>
      <c r="P198" s="168"/>
      <c r="Q198" s="168"/>
      <c r="R198" s="168"/>
      <c r="S198" s="80"/>
      <c r="T198" s="170"/>
      <c r="U198" s="165"/>
    </row>
    <row r="199" spans="1:21" ht="16.5" customHeight="1" x14ac:dyDescent="0.3">
      <c r="A199" s="157"/>
      <c r="B199" s="166">
        <v>94</v>
      </c>
      <c r="C199" s="167">
        <v>350</v>
      </c>
      <c r="D199" s="72" t="str">
        <f t="shared" si="6"/>
        <v>0x5E</v>
      </c>
      <c r="E199" s="168"/>
      <c r="F199" s="169"/>
      <c r="G199" s="168"/>
      <c r="H199" s="169"/>
      <c r="I199" s="80"/>
      <c r="J199" s="170"/>
      <c r="K199" s="60"/>
      <c r="L199" s="166">
        <v>94</v>
      </c>
      <c r="M199" s="167">
        <v>350</v>
      </c>
      <c r="N199" s="72" t="str">
        <f t="shared" si="7"/>
        <v>0x5E</v>
      </c>
      <c r="O199" s="168"/>
      <c r="P199" s="168"/>
      <c r="Q199" s="168"/>
      <c r="R199" s="168"/>
      <c r="S199" s="80"/>
      <c r="T199" s="170"/>
      <c r="U199" s="165"/>
    </row>
    <row r="200" spans="1:21" ht="16.5" customHeight="1" thickBot="1" x14ac:dyDescent="0.35">
      <c r="A200" s="157"/>
      <c r="B200" s="178">
        <v>95</v>
      </c>
      <c r="C200" s="179">
        <v>351</v>
      </c>
      <c r="D200" s="91" t="str">
        <f t="shared" si="6"/>
        <v>0x5F</v>
      </c>
      <c r="E200" s="180"/>
      <c r="F200" s="181"/>
      <c r="G200" s="180"/>
      <c r="H200" s="181"/>
      <c r="I200" s="122"/>
      <c r="J200" s="190"/>
      <c r="K200" s="98"/>
      <c r="L200" s="178">
        <v>95</v>
      </c>
      <c r="M200" s="179">
        <v>351</v>
      </c>
      <c r="N200" s="91" t="str">
        <f t="shared" si="7"/>
        <v>0x5F</v>
      </c>
      <c r="O200" s="180"/>
      <c r="P200" s="180"/>
      <c r="Q200" s="180"/>
      <c r="R200" s="180"/>
      <c r="S200" s="122"/>
      <c r="T200" s="184"/>
      <c r="U200" s="165"/>
    </row>
    <row r="201" spans="1:21" ht="16.5" customHeight="1" thickTop="1" x14ac:dyDescent="0.3">
      <c r="A201" s="157"/>
      <c r="B201" s="185">
        <v>96</v>
      </c>
      <c r="C201" s="186">
        <v>352</v>
      </c>
      <c r="D201" s="72" t="str">
        <f t="shared" si="6"/>
        <v>0x60</v>
      </c>
      <c r="E201" s="160"/>
      <c r="F201" s="161"/>
      <c r="G201" s="160"/>
      <c r="H201" s="161"/>
      <c r="I201" s="119" t="s">
        <v>436</v>
      </c>
      <c r="J201" s="164"/>
      <c r="K201" s="102">
        <v>7</v>
      </c>
      <c r="L201" s="185">
        <v>96</v>
      </c>
      <c r="M201" s="186">
        <v>352</v>
      </c>
      <c r="N201" s="72" t="str">
        <f t="shared" si="7"/>
        <v>0x60</v>
      </c>
      <c r="O201" s="160"/>
      <c r="P201" s="160"/>
      <c r="Q201" s="160"/>
      <c r="R201" s="160"/>
      <c r="S201" s="162"/>
      <c r="T201" s="164"/>
      <c r="U201" s="165"/>
    </row>
    <row r="202" spans="1:21" ht="16.5" customHeight="1" x14ac:dyDescent="0.3">
      <c r="A202" s="157"/>
      <c r="B202" s="166">
        <v>97</v>
      </c>
      <c r="C202" s="167">
        <v>353</v>
      </c>
      <c r="D202" s="72" t="str">
        <f t="shared" si="6"/>
        <v>0x61</v>
      </c>
      <c r="E202" s="168"/>
      <c r="F202" s="169"/>
      <c r="G202" s="168"/>
      <c r="H202" s="169"/>
      <c r="I202" s="205" t="s">
        <v>437</v>
      </c>
      <c r="J202" s="170"/>
      <c r="K202" s="60"/>
      <c r="L202" s="166">
        <v>97</v>
      </c>
      <c r="M202" s="167">
        <v>353</v>
      </c>
      <c r="N202" s="72" t="str">
        <f t="shared" si="7"/>
        <v>0x61</v>
      </c>
      <c r="O202" s="168"/>
      <c r="P202" s="168"/>
      <c r="Q202" s="168"/>
      <c r="R202" s="168"/>
      <c r="S202" s="80"/>
      <c r="T202" s="170"/>
      <c r="U202" s="165"/>
    </row>
    <row r="203" spans="1:21" ht="16.5" customHeight="1" x14ac:dyDescent="0.3">
      <c r="A203" s="157"/>
      <c r="B203" s="166">
        <v>98</v>
      </c>
      <c r="C203" s="167">
        <v>354</v>
      </c>
      <c r="D203" s="72" t="str">
        <f t="shared" si="6"/>
        <v>0x62</v>
      </c>
      <c r="E203" s="168"/>
      <c r="F203" s="169"/>
      <c r="G203" s="168"/>
      <c r="H203" s="169"/>
      <c r="I203" s="205" t="s">
        <v>438</v>
      </c>
      <c r="J203" s="170"/>
      <c r="K203" s="60"/>
      <c r="L203" s="166">
        <v>98</v>
      </c>
      <c r="M203" s="167">
        <v>354</v>
      </c>
      <c r="N203" s="72" t="str">
        <f t="shared" si="7"/>
        <v>0x62</v>
      </c>
      <c r="O203" s="168"/>
      <c r="P203" s="168"/>
      <c r="Q203" s="168"/>
      <c r="R203" s="168"/>
      <c r="S203" s="80" t="s">
        <v>439</v>
      </c>
      <c r="T203" s="170"/>
      <c r="U203" s="165"/>
    </row>
    <row r="204" spans="1:21" ht="16.5" customHeight="1" x14ac:dyDescent="0.3">
      <c r="A204" s="157"/>
      <c r="B204" s="166">
        <v>99</v>
      </c>
      <c r="C204" s="167">
        <v>355</v>
      </c>
      <c r="D204" s="72" t="str">
        <f t="shared" si="6"/>
        <v>0x63</v>
      </c>
      <c r="E204" s="168"/>
      <c r="F204" s="169"/>
      <c r="G204" s="168"/>
      <c r="H204" s="169"/>
      <c r="I204" s="205" t="s">
        <v>440</v>
      </c>
      <c r="J204" s="170"/>
      <c r="K204" s="60"/>
      <c r="L204" s="166">
        <v>99</v>
      </c>
      <c r="M204" s="167">
        <v>355</v>
      </c>
      <c r="N204" s="72" t="str">
        <f t="shared" si="7"/>
        <v>0x63</v>
      </c>
      <c r="O204" s="168"/>
      <c r="P204" s="168"/>
      <c r="Q204" s="168"/>
      <c r="R204" s="168"/>
      <c r="S204" s="80" t="s">
        <v>441</v>
      </c>
      <c r="T204" s="170"/>
      <c r="U204" s="203" t="s">
        <v>210</v>
      </c>
    </row>
    <row r="205" spans="1:21" ht="16.5" customHeight="1" x14ac:dyDescent="0.3">
      <c r="A205" s="157"/>
      <c r="B205" s="166">
        <v>100</v>
      </c>
      <c r="C205" s="167">
        <v>356</v>
      </c>
      <c r="D205" s="72" t="str">
        <f t="shared" si="6"/>
        <v>0x64</v>
      </c>
      <c r="E205" s="168"/>
      <c r="F205" s="169"/>
      <c r="G205" s="168"/>
      <c r="H205" s="169"/>
      <c r="I205" s="80"/>
      <c r="J205" s="170"/>
      <c r="K205" s="60"/>
      <c r="L205" s="166">
        <v>100</v>
      </c>
      <c r="M205" s="167">
        <v>356</v>
      </c>
      <c r="N205" s="72" t="str">
        <f t="shared" si="7"/>
        <v>0x64</v>
      </c>
      <c r="O205" s="168"/>
      <c r="P205" s="168"/>
      <c r="Q205" s="168"/>
      <c r="R205" s="168"/>
      <c r="S205" s="80" t="s">
        <v>442</v>
      </c>
      <c r="T205" s="170"/>
      <c r="U205" s="203"/>
    </row>
    <row r="206" spans="1:21" ht="16.5" customHeight="1" x14ac:dyDescent="0.3">
      <c r="A206" s="157"/>
      <c r="B206" s="166">
        <v>101</v>
      </c>
      <c r="C206" s="167">
        <v>357</v>
      </c>
      <c r="D206" s="72" t="str">
        <f t="shared" si="6"/>
        <v>0x65</v>
      </c>
      <c r="E206" s="168"/>
      <c r="F206" s="169"/>
      <c r="G206" s="168"/>
      <c r="H206" s="169"/>
      <c r="I206" s="80"/>
      <c r="J206" s="170"/>
      <c r="K206" s="60"/>
      <c r="L206" s="166">
        <v>101</v>
      </c>
      <c r="M206" s="167">
        <v>357</v>
      </c>
      <c r="N206" s="72" t="str">
        <f t="shared" si="7"/>
        <v>0x65</v>
      </c>
      <c r="O206" s="168"/>
      <c r="P206" s="168"/>
      <c r="Q206" s="168"/>
      <c r="R206" s="168"/>
      <c r="S206" s="80" t="s">
        <v>443</v>
      </c>
      <c r="T206" s="170"/>
      <c r="U206" s="165"/>
    </row>
    <row r="207" spans="1:21" ht="16.5" customHeight="1" x14ac:dyDescent="0.3">
      <c r="A207" s="171" t="s">
        <v>444</v>
      </c>
      <c r="B207" s="166">
        <v>102</v>
      </c>
      <c r="C207" s="167">
        <v>358</v>
      </c>
      <c r="D207" s="72" t="str">
        <f t="shared" si="6"/>
        <v>0x66</v>
      </c>
      <c r="E207" s="168"/>
      <c r="F207" s="169"/>
      <c r="G207" s="168"/>
      <c r="H207" s="169"/>
      <c r="I207" s="80" t="s">
        <v>445</v>
      </c>
      <c r="J207" s="170"/>
      <c r="K207" s="60"/>
      <c r="L207" s="166">
        <v>102</v>
      </c>
      <c r="M207" s="167">
        <v>358</v>
      </c>
      <c r="N207" s="72" t="str">
        <f t="shared" si="7"/>
        <v>0x66</v>
      </c>
      <c r="O207" s="168"/>
      <c r="P207" s="168"/>
      <c r="Q207" s="168"/>
      <c r="R207" s="168"/>
      <c r="S207" s="80" t="s">
        <v>446</v>
      </c>
      <c r="T207" s="170"/>
      <c r="U207" s="165"/>
    </row>
    <row r="208" spans="1:21" ht="16.5" customHeight="1" x14ac:dyDescent="0.3">
      <c r="A208" s="171" t="s">
        <v>447</v>
      </c>
      <c r="B208" s="166">
        <v>103</v>
      </c>
      <c r="C208" s="167">
        <v>359</v>
      </c>
      <c r="D208" s="72" t="str">
        <f t="shared" si="6"/>
        <v>0x67</v>
      </c>
      <c r="E208" s="168"/>
      <c r="F208" s="169"/>
      <c r="G208" s="168"/>
      <c r="H208" s="169"/>
      <c r="I208" s="80" t="s">
        <v>448</v>
      </c>
      <c r="J208" s="170"/>
      <c r="K208" s="60"/>
      <c r="L208" s="166">
        <v>103</v>
      </c>
      <c r="M208" s="167">
        <v>359</v>
      </c>
      <c r="N208" s="72" t="str">
        <f t="shared" si="7"/>
        <v>0x67</v>
      </c>
      <c r="O208" s="168"/>
      <c r="P208" s="168"/>
      <c r="Q208" s="168"/>
      <c r="R208" s="168"/>
      <c r="S208" s="80" t="s">
        <v>449</v>
      </c>
      <c r="T208" s="170"/>
      <c r="U208" s="165"/>
    </row>
    <row r="209" spans="1:21" ht="16.5" customHeight="1" x14ac:dyDescent="0.3">
      <c r="A209" s="171" t="s">
        <v>447</v>
      </c>
      <c r="B209" s="166">
        <v>104</v>
      </c>
      <c r="C209" s="167">
        <v>360</v>
      </c>
      <c r="D209" s="72" t="str">
        <f t="shared" si="6"/>
        <v>0x68</v>
      </c>
      <c r="E209" s="168"/>
      <c r="F209" s="169"/>
      <c r="G209" s="168"/>
      <c r="H209" s="169"/>
      <c r="I209" s="80" t="s">
        <v>450</v>
      </c>
      <c r="J209" s="170"/>
      <c r="K209" s="60"/>
      <c r="L209" s="166">
        <v>104</v>
      </c>
      <c r="M209" s="167">
        <v>360</v>
      </c>
      <c r="N209" s="72" t="str">
        <f t="shared" si="7"/>
        <v>0x68</v>
      </c>
      <c r="O209" s="168"/>
      <c r="P209" s="168"/>
      <c r="Q209" s="168"/>
      <c r="R209" s="168"/>
      <c r="S209" s="80" t="s">
        <v>451</v>
      </c>
      <c r="T209" s="170"/>
      <c r="U209" s="165"/>
    </row>
    <row r="210" spans="1:21" ht="16.5" customHeight="1" x14ac:dyDescent="0.3">
      <c r="A210" s="171" t="s">
        <v>447</v>
      </c>
      <c r="B210" s="166">
        <v>105</v>
      </c>
      <c r="C210" s="167">
        <v>361</v>
      </c>
      <c r="D210" s="72" t="str">
        <f t="shared" si="6"/>
        <v>0x69</v>
      </c>
      <c r="E210" s="168"/>
      <c r="F210" s="169"/>
      <c r="G210" s="168"/>
      <c r="H210" s="169"/>
      <c r="I210" s="80" t="s">
        <v>452</v>
      </c>
      <c r="J210" s="170"/>
      <c r="K210" s="60"/>
      <c r="L210" s="166">
        <v>105</v>
      </c>
      <c r="M210" s="167">
        <v>361</v>
      </c>
      <c r="N210" s="72" t="str">
        <f t="shared" si="7"/>
        <v>0x69</v>
      </c>
      <c r="O210" s="168"/>
      <c r="P210" s="168"/>
      <c r="Q210" s="168"/>
      <c r="R210" s="168"/>
      <c r="S210" s="80" t="s">
        <v>453</v>
      </c>
      <c r="T210" s="170"/>
      <c r="U210" s="165"/>
    </row>
    <row r="211" spans="1:21" ht="16.5" customHeight="1" x14ac:dyDescent="0.3">
      <c r="A211" s="157"/>
      <c r="B211" s="166">
        <v>106</v>
      </c>
      <c r="C211" s="167">
        <v>362</v>
      </c>
      <c r="D211" s="72" t="str">
        <f t="shared" si="6"/>
        <v>0x6A</v>
      </c>
      <c r="E211" s="168"/>
      <c r="F211" s="169"/>
      <c r="G211" s="168"/>
      <c r="H211" s="169"/>
      <c r="I211" s="80"/>
      <c r="J211" s="170"/>
      <c r="K211" s="60"/>
      <c r="L211" s="166">
        <v>106</v>
      </c>
      <c r="M211" s="167">
        <v>362</v>
      </c>
      <c r="N211" s="72" t="str">
        <f t="shared" si="7"/>
        <v>0x6A</v>
      </c>
      <c r="O211" s="168"/>
      <c r="P211" s="168"/>
      <c r="Q211" s="168"/>
      <c r="R211" s="168"/>
      <c r="S211" s="80" t="s">
        <v>454</v>
      </c>
      <c r="T211" s="176"/>
      <c r="U211" s="165"/>
    </row>
    <row r="212" spans="1:21" ht="16.5" customHeight="1" x14ac:dyDescent="0.3">
      <c r="A212" s="171" t="s">
        <v>455</v>
      </c>
      <c r="B212" s="166">
        <v>107</v>
      </c>
      <c r="C212" s="167">
        <v>363</v>
      </c>
      <c r="D212" s="72" t="str">
        <f t="shared" si="6"/>
        <v>0x6B</v>
      </c>
      <c r="E212" s="168"/>
      <c r="F212" s="169"/>
      <c r="G212" s="168"/>
      <c r="H212" s="169"/>
      <c r="I212" s="80" t="s">
        <v>456</v>
      </c>
      <c r="J212" s="170"/>
      <c r="K212" s="60"/>
      <c r="L212" s="166">
        <v>107</v>
      </c>
      <c r="M212" s="167">
        <v>363</v>
      </c>
      <c r="N212" s="72" t="str">
        <f t="shared" si="7"/>
        <v>0x6B</v>
      </c>
      <c r="O212" s="168"/>
      <c r="P212" s="168"/>
      <c r="Q212" s="168"/>
      <c r="R212" s="168"/>
      <c r="S212" s="80" t="s">
        <v>457</v>
      </c>
      <c r="T212" s="176"/>
      <c r="U212" s="165"/>
    </row>
    <row r="213" spans="1:21" ht="16.5" customHeight="1" x14ac:dyDescent="0.3">
      <c r="A213" s="171" t="s">
        <v>455</v>
      </c>
      <c r="B213" s="166">
        <v>108</v>
      </c>
      <c r="C213" s="167">
        <v>364</v>
      </c>
      <c r="D213" s="72" t="str">
        <f t="shared" si="6"/>
        <v>0x6C</v>
      </c>
      <c r="E213" s="168"/>
      <c r="F213" s="169"/>
      <c r="G213" s="168"/>
      <c r="H213" s="169"/>
      <c r="I213" s="80" t="s">
        <v>458</v>
      </c>
      <c r="J213" s="170"/>
      <c r="K213" s="60"/>
      <c r="L213" s="166">
        <v>108</v>
      </c>
      <c r="M213" s="167">
        <v>364</v>
      </c>
      <c r="N213" s="72" t="str">
        <f t="shared" si="7"/>
        <v>0x6C</v>
      </c>
      <c r="O213" s="168"/>
      <c r="P213" s="168"/>
      <c r="Q213" s="168"/>
      <c r="R213" s="168"/>
      <c r="S213" s="80" t="s">
        <v>459</v>
      </c>
      <c r="T213" s="206"/>
      <c r="U213" s="165"/>
    </row>
    <row r="214" spans="1:21" ht="16.5" customHeight="1" x14ac:dyDescent="0.3">
      <c r="A214" s="171" t="s">
        <v>455</v>
      </c>
      <c r="B214" s="166">
        <v>109</v>
      </c>
      <c r="C214" s="167">
        <v>365</v>
      </c>
      <c r="D214" s="72" t="str">
        <f t="shared" si="6"/>
        <v>0x6D</v>
      </c>
      <c r="E214" s="168"/>
      <c r="F214" s="169"/>
      <c r="G214" s="168"/>
      <c r="H214" s="169"/>
      <c r="I214" s="80" t="s">
        <v>460</v>
      </c>
      <c r="J214" s="170"/>
      <c r="K214" s="60"/>
      <c r="L214" s="166">
        <v>109</v>
      </c>
      <c r="M214" s="167">
        <v>365</v>
      </c>
      <c r="N214" s="72" t="str">
        <f t="shared" si="7"/>
        <v>0x6D</v>
      </c>
      <c r="O214" s="168"/>
      <c r="P214" s="168"/>
      <c r="Q214" s="168"/>
      <c r="R214" s="168"/>
      <c r="S214" s="80" t="s">
        <v>461</v>
      </c>
      <c r="T214" s="176"/>
      <c r="U214" s="165"/>
    </row>
    <row r="215" spans="1:21" ht="16.5" customHeight="1" x14ac:dyDescent="0.3">
      <c r="A215" s="171" t="s">
        <v>455</v>
      </c>
      <c r="B215" s="166">
        <v>110</v>
      </c>
      <c r="C215" s="167">
        <v>366</v>
      </c>
      <c r="D215" s="72" t="str">
        <f t="shared" si="6"/>
        <v>0x6E</v>
      </c>
      <c r="E215" s="168"/>
      <c r="F215" s="169"/>
      <c r="G215" s="168"/>
      <c r="H215" s="169"/>
      <c r="I215" s="80" t="s">
        <v>462</v>
      </c>
      <c r="J215" s="170"/>
      <c r="K215" s="60"/>
      <c r="L215" s="166">
        <v>110</v>
      </c>
      <c r="M215" s="167">
        <v>366</v>
      </c>
      <c r="N215" s="72" t="str">
        <f t="shared" si="7"/>
        <v>0x6E</v>
      </c>
      <c r="O215" s="168"/>
      <c r="P215" s="168"/>
      <c r="Q215" s="168"/>
      <c r="R215" s="168"/>
      <c r="S215" s="80" t="s">
        <v>463</v>
      </c>
      <c r="T215" s="207"/>
      <c r="U215" s="165"/>
    </row>
    <row r="216" spans="1:21" ht="16.5" customHeight="1" thickBot="1" x14ac:dyDescent="0.35">
      <c r="A216" s="157"/>
      <c r="B216" s="178">
        <v>111</v>
      </c>
      <c r="C216" s="179">
        <v>367</v>
      </c>
      <c r="D216" s="91" t="str">
        <f t="shared" si="6"/>
        <v>0x6F</v>
      </c>
      <c r="E216" s="180"/>
      <c r="F216" s="181"/>
      <c r="G216" s="180"/>
      <c r="H216" s="181"/>
      <c r="I216" s="122"/>
      <c r="J216" s="190"/>
      <c r="K216" s="98"/>
      <c r="L216" s="178">
        <v>111</v>
      </c>
      <c r="M216" s="179">
        <v>367</v>
      </c>
      <c r="N216" s="91" t="str">
        <f t="shared" si="7"/>
        <v>0x6F</v>
      </c>
      <c r="O216" s="180"/>
      <c r="P216" s="180"/>
      <c r="Q216" s="180"/>
      <c r="R216" s="180"/>
      <c r="S216" s="80" t="s">
        <v>464</v>
      </c>
      <c r="T216" s="170"/>
      <c r="U216" s="165"/>
    </row>
    <row r="217" spans="1:21" ht="16.5" customHeight="1" thickTop="1" x14ac:dyDescent="0.3">
      <c r="A217" s="157"/>
      <c r="B217" s="185">
        <v>112</v>
      </c>
      <c r="C217" s="186">
        <v>368</v>
      </c>
      <c r="D217" s="72" t="str">
        <f t="shared" si="6"/>
        <v>0x70</v>
      </c>
      <c r="E217" s="160"/>
      <c r="F217" s="161"/>
      <c r="G217" s="160"/>
      <c r="H217" s="161"/>
      <c r="I217" s="162"/>
      <c r="J217" s="164"/>
      <c r="K217" s="102">
        <v>8</v>
      </c>
      <c r="L217" s="185">
        <v>112</v>
      </c>
      <c r="M217" s="186">
        <v>368</v>
      </c>
      <c r="N217" s="72" t="str">
        <f t="shared" si="7"/>
        <v>0x70</v>
      </c>
      <c r="O217" s="160"/>
      <c r="P217" s="160"/>
      <c r="Q217" s="160"/>
      <c r="R217" s="160"/>
      <c r="S217" s="162" t="s">
        <v>465</v>
      </c>
      <c r="T217" s="164"/>
      <c r="U217" s="165"/>
    </row>
    <row r="218" spans="1:21" ht="16.5" customHeight="1" x14ac:dyDescent="0.3">
      <c r="A218" s="157"/>
      <c r="B218" s="166">
        <v>113</v>
      </c>
      <c r="C218" s="167">
        <v>369</v>
      </c>
      <c r="D218" s="72" t="str">
        <f t="shared" si="6"/>
        <v>0x71</v>
      </c>
      <c r="E218" s="168"/>
      <c r="F218" s="169"/>
      <c r="G218" s="168"/>
      <c r="H218" s="169"/>
      <c r="I218" s="80"/>
      <c r="J218" s="170"/>
      <c r="K218" s="60"/>
      <c r="L218" s="166">
        <v>113</v>
      </c>
      <c r="M218" s="167">
        <v>369</v>
      </c>
      <c r="N218" s="72" t="str">
        <f t="shared" si="7"/>
        <v>0x71</v>
      </c>
      <c r="O218" s="168"/>
      <c r="P218" s="168"/>
      <c r="Q218" s="168"/>
      <c r="R218" s="168"/>
      <c r="S218" s="80" t="s">
        <v>466</v>
      </c>
      <c r="T218" s="170"/>
      <c r="U218" s="165"/>
    </row>
    <row r="219" spans="1:21" ht="16.5" customHeight="1" x14ac:dyDescent="0.3">
      <c r="A219" s="157"/>
      <c r="B219" s="166">
        <v>114</v>
      </c>
      <c r="C219" s="167">
        <v>370</v>
      </c>
      <c r="D219" s="72" t="str">
        <f t="shared" si="6"/>
        <v>0x72</v>
      </c>
      <c r="E219" s="168"/>
      <c r="F219" s="169"/>
      <c r="G219" s="168"/>
      <c r="H219" s="169"/>
      <c r="I219" s="80"/>
      <c r="J219" s="170"/>
      <c r="K219" s="60"/>
      <c r="L219" s="166">
        <v>114</v>
      </c>
      <c r="M219" s="167">
        <v>370</v>
      </c>
      <c r="N219" s="72" t="str">
        <f t="shared" si="7"/>
        <v>0x72</v>
      </c>
      <c r="O219" s="168"/>
      <c r="P219" s="168"/>
      <c r="Q219" s="168"/>
      <c r="R219" s="168"/>
      <c r="S219" s="80" t="s">
        <v>467</v>
      </c>
      <c r="T219" s="170"/>
      <c r="U219" s="165"/>
    </row>
    <row r="220" spans="1:21" ht="16.5" customHeight="1" x14ac:dyDescent="0.3">
      <c r="A220" s="157"/>
      <c r="B220" s="166">
        <v>115</v>
      </c>
      <c r="C220" s="167">
        <v>371</v>
      </c>
      <c r="D220" s="72" t="str">
        <f t="shared" si="6"/>
        <v>0x73</v>
      </c>
      <c r="E220" s="168"/>
      <c r="F220" s="169"/>
      <c r="G220" s="168"/>
      <c r="H220" s="169"/>
      <c r="I220" s="187"/>
      <c r="J220" s="170"/>
      <c r="K220" s="60"/>
      <c r="L220" s="166">
        <v>115</v>
      </c>
      <c r="M220" s="167">
        <v>371</v>
      </c>
      <c r="N220" s="72" t="str">
        <f t="shared" si="7"/>
        <v>0x73</v>
      </c>
      <c r="O220" s="168"/>
      <c r="P220" s="168"/>
      <c r="Q220" s="168"/>
      <c r="R220" s="168"/>
      <c r="S220" s="80" t="s">
        <v>468</v>
      </c>
      <c r="T220" s="170"/>
      <c r="U220" s="165"/>
    </row>
    <row r="221" spans="1:21" ht="16.5" customHeight="1" x14ac:dyDescent="0.3">
      <c r="A221" s="157"/>
      <c r="B221" s="166">
        <v>116</v>
      </c>
      <c r="C221" s="167">
        <v>372</v>
      </c>
      <c r="D221" s="72" t="str">
        <f t="shared" si="6"/>
        <v>0x74</v>
      </c>
      <c r="E221" s="168"/>
      <c r="F221" s="169"/>
      <c r="G221" s="168"/>
      <c r="H221" s="169"/>
      <c r="I221" s="187"/>
      <c r="J221" s="170"/>
      <c r="K221" s="60"/>
      <c r="L221" s="166">
        <v>116</v>
      </c>
      <c r="M221" s="167">
        <v>372</v>
      </c>
      <c r="N221" s="72" t="str">
        <f t="shared" si="7"/>
        <v>0x74</v>
      </c>
      <c r="O221" s="168"/>
      <c r="P221" s="168"/>
      <c r="Q221" s="168"/>
      <c r="R221" s="168"/>
      <c r="S221" s="80" t="s">
        <v>469</v>
      </c>
      <c r="T221" s="170"/>
      <c r="U221" s="165"/>
    </row>
    <row r="222" spans="1:21" ht="16.5" customHeight="1" x14ac:dyDescent="0.3">
      <c r="A222" s="157"/>
      <c r="B222" s="166">
        <v>117</v>
      </c>
      <c r="C222" s="167">
        <v>373</v>
      </c>
      <c r="D222" s="72" t="str">
        <f t="shared" si="6"/>
        <v>0x75</v>
      </c>
      <c r="E222" s="168"/>
      <c r="F222" s="169"/>
      <c r="G222" s="168"/>
      <c r="H222" s="169"/>
      <c r="I222" s="187"/>
      <c r="J222" s="170"/>
      <c r="K222" s="60"/>
      <c r="L222" s="166">
        <v>117</v>
      </c>
      <c r="M222" s="167">
        <v>373</v>
      </c>
      <c r="N222" s="72" t="str">
        <f t="shared" si="7"/>
        <v>0x75</v>
      </c>
      <c r="O222" s="168"/>
      <c r="P222" s="168"/>
      <c r="Q222" s="168"/>
      <c r="R222" s="168"/>
      <c r="S222" s="80" t="s">
        <v>470</v>
      </c>
      <c r="T222" s="170"/>
      <c r="U222" s="165"/>
    </row>
    <row r="223" spans="1:21" ht="16.5" customHeight="1" x14ac:dyDescent="0.3">
      <c r="A223" s="208" t="s">
        <v>471</v>
      </c>
      <c r="B223" s="166">
        <v>118</v>
      </c>
      <c r="C223" s="167">
        <v>374</v>
      </c>
      <c r="D223" s="72" t="str">
        <f t="shared" si="6"/>
        <v>0x76</v>
      </c>
      <c r="E223" s="168"/>
      <c r="F223" s="169"/>
      <c r="G223" s="168"/>
      <c r="H223" s="169"/>
      <c r="I223" s="127" t="s">
        <v>472</v>
      </c>
      <c r="J223" s="170"/>
      <c r="K223" s="60"/>
      <c r="L223" s="166">
        <v>118</v>
      </c>
      <c r="M223" s="167">
        <v>374</v>
      </c>
      <c r="N223" s="72" t="str">
        <f t="shared" si="7"/>
        <v>0x76</v>
      </c>
      <c r="O223" s="168"/>
      <c r="P223" s="168"/>
      <c r="Q223" s="168"/>
      <c r="R223" s="168"/>
      <c r="S223" s="80" t="s">
        <v>473</v>
      </c>
      <c r="T223" s="170"/>
      <c r="U223" s="165"/>
    </row>
    <row r="224" spans="1:21" ht="16.5" customHeight="1" x14ac:dyDescent="0.3">
      <c r="A224" s="208" t="s">
        <v>471</v>
      </c>
      <c r="B224" s="166">
        <v>119</v>
      </c>
      <c r="C224" s="167">
        <v>375</v>
      </c>
      <c r="D224" s="72" t="str">
        <f t="shared" si="6"/>
        <v>0x77</v>
      </c>
      <c r="E224" s="168"/>
      <c r="F224" s="169"/>
      <c r="G224" s="168"/>
      <c r="H224" s="169"/>
      <c r="I224" s="127" t="s">
        <v>474</v>
      </c>
      <c r="J224" s="170"/>
      <c r="K224" s="60"/>
      <c r="L224" s="166">
        <v>119</v>
      </c>
      <c r="M224" s="167">
        <v>375</v>
      </c>
      <c r="N224" s="72" t="str">
        <f t="shared" si="7"/>
        <v>0x77</v>
      </c>
      <c r="O224" s="168"/>
      <c r="P224" s="168"/>
      <c r="Q224" s="168"/>
      <c r="R224" s="168"/>
      <c r="S224" s="80" t="s">
        <v>475</v>
      </c>
      <c r="T224" s="170"/>
      <c r="U224" s="165"/>
    </row>
    <row r="225" spans="1:21" ht="16.5" customHeight="1" x14ac:dyDescent="0.3">
      <c r="A225" s="208" t="s">
        <v>471</v>
      </c>
      <c r="B225" s="166">
        <v>120</v>
      </c>
      <c r="C225" s="167">
        <v>376</v>
      </c>
      <c r="D225" s="72" t="str">
        <f t="shared" si="6"/>
        <v>0x78</v>
      </c>
      <c r="E225" s="168"/>
      <c r="F225" s="169"/>
      <c r="G225" s="168"/>
      <c r="H225" s="169"/>
      <c r="I225" s="127" t="s">
        <v>476</v>
      </c>
      <c r="J225" s="170"/>
      <c r="K225" s="60"/>
      <c r="L225" s="166">
        <v>120</v>
      </c>
      <c r="M225" s="167">
        <v>376</v>
      </c>
      <c r="N225" s="72" t="str">
        <f t="shared" si="7"/>
        <v>0x78</v>
      </c>
      <c r="O225" s="168"/>
      <c r="P225" s="168"/>
      <c r="Q225" s="168"/>
      <c r="R225" s="168"/>
      <c r="S225" s="120" t="s">
        <v>477</v>
      </c>
      <c r="T225" s="170"/>
      <c r="U225" s="203" t="s">
        <v>210</v>
      </c>
    </row>
    <row r="226" spans="1:21" ht="16.5" customHeight="1" x14ac:dyDescent="0.3">
      <c r="A226" s="208" t="s">
        <v>478</v>
      </c>
      <c r="B226" s="166">
        <v>121</v>
      </c>
      <c r="C226" s="167">
        <v>377</v>
      </c>
      <c r="D226" s="72" t="str">
        <f t="shared" si="6"/>
        <v>0x79</v>
      </c>
      <c r="E226" s="168"/>
      <c r="F226" s="169"/>
      <c r="G226" s="168"/>
      <c r="H226" s="169"/>
      <c r="I226" s="127" t="s">
        <v>479</v>
      </c>
      <c r="J226" s="170"/>
      <c r="K226" s="60"/>
      <c r="L226" s="166">
        <v>121</v>
      </c>
      <c r="M226" s="167">
        <v>377</v>
      </c>
      <c r="N226" s="72" t="str">
        <f t="shared" si="7"/>
        <v>0x79</v>
      </c>
      <c r="O226" s="168"/>
      <c r="P226" s="168"/>
      <c r="Q226" s="168"/>
      <c r="R226" s="168"/>
      <c r="S226" s="120" t="s">
        <v>480</v>
      </c>
      <c r="T226" s="170"/>
      <c r="U226" s="203"/>
    </row>
    <row r="227" spans="1:21" ht="16.5" customHeight="1" x14ac:dyDescent="0.3">
      <c r="A227" s="209"/>
      <c r="B227" s="166">
        <v>122</v>
      </c>
      <c r="C227" s="167">
        <v>378</v>
      </c>
      <c r="D227" s="72" t="str">
        <f t="shared" si="6"/>
        <v>0x7A</v>
      </c>
      <c r="E227" s="168"/>
      <c r="F227" s="169"/>
      <c r="G227" s="168"/>
      <c r="H227" s="169"/>
      <c r="I227" s="80"/>
      <c r="J227" s="170"/>
      <c r="K227" s="60"/>
      <c r="L227" s="166">
        <v>122</v>
      </c>
      <c r="M227" s="167">
        <v>378</v>
      </c>
      <c r="N227" s="72" t="str">
        <f t="shared" si="7"/>
        <v>0x7A</v>
      </c>
      <c r="O227" s="168"/>
      <c r="P227" s="168"/>
      <c r="Q227" s="168"/>
      <c r="R227" s="168"/>
      <c r="S227" s="120"/>
      <c r="T227" s="188"/>
      <c r="U227" s="165"/>
    </row>
    <row r="228" spans="1:21" ht="16.5" customHeight="1" x14ac:dyDescent="0.3">
      <c r="A228" s="208" t="s">
        <v>481</v>
      </c>
      <c r="B228" s="166">
        <v>123</v>
      </c>
      <c r="C228" s="167">
        <v>379</v>
      </c>
      <c r="D228" s="72" t="str">
        <f t="shared" si="6"/>
        <v>0x7B</v>
      </c>
      <c r="E228" s="168"/>
      <c r="F228" s="169"/>
      <c r="G228" s="168"/>
      <c r="H228" s="169"/>
      <c r="I228" s="127" t="s">
        <v>482</v>
      </c>
      <c r="J228" s="170"/>
      <c r="K228" s="60"/>
      <c r="L228" s="166">
        <v>123</v>
      </c>
      <c r="M228" s="167">
        <v>379</v>
      </c>
      <c r="N228" s="72" t="str">
        <f t="shared" si="7"/>
        <v>0x7B</v>
      </c>
      <c r="O228" s="168"/>
      <c r="P228" s="168"/>
      <c r="Q228" s="168"/>
      <c r="R228" s="168"/>
      <c r="S228" s="120"/>
      <c r="T228" s="188"/>
      <c r="U228" s="165"/>
    </row>
    <row r="229" spans="1:21" ht="16.5" customHeight="1" x14ac:dyDescent="0.3">
      <c r="A229" s="208" t="s">
        <v>481</v>
      </c>
      <c r="B229" s="166">
        <v>124</v>
      </c>
      <c r="C229" s="167">
        <v>380</v>
      </c>
      <c r="D229" s="72" t="str">
        <f t="shared" si="6"/>
        <v>0x7C</v>
      </c>
      <c r="E229" s="168"/>
      <c r="F229" s="169"/>
      <c r="G229" s="168"/>
      <c r="H229" s="169"/>
      <c r="I229" s="127" t="s">
        <v>483</v>
      </c>
      <c r="J229" s="170"/>
      <c r="K229" s="60"/>
      <c r="L229" s="166">
        <v>124</v>
      </c>
      <c r="M229" s="167">
        <v>380</v>
      </c>
      <c r="N229" s="72" t="str">
        <f t="shared" si="7"/>
        <v>0x7C</v>
      </c>
      <c r="O229" s="168"/>
      <c r="P229" s="168"/>
      <c r="Q229" s="168"/>
      <c r="R229" s="168"/>
      <c r="S229" s="120" t="s">
        <v>484</v>
      </c>
      <c r="T229" s="170"/>
      <c r="U229" s="165"/>
    </row>
    <row r="230" spans="1:21" ht="16.5" customHeight="1" x14ac:dyDescent="0.3">
      <c r="A230" s="208" t="s">
        <v>481</v>
      </c>
      <c r="B230" s="166">
        <v>125</v>
      </c>
      <c r="C230" s="167">
        <v>381</v>
      </c>
      <c r="D230" s="72" t="str">
        <f t="shared" si="6"/>
        <v>0x7D</v>
      </c>
      <c r="E230" s="168"/>
      <c r="F230" s="169"/>
      <c r="G230" s="168"/>
      <c r="H230" s="169"/>
      <c r="I230" s="127" t="s">
        <v>485</v>
      </c>
      <c r="J230" s="170"/>
      <c r="K230" s="60"/>
      <c r="L230" s="166">
        <v>125</v>
      </c>
      <c r="M230" s="167">
        <v>381</v>
      </c>
      <c r="N230" s="72" t="str">
        <f t="shared" si="7"/>
        <v>0x7D</v>
      </c>
      <c r="O230" s="168"/>
      <c r="P230" s="168"/>
      <c r="Q230" s="168"/>
      <c r="R230" s="168"/>
      <c r="S230" s="120" t="s">
        <v>486</v>
      </c>
      <c r="T230" s="170"/>
      <c r="U230" s="165"/>
    </row>
    <row r="231" spans="1:21" ht="16.5" customHeight="1" x14ac:dyDescent="0.3">
      <c r="A231" s="208" t="s">
        <v>481</v>
      </c>
      <c r="B231" s="166">
        <v>126</v>
      </c>
      <c r="C231" s="167">
        <v>382</v>
      </c>
      <c r="D231" s="72" t="str">
        <f t="shared" si="6"/>
        <v>0x7E</v>
      </c>
      <c r="E231" s="168"/>
      <c r="F231" s="169"/>
      <c r="G231" s="168"/>
      <c r="H231" s="169"/>
      <c r="I231" s="127" t="s">
        <v>487</v>
      </c>
      <c r="J231" s="170"/>
      <c r="K231" s="60"/>
      <c r="L231" s="166">
        <v>126</v>
      </c>
      <c r="M231" s="167">
        <v>382</v>
      </c>
      <c r="N231" s="72" t="str">
        <f t="shared" si="7"/>
        <v>0x7E</v>
      </c>
      <c r="O231" s="168"/>
      <c r="P231" s="168"/>
      <c r="Q231" s="168"/>
      <c r="R231" s="168"/>
      <c r="S231" s="120"/>
      <c r="T231" s="176"/>
      <c r="U231" s="165"/>
    </row>
    <row r="232" spans="1:21" ht="16.5" customHeight="1" thickBot="1" x14ac:dyDescent="0.35">
      <c r="A232" s="157"/>
      <c r="B232" s="178">
        <v>127</v>
      </c>
      <c r="C232" s="179">
        <v>383</v>
      </c>
      <c r="D232" s="91" t="str">
        <f t="shared" si="6"/>
        <v>0x7F</v>
      </c>
      <c r="E232" s="180"/>
      <c r="F232" s="181"/>
      <c r="G232" s="180"/>
      <c r="H232" s="181"/>
      <c r="I232" s="122"/>
      <c r="J232" s="190"/>
      <c r="K232" s="98"/>
      <c r="L232" s="178">
        <v>127</v>
      </c>
      <c r="M232" s="179">
        <v>383</v>
      </c>
      <c r="N232" s="91" t="str">
        <f t="shared" si="7"/>
        <v>0x7F</v>
      </c>
      <c r="O232" s="180"/>
      <c r="P232" s="180"/>
      <c r="Q232" s="180"/>
      <c r="R232" s="180"/>
      <c r="S232" s="122"/>
      <c r="T232" s="184"/>
      <c r="U232" s="165"/>
    </row>
    <row r="233" spans="1:21" ht="16.5" customHeight="1" thickTop="1" x14ac:dyDescent="0.3">
      <c r="A233" s="157"/>
      <c r="B233" s="185">
        <v>128</v>
      </c>
      <c r="C233" s="186">
        <v>384</v>
      </c>
      <c r="D233" s="72" t="str">
        <f t="shared" si="6"/>
        <v>0x80</v>
      </c>
      <c r="E233" s="160"/>
      <c r="F233" s="161"/>
      <c r="G233" s="160"/>
      <c r="H233" s="161"/>
      <c r="I233" s="162"/>
      <c r="J233" s="164"/>
      <c r="K233" s="102">
        <v>9</v>
      </c>
      <c r="L233" s="185">
        <v>128</v>
      </c>
      <c r="M233" s="186">
        <v>384</v>
      </c>
      <c r="N233" s="72" t="str">
        <f t="shared" si="7"/>
        <v>0x80</v>
      </c>
      <c r="O233" s="160"/>
      <c r="P233" s="160"/>
      <c r="Q233" s="160"/>
      <c r="R233" s="160"/>
      <c r="S233" s="210" t="s">
        <v>488</v>
      </c>
      <c r="T233" s="164"/>
      <c r="U233" s="165"/>
    </row>
    <row r="234" spans="1:21" ht="16.5" customHeight="1" x14ac:dyDescent="0.3">
      <c r="A234" s="157"/>
      <c r="B234" s="166">
        <v>129</v>
      </c>
      <c r="C234" s="167">
        <v>385</v>
      </c>
      <c r="D234" s="72" t="str">
        <f t="shared" si="6"/>
        <v>0x81</v>
      </c>
      <c r="E234" s="168"/>
      <c r="F234" s="169"/>
      <c r="G234" s="168"/>
      <c r="H234" s="169"/>
      <c r="I234" s="187"/>
      <c r="J234" s="170"/>
      <c r="K234" s="60"/>
      <c r="L234" s="166">
        <v>129</v>
      </c>
      <c r="M234" s="167">
        <v>385</v>
      </c>
      <c r="N234" s="72" t="str">
        <f t="shared" si="7"/>
        <v>0x81</v>
      </c>
      <c r="O234" s="168"/>
      <c r="P234" s="168"/>
      <c r="Q234" s="168"/>
      <c r="R234" s="168"/>
      <c r="S234" s="120" t="s">
        <v>489</v>
      </c>
      <c r="T234" s="170"/>
      <c r="U234" s="165"/>
    </row>
    <row r="235" spans="1:21" ht="16.5" customHeight="1" x14ac:dyDescent="0.3">
      <c r="A235" s="157"/>
      <c r="B235" s="166">
        <v>130</v>
      </c>
      <c r="C235" s="167">
        <v>386</v>
      </c>
      <c r="D235" s="72" t="str">
        <f t="shared" ref="D235:D298" si="8">CONCATENATE("0x", DEC2HEX(B235,2))</f>
        <v>0x82</v>
      </c>
      <c r="E235" s="168"/>
      <c r="F235" s="169"/>
      <c r="G235" s="168"/>
      <c r="H235" s="169"/>
      <c r="I235" s="187"/>
      <c r="J235" s="170"/>
      <c r="K235" s="60"/>
      <c r="L235" s="166">
        <v>130</v>
      </c>
      <c r="M235" s="167">
        <v>386</v>
      </c>
      <c r="N235" s="72" t="str">
        <f t="shared" ref="N235:N298" si="9">CONCATENATE("0x", DEC2HEX(L235,2))</f>
        <v>0x82</v>
      </c>
      <c r="O235" s="168"/>
      <c r="P235" s="168"/>
      <c r="Q235" s="168"/>
      <c r="R235" s="168"/>
      <c r="S235" s="120" t="s">
        <v>490</v>
      </c>
      <c r="T235" s="170"/>
      <c r="U235" s="165"/>
    </row>
    <row r="236" spans="1:21" ht="16.5" customHeight="1" x14ac:dyDescent="0.3">
      <c r="A236" s="157"/>
      <c r="B236" s="166">
        <v>131</v>
      </c>
      <c r="C236" s="167">
        <v>387</v>
      </c>
      <c r="D236" s="72" t="str">
        <f t="shared" si="8"/>
        <v>0x83</v>
      </c>
      <c r="E236" s="168"/>
      <c r="F236" s="169"/>
      <c r="G236" s="168"/>
      <c r="H236" s="169"/>
      <c r="I236" s="187"/>
      <c r="J236" s="170"/>
      <c r="K236" s="60"/>
      <c r="L236" s="166">
        <v>131</v>
      </c>
      <c r="M236" s="167">
        <v>387</v>
      </c>
      <c r="N236" s="72" t="str">
        <f t="shared" si="9"/>
        <v>0x83</v>
      </c>
      <c r="O236" s="168"/>
      <c r="P236" s="168"/>
      <c r="Q236" s="168"/>
      <c r="R236" s="168"/>
      <c r="S236" s="80" t="s">
        <v>491</v>
      </c>
      <c r="T236" s="170"/>
      <c r="U236" s="165" t="s">
        <v>210</v>
      </c>
    </row>
    <row r="237" spans="1:21" ht="16.5" customHeight="1" x14ac:dyDescent="0.3">
      <c r="A237" s="157"/>
      <c r="B237" s="166">
        <v>132</v>
      </c>
      <c r="C237" s="167">
        <v>388</v>
      </c>
      <c r="D237" s="72" t="str">
        <f t="shared" si="8"/>
        <v>0x84</v>
      </c>
      <c r="E237" s="168"/>
      <c r="F237" s="169"/>
      <c r="G237" s="168"/>
      <c r="H237" s="169"/>
      <c r="I237" s="187"/>
      <c r="J237" s="170"/>
      <c r="K237" s="60"/>
      <c r="L237" s="166">
        <v>132</v>
      </c>
      <c r="M237" s="167">
        <v>388</v>
      </c>
      <c r="N237" s="72" t="str">
        <f t="shared" si="9"/>
        <v>0x84</v>
      </c>
      <c r="O237" s="168"/>
      <c r="P237" s="168"/>
      <c r="Q237" s="168"/>
      <c r="R237" s="168"/>
      <c r="S237" s="80" t="s">
        <v>492</v>
      </c>
      <c r="T237" s="170"/>
      <c r="U237" s="165"/>
    </row>
    <row r="238" spans="1:21" ht="16.5" customHeight="1" x14ac:dyDescent="0.3">
      <c r="A238" s="157"/>
      <c r="B238" s="166">
        <v>133</v>
      </c>
      <c r="C238" s="167">
        <v>389</v>
      </c>
      <c r="D238" s="72" t="str">
        <f t="shared" si="8"/>
        <v>0x85</v>
      </c>
      <c r="E238" s="168"/>
      <c r="F238" s="169"/>
      <c r="G238" s="168"/>
      <c r="H238" s="169"/>
      <c r="I238" s="187"/>
      <c r="J238" s="170"/>
      <c r="K238" s="60"/>
      <c r="L238" s="166">
        <v>133</v>
      </c>
      <c r="M238" s="167">
        <v>389</v>
      </c>
      <c r="N238" s="72" t="str">
        <f t="shared" si="9"/>
        <v>0x85</v>
      </c>
      <c r="O238" s="168"/>
      <c r="P238" s="168"/>
      <c r="Q238" s="168"/>
      <c r="R238" s="168"/>
      <c r="S238" s="80" t="s">
        <v>493</v>
      </c>
      <c r="T238" s="170"/>
      <c r="U238" s="165" t="s">
        <v>210</v>
      </c>
    </row>
    <row r="239" spans="1:21" ht="16.5" customHeight="1" x14ac:dyDescent="0.3">
      <c r="A239" s="157"/>
      <c r="B239" s="166">
        <v>134</v>
      </c>
      <c r="C239" s="167">
        <v>390</v>
      </c>
      <c r="D239" s="72" t="str">
        <f t="shared" si="8"/>
        <v>0x86</v>
      </c>
      <c r="E239" s="168"/>
      <c r="F239" s="169"/>
      <c r="G239" s="168"/>
      <c r="H239" s="169"/>
      <c r="I239" s="80"/>
      <c r="J239" s="170"/>
      <c r="K239" s="60"/>
      <c r="L239" s="166">
        <v>134</v>
      </c>
      <c r="M239" s="167">
        <v>390</v>
      </c>
      <c r="N239" s="72" t="str">
        <f t="shared" si="9"/>
        <v>0x86</v>
      </c>
      <c r="O239" s="168"/>
      <c r="P239" s="168"/>
      <c r="Q239" s="168"/>
      <c r="R239" s="168"/>
      <c r="S239" s="80" t="s">
        <v>494</v>
      </c>
      <c r="T239" s="170"/>
      <c r="U239" s="165"/>
    </row>
    <row r="240" spans="1:21" ht="16.5" customHeight="1" x14ac:dyDescent="0.3">
      <c r="A240" s="157"/>
      <c r="B240" s="166">
        <v>135</v>
      </c>
      <c r="C240" s="167">
        <v>391</v>
      </c>
      <c r="D240" s="72" t="str">
        <f t="shared" si="8"/>
        <v>0x87</v>
      </c>
      <c r="E240" s="168"/>
      <c r="F240" s="169"/>
      <c r="G240" s="168"/>
      <c r="H240" s="169"/>
      <c r="I240" s="80"/>
      <c r="J240" s="170"/>
      <c r="K240" s="60"/>
      <c r="L240" s="166">
        <v>135</v>
      </c>
      <c r="M240" s="167">
        <v>391</v>
      </c>
      <c r="N240" s="72" t="str">
        <f t="shared" si="9"/>
        <v>0x87</v>
      </c>
      <c r="O240" s="168"/>
      <c r="P240" s="168"/>
      <c r="Q240" s="168"/>
      <c r="R240" s="168"/>
      <c r="S240" s="80" t="s">
        <v>495</v>
      </c>
      <c r="T240" s="170"/>
      <c r="U240" s="203" t="s">
        <v>210</v>
      </c>
    </row>
    <row r="241" spans="1:21" ht="16.5" customHeight="1" thickBot="1" x14ac:dyDescent="0.35">
      <c r="A241" s="157"/>
      <c r="B241" s="166">
        <v>136</v>
      </c>
      <c r="C241" s="167">
        <v>392</v>
      </c>
      <c r="D241" s="72" t="str">
        <f t="shared" si="8"/>
        <v>0x88</v>
      </c>
      <c r="E241" s="168"/>
      <c r="F241" s="169"/>
      <c r="G241" s="168"/>
      <c r="H241" s="169"/>
      <c r="I241" s="80"/>
      <c r="J241" s="170"/>
      <c r="K241" s="60"/>
      <c r="L241" s="166">
        <v>136</v>
      </c>
      <c r="M241" s="167">
        <v>392</v>
      </c>
      <c r="N241" s="72" t="str">
        <f t="shared" si="9"/>
        <v>0x88</v>
      </c>
      <c r="O241" s="168"/>
      <c r="P241" s="168"/>
      <c r="Q241" s="168"/>
      <c r="R241" s="168"/>
      <c r="S241" s="211" t="s">
        <v>496</v>
      </c>
      <c r="T241" s="212"/>
      <c r="U241" s="203"/>
    </row>
    <row r="242" spans="1:21" ht="16.5" customHeight="1" thickBot="1" x14ac:dyDescent="0.35">
      <c r="A242" s="157"/>
      <c r="B242" s="166">
        <v>137</v>
      </c>
      <c r="C242" s="167">
        <v>393</v>
      </c>
      <c r="D242" s="72" t="str">
        <f t="shared" si="8"/>
        <v>0x89</v>
      </c>
      <c r="E242" s="168"/>
      <c r="F242" s="169"/>
      <c r="G242" s="168"/>
      <c r="H242" s="169"/>
      <c r="I242" s="80"/>
      <c r="J242" s="170"/>
      <c r="K242" s="60"/>
      <c r="L242" s="166">
        <v>137</v>
      </c>
      <c r="M242" s="167">
        <v>393</v>
      </c>
      <c r="N242" s="72" t="str">
        <f t="shared" si="9"/>
        <v>0x89</v>
      </c>
      <c r="O242" s="168"/>
      <c r="P242" s="168"/>
      <c r="Q242" s="168"/>
      <c r="R242" s="213"/>
      <c r="S242" s="214" t="s">
        <v>497</v>
      </c>
      <c r="T242" s="215" t="s">
        <v>498</v>
      </c>
      <c r="U242" s="203"/>
    </row>
    <row r="243" spans="1:21" ht="16.5" customHeight="1" x14ac:dyDescent="0.3">
      <c r="A243" s="157"/>
      <c r="B243" s="166">
        <v>138</v>
      </c>
      <c r="C243" s="167">
        <v>394</v>
      </c>
      <c r="D243" s="72" t="str">
        <f t="shared" si="8"/>
        <v>0x8A</v>
      </c>
      <c r="E243" s="168"/>
      <c r="F243" s="169"/>
      <c r="G243" s="168"/>
      <c r="H243" s="169"/>
      <c r="I243" s="80"/>
      <c r="J243" s="170"/>
      <c r="K243" s="60"/>
      <c r="L243" s="166">
        <v>138</v>
      </c>
      <c r="M243" s="167">
        <v>394</v>
      </c>
      <c r="N243" s="72" t="str">
        <f t="shared" si="9"/>
        <v>0x8A</v>
      </c>
      <c r="O243" s="168"/>
      <c r="P243" s="168"/>
      <c r="Q243" s="168"/>
      <c r="R243" s="168"/>
      <c r="S243" s="66" t="s">
        <v>499</v>
      </c>
      <c r="T243" s="207"/>
      <c r="U243" s="203"/>
    </row>
    <row r="244" spans="1:21" ht="16.5" customHeight="1" x14ac:dyDescent="0.3">
      <c r="A244" s="157"/>
      <c r="B244" s="166">
        <v>139</v>
      </c>
      <c r="C244" s="167">
        <v>395</v>
      </c>
      <c r="D244" s="72" t="str">
        <f t="shared" si="8"/>
        <v>0x8B</v>
      </c>
      <c r="E244" s="168"/>
      <c r="F244" s="169"/>
      <c r="G244" s="168"/>
      <c r="H244" s="169"/>
      <c r="I244" s="80"/>
      <c r="J244" s="170"/>
      <c r="K244" s="60"/>
      <c r="L244" s="166">
        <v>139</v>
      </c>
      <c r="M244" s="167">
        <v>395</v>
      </c>
      <c r="N244" s="72" t="str">
        <f t="shared" si="9"/>
        <v>0x8B</v>
      </c>
      <c r="O244" s="168"/>
      <c r="P244" s="168"/>
      <c r="Q244" s="168"/>
      <c r="R244" s="168"/>
      <c r="S244" s="80" t="s">
        <v>500</v>
      </c>
      <c r="T244" s="170"/>
      <c r="U244" s="165"/>
    </row>
    <row r="245" spans="1:21" ht="16.5" customHeight="1" x14ac:dyDescent="0.3">
      <c r="A245" s="157"/>
      <c r="B245" s="166">
        <v>140</v>
      </c>
      <c r="C245" s="167">
        <v>396</v>
      </c>
      <c r="D245" s="72" t="str">
        <f t="shared" si="8"/>
        <v>0x8C</v>
      </c>
      <c r="E245" s="168"/>
      <c r="F245" s="169"/>
      <c r="G245" s="168"/>
      <c r="H245" s="169"/>
      <c r="I245" s="80"/>
      <c r="J245" s="170"/>
      <c r="K245" s="60"/>
      <c r="L245" s="166">
        <v>140</v>
      </c>
      <c r="M245" s="167">
        <v>396</v>
      </c>
      <c r="N245" s="72" t="str">
        <f t="shared" si="9"/>
        <v>0x8C</v>
      </c>
      <c r="O245" s="168"/>
      <c r="P245" s="168"/>
      <c r="Q245" s="168"/>
      <c r="R245" s="168"/>
      <c r="S245" s="80" t="s">
        <v>501</v>
      </c>
      <c r="T245" s="170"/>
      <c r="U245" s="165"/>
    </row>
    <row r="246" spans="1:21" ht="16.5" customHeight="1" x14ac:dyDescent="0.3">
      <c r="A246" s="157"/>
      <c r="B246" s="166">
        <v>141</v>
      </c>
      <c r="C246" s="167">
        <v>397</v>
      </c>
      <c r="D246" s="72" t="str">
        <f t="shared" si="8"/>
        <v>0x8D</v>
      </c>
      <c r="E246" s="168"/>
      <c r="F246" s="169"/>
      <c r="G246" s="168"/>
      <c r="H246" s="169"/>
      <c r="I246" s="80"/>
      <c r="J246" s="170"/>
      <c r="K246" s="60"/>
      <c r="L246" s="166">
        <v>141</v>
      </c>
      <c r="M246" s="167">
        <v>397</v>
      </c>
      <c r="N246" s="72" t="str">
        <f t="shared" si="9"/>
        <v>0x8D</v>
      </c>
      <c r="O246" s="168"/>
      <c r="P246" s="168"/>
      <c r="Q246" s="168"/>
      <c r="R246" s="168"/>
      <c r="S246" s="80" t="s">
        <v>502</v>
      </c>
      <c r="T246" s="170"/>
      <c r="U246" s="165"/>
    </row>
    <row r="247" spans="1:21" ht="16.5" customHeight="1" x14ac:dyDescent="0.3">
      <c r="A247" s="157"/>
      <c r="B247" s="166">
        <v>142</v>
      </c>
      <c r="C247" s="167">
        <v>398</v>
      </c>
      <c r="D247" s="72" t="str">
        <f t="shared" si="8"/>
        <v>0x8E</v>
      </c>
      <c r="E247" s="168"/>
      <c r="F247" s="169"/>
      <c r="G247" s="168"/>
      <c r="H247" s="169"/>
      <c r="I247" s="80"/>
      <c r="J247" s="170"/>
      <c r="K247" s="60"/>
      <c r="L247" s="166">
        <v>142</v>
      </c>
      <c r="M247" s="167">
        <v>398</v>
      </c>
      <c r="N247" s="72" t="str">
        <f t="shared" si="9"/>
        <v>0x8E</v>
      </c>
      <c r="O247" s="168"/>
      <c r="P247" s="168"/>
      <c r="Q247" s="168"/>
      <c r="R247" s="168"/>
      <c r="S247" s="80" t="s">
        <v>503</v>
      </c>
      <c r="T247" s="176"/>
      <c r="U247" s="203" t="s">
        <v>210</v>
      </c>
    </row>
    <row r="248" spans="1:21" ht="16.5" customHeight="1" thickBot="1" x14ac:dyDescent="0.35">
      <c r="A248" s="157"/>
      <c r="B248" s="178">
        <v>143</v>
      </c>
      <c r="C248" s="179">
        <v>399</v>
      </c>
      <c r="D248" s="91" t="str">
        <f t="shared" si="8"/>
        <v>0x8F</v>
      </c>
      <c r="E248" s="180"/>
      <c r="F248" s="181"/>
      <c r="G248" s="180"/>
      <c r="H248" s="181"/>
      <c r="I248" s="122"/>
      <c r="J248" s="190"/>
      <c r="K248" s="98"/>
      <c r="L248" s="178">
        <v>143</v>
      </c>
      <c r="M248" s="179">
        <v>399</v>
      </c>
      <c r="N248" s="91" t="str">
        <f t="shared" si="9"/>
        <v>0x8F</v>
      </c>
      <c r="O248" s="180"/>
      <c r="P248" s="180"/>
      <c r="Q248" s="180"/>
      <c r="R248" s="180"/>
      <c r="S248" s="122" t="s">
        <v>504</v>
      </c>
      <c r="T248" s="184"/>
      <c r="U248" s="203"/>
    </row>
    <row r="249" spans="1:21" ht="16.5" customHeight="1" thickTop="1" x14ac:dyDescent="0.3">
      <c r="A249" s="157"/>
      <c r="B249" s="185">
        <v>144</v>
      </c>
      <c r="C249" s="186">
        <v>400</v>
      </c>
      <c r="D249" s="72" t="str">
        <f t="shared" si="8"/>
        <v>0x90</v>
      </c>
      <c r="E249" s="160"/>
      <c r="F249" s="161"/>
      <c r="G249" s="160"/>
      <c r="H249" s="161"/>
      <c r="I249" s="162"/>
      <c r="J249" s="164"/>
      <c r="K249" s="102">
        <v>10</v>
      </c>
      <c r="L249" s="185">
        <v>144</v>
      </c>
      <c r="M249" s="186">
        <v>400</v>
      </c>
      <c r="N249" s="72" t="str">
        <f t="shared" si="9"/>
        <v>0x90</v>
      </c>
      <c r="O249" s="160"/>
      <c r="P249" s="160"/>
      <c r="Q249" s="160"/>
      <c r="R249" s="160"/>
      <c r="S249" s="66" t="s">
        <v>505</v>
      </c>
      <c r="T249" s="164"/>
      <c r="U249" s="203"/>
    </row>
    <row r="250" spans="1:21" ht="16.5" customHeight="1" x14ac:dyDescent="0.3">
      <c r="A250" s="157"/>
      <c r="B250" s="166">
        <v>145</v>
      </c>
      <c r="C250" s="167">
        <v>401</v>
      </c>
      <c r="D250" s="72" t="str">
        <f t="shared" si="8"/>
        <v>0x91</v>
      </c>
      <c r="E250" s="168"/>
      <c r="F250" s="169"/>
      <c r="G250" s="168"/>
      <c r="H250" s="169"/>
      <c r="I250" s="80"/>
      <c r="J250" s="170"/>
      <c r="K250" s="60"/>
      <c r="L250" s="166">
        <v>145</v>
      </c>
      <c r="M250" s="167">
        <v>401</v>
      </c>
      <c r="N250" s="72" t="str">
        <f t="shared" si="9"/>
        <v>0x91</v>
      </c>
      <c r="O250" s="168"/>
      <c r="P250" s="168"/>
      <c r="Q250" s="168"/>
      <c r="R250" s="168"/>
      <c r="S250" s="80" t="s">
        <v>506</v>
      </c>
      <c r="T250" s="170"/>
      <c r="U250" s="165"/>
    </row>
    <row r="251" spans="1:21" ht="16.5" customHeight="1" x14ac:dyDescent="0.3">
      <c r="A251" s="157"/>
      <c r="B251" s="166">
        <v>146</v>
      </c>
      <c r="C251" s="167">
        <v>402</v>
      </c>
      <c r="D251" s="72" t="str">
        <f t="shared" si="8"/>
        <v>0x92</v>
      </c>
      <c r="E251" s="168"/>
      <c r="F251" s="169"/>
      <c r="G251" s="168"/>
      <c r="H251" s="169"/>
      <c r="I251" s="80"/>
      <c r="J251" s="170"/>
      <c r="K251" s="60"/>
      <c r="L251" s="166">
        <v>146</v>
      </c>
      <c r="M251" s="167">
        <v>402</v>
      </c>
      <c r="N251" s="72" t="str">
        <f t="shared" si="9"/>
        <v>0x92</v>
      </c>
      <c r="O251" s="168"/>
      <c r="P251" s="168"/>
      <c r="Q251" s="168"/>
      <c r="R251" s="168"/>
      <c r="S251" s="80"/>
      <c r="T251" s="170"/>
      <c r="U251" s="165"/>
    </row>
    <row r="252" spans="1:21" ht="16.5" customHeight="1" x14ac:dyDescent="0.3">
      <c r="A252" s="157"/>
      <c r="B252" s="166">
        <v>147</v>
      </c>
      <c r="C252" s="167">
        <v>403</v>
      </c>
      <c r="D252" s="72" t="str">
        <f t="shared" si="8"/>
        <v>0x93</v>
      </c>
      <c r="E252" s="168"/>
      <c r="F252" s="169"/>
      <c r="G252" s="168"/>
      <c r="H252" s="169"/>
      <c r="I252" s="80"/>
      <c r="J252" s="170"/>
      <c r="K252" s="60"/>
      <c r="L252" s="166">
        <v>147</v>
      </c>
      <c r="M252" s="167">
        <v>403</v>
      </c>
      <c r="N252" s="72" t="str">
        <f t="shared" si="9"/>
        <v>0x93</v>
      </c>
      <c r="O252" s="168"/>
      <c r="P252" s="168"/>
      <c r="Q252" s="168"/>
      <c r="R252" s="168"/>
      <c r="S252" s="80"/>
      <c r="T252" s="170"/>
      <c r="U252" s="165"/>
    </row>
    <row r="253" spans="1:21" ht="16.5" customHeight="1" x14ac:dyDescent="0.3">
      <c r="A253" s="157"/>
      <c r="B253" s="166">
        <v>148</v>
      </c>
      <c r="C253" s="167">
        <v>404</v>
      </c>
      <c r="D253" s="72" t="str">
        <f t="shared" si="8"/>
        <v>0x94</v>
      </c>
      <c r="E253" s="168"/>
      <c r="F253" s="169"/>
      <c r="G253" s="168"/>
      <c r="H253" s="169"/>
      <c r="I253" s="80"/>
      <c r="J253" s="170"/>
      <c r="K253" s="60"/>
      <c r="L253" s="166">
        <v>148</v>
      </c>
      <c r="M253" s="167">
        <v>404</v>
      </c>
      <c r="N253" s="72" t="str">
        <f t="shared" si="9"/>
        <v>0x94</v>
      </c>
      <c r="O253" s="168"/>
      <c r="P253" s="168"/>
      <c r="Q253" s="168"/>
      <c r="R253" s="168"/>
      <c r="S253" s="80"/>
      <c r="T253" s="170"/>
      <c r="U253" s="165"/>
    </row>
    <row r="254" spans="1:21" ht="16.5" customHeight="1" x14ac:dyDescent="0.3">
      <c r="A254" s="157"/>
      <c r="B254" s="166">
        <v>149</v>
      </c>
      <c r="C254" s="167">
        <v>405</v>
      </c>
      <c r="D254" s="72" t="str">
        <f t="shared" si="8"/>
        <v>0x95</v>
      </c>
      <c r="E254" s="168"/>
      <c r="F254" s="169"/>
      <c r="G254" s="168"/>
      <c r="H254" s="169"/>
      <c r="I254" s="80"/>
      <c r="J254" s="170"/>
      <c r="K254" s="60"/>
      <c r="L254" s="166">
        <v>149</v>
      </c>
      <c r="M254" s="167">
        <v>405</v>
      </c>
      <c r="N254" s="72" t="str">
        <f t="shared" si="9"/>
        <v>0x95</v>
      </c>
      <c r="O254" s="168"/>
      <c r="P254" s="168"/>
      <c r="Q254" s="168"/>
      <c r="R254" s="168"/>
      <c r="S254" s="216"/>
      <c r="T254" s="170"/>
      <c r="U254" s="165"/>
    </row>
    <row r="255" spans="1:21" ht="16.5" customHeight="1" x14ac:dyDescent="0.3">
      <c r="A255" s="157"/>
      <c r="B255" s="166">
        <v>150</v>
      </c>
      <c r="C255" s="167">
        <v>406</v>
      </c>
      <c r="D255" s="72" t="str">
        <f t="shared" si="8"/>
        <v>0x96</v>
      </c>
      <c r="E255" s="168"/>
      <c r="F255" s="169"/>
      <c r="G255" s="168"/>
      <c r="H255" s="169"/>
      <c r="I255" s="80"/>
      <c r="J255" s="170"/>
      <c r="K255" s="60"/>
      <c r="L255" s="166">
        <v>150</v>
      </c>
      <c r="M255" s="167">
        <v>406</v>
      </c>
      <c r="N255" s="72" t="str">
        <f t="shared" si="9"/>
        <v>0x96</v>
      </c>
      <c r="O255" s="168"/>
      <c r="P255" s="168"/>
      <c r="Q255" s="168"/>
      <c r="R255" s="168"/>
      <c r="S255" s="66"/>
      <c r="T255" s="170"/>
      <c r="U255" s="165"/>
    </row>
    <row r="256" spans="1:21" ht="16.5" customHeight="1" x14ac:dyDescent="0.3">
      <c r="A256" s="157"/>
      <c r="B256" s="166">
        <v>151</v>
      </c>
      <c r="C256" s="167">
        <v>407</v>
      </c>
      <c r="D256" s="72" t="str">
        <f t="shared" si="8"/>
        <v>0x97</v>
      </c>
      <c r="E256" s="168"/>
      <c r="F256" s="169"/>
      <c r="G256" s="168"/>
      <c r="H256" s="169"/>
      <c r="I256" s="86"/>
      <c r="J256" s="170"/>
      <c r="K256" s="60"/>
      <c r="L256" s="166">
        <v>151</v>
      </c>
      <c r="M256" s="167">
        <v>407</v>
      </c>
      <c r="N256" s="72" t="str">
        <f t="shared" si="9"/>
        <v>0x97</v>
      </c>
      <c r="O256" s="168"/>
      <c r="P256" s="168"/>
      <c r="Q256" s="168"/>
      <c r="R256" s="168"/>
      <c r="S256" s="80"/>
      <c r="T256" s="170"/>
      <c r="U256" s="165"/>
    </row>
    <row r="257" spans="1:21" ht="16.5" customHeight="1" x14ac:dyDescent="0.3">
      <c r="A257" s="157"/>
      <c r="B257" s="166">
        <v>152</v>
      </c>
      <c r="C257" s="167">
        <v>408</v>
      </c>
      <c r="D257" s="72" t="str">
        <f t="shared" si="8"/>
        <v>0x98</v>
      </c>
      <c r="E257" s="168"/>
      <c r="F257" s="169"/>
      <c r="G257" s="168"/>
      <c r="H257" s="169"/>
      <c r="I257" s="80"/>
      <c r="J257" s="170"/>
      <c r="K257" s="60"/>
      <c r="L257" s="166">
        <v>152</v>
      </c>
      <c r="M257" s="167">
        <v>408</v>
      </c>
      <c r="N257" s="72" t="str">
        <f t="shared" si="9"/>
        <v>0x98</v>
      </c>
      <c r="O257" s="168"/>
      <c r="P257" s="168"/>
      <c r="Q257" s="168"/>
      <c r="R257" s="168"/>
      <c r="S257" s="80"/>
      <c r="T257" s="170"/>
      <c r="U257" s="165"/>
    </row>
    <row r="258" spans="1:21" ht="16.5" customHeight="1" x14ac:dyDescent="0.3">
      <c r="A258" s="157"/>
      <c r="B258" s="166">
        <v>153</v>
      </c>
      <c r="C258" s="167">
        <v>409</v>
      </c>
      <c r="D258" s="72" t="str">
        <f t="shared" si="8"/>
        <v>0x99</v>
      </c>
      <c r="E258" s="168"/>
      <c r="F258" s="169"/>
      <c r="G258" s="168"/>
      <c r="H258" s="169"/>
      <c r="I258" s="80"/>
      <c r="J258" s="170"/>
      <c r="K258" s="60"/>
      <c r="L258" s="166">
        <v>153</v>
      </c>
      <c r="M258" s="167">
        <v>409</v>
      </c>
      <c r="N258" s="72" t="str">
        <f t="shared" si="9"/>
        <v>0x99</v>
      </c>
      <c r="O258" s="168"/>
      <c r="P258" s="168"/>
      <c r="Q258" s="168"/>
      <c r="R258" s="168"/>
      <c r="S258" s="216"/>
      <c r="T258" s="170"/>
      <c r="U258" s="165"/>
    </row>
    <row r="259" spans="1:21" ht="16.5" customHeight="1" x14ac:dyDescent="0.3">
      <c r="A259" s="157"/>
      <c r="B259" s="166">
        <v>154</v>
      </c>
      <c r="C259" s="167">
        <v>410</v>
      </c>
      <c r="D259" s="72" t="str">
        <f t="shared" si="8"/>
        <v>0x9A</v>
      </c>
      <c r="E259" s="168"/>
      <c r="F259" s="169"/>
      <c r="G259" s="168"/>
      <c r="H259" s="169"/>
      <c r="I259" s="80"/>
      <c r="J259" s="170"/>
      <c r="K259" s="60"/>
      <c r="L259" s="166">
        <v>154</v>
      </c>
      <c r="M259" s="167">
        <v>410</v>
      </c>
      <c r="N259" s="72" t="str">
        <f t="shared" si="9"/>
        <v>0x9A</v>
      </c>
      <c r="O259" s="168"/>
      <c r="P259" s="168"/>
      <c r="Q259" s="168"/>
      <c r="R259" s="168"/>
      <c r="S259" s="80" t="s">
        <v>507</v>
      </c>
      <c r="T259" s="170"/>
      <c r="U259" s="165"/>
    </row>
    <row r="260" spans="1:21" ht="16.5" customHeight="1" x14ac:dyDescent="0.3">
      <c r="A260" s="157"/>
      <c r="B260" s="166">
        <v>155</v>
      </c>
      <c r="C260" s="167">
        <v>411</v>
      </c>
      <c r="D260" s="72" t="str">
        <f t="shared" si="8"/>
        <v>0x9B</v>
      </c>
      <c r="E260" s="168"/>
      <c r="F260" s="169"/>
      <c r="G260" s="168"/>
      <c r="H260" s="169"/>
      <c r="I260" s="80"/>
      <c r="J260" s="170"/>
      <c r="K260" s="60"/>
      <c r="L260" s="166">
        <v>155</v>
      </c>
      <c r="M260" s="167">
        <v>411</v>
      </c>
      <c r="N260" s="72" t="str">
        <f t="shared" si="9"/>
        <v>0x9B</v>
      </c>
      <c r="O260" s="168"/>
      <c r="P260" s="168"/>
      <c r="Q260" s="168"/>
      <c r="R260" s="168"/>
      <c r="S260" s="120" t="s">
        <v>508</v>
      </c>
      <c r="T260" s="170"/>
      <c r="U260" s="165"/>
    </row>
    <row r="261" spans="1:21" ht="16.5" customHeight="1" x14ac:dyDescent="0.3">
      <c r="A261" s="157"/>
      <c r="B261" s="166">
        <v>156</v>
      </c>
      <c r="C261" s="167">
        <v>412</v>
      </c>
      <c r="D261" s="72" t="str">
        <f t="shared" si="8"/>
        <v>0x9C</v>
      </c>
      <c r="E261" s="168"/>
      <c r="F261" s="169"/>
      <c r="G261" s="168"/>
      <c r="H261" s="169"/>
      <c r="I261" s="80"/>
      <c r="J261" s="170"/>
      <c r="K261" s="60"/>
      <c r="L261" s="166">
        <v>156</v>
      </c>
      <c r="M261" s="167">
        <v>412</v>
      </c>
      <c r="N261" s="72" t="str">
        <f t="shared" si="9"/>
        <v>0x9C</v>
      </c>
      <c r="O261" s="168"/>
      <c r="P261" s="168"/>
      <c r="Q261" s="168"/>
      <c r="R261" s="168"/>
      <c r="S261" s="216"/>
      <c r="T261" s="170"/>
      <c r="U261" s="165"/>
    </row>
    <row r="262" spans="1:21" ht="16.5" customHeight="1" x14ac:dyDescent="0.3">
      <c r="A262" s="157"/>
      <c r="B262" s="166">
        <v>157</v>
      </c>
      <c r="C262" s="167">
        <v>413</v>
      </c>
      <c r="D262" s="72" t="str">
        <f t="shared" si="8"/>
        <v>0x9D</v>
      </c>
      <c r="E262" s="168"/>
      <c r="F262" s="169"/>
      <c r="G262" s="168"/>
      <c r="H262" s="169"/>
      <c r="I262" s="80"/>
      <c r="J262" s="170"/>
      <c r="K262" s="60"/>
      <c r="L262" s="166">
        <v>157</v>
      </c>
      <c r="M262" s="167">
        <v>413</v>
      </c>
      <c r="N262" s="72" t="str">
        <f t="shared" si="9"/>
        <v>0x9D</v>
      </c>
      <c r="O262" s="168"/>
      <c r="P262" s="168"/>
      <c r="Q262" s="168"/>
      <c r="R262" s="168"/>
      <c r="S262" s="216"/>
      <c r="T262" s="170"/>
      <c r="U262" s="165"/>
    </row>
    <row r="263" spans="1:21" ht="16.5" customHeight="1" x14ac:dyDescent="0.3">
      <c r="A263" s="157"/>
      <c r="B263" s="166">
        <v>158</v>
      </c>
      <c r="C263" s="167">
        <v>414</v>
      </c>
      <c r="D263" s="72" t="str">
        <f t="shared" si="8"/>
        <v>0x9E</v>
      </c>
      <c r="E263" s="168"/>
      <c r="F263" s="169"/>
      <c r="G263" s="168"/>
      <c r="H263" s="169"/>
      <c r="I263" s="80"/>
      <c r="J263" s="170"/>
      <c r="K263" s="60"/>
      <c r="L263" s="166">
        <v>158</v>
      </c>
      <c r="M263" s="167">
        <v>414</v>
      </c>
      <c r="N263" s="72" t="str">
        <f t="shared" si="9"/>
        <v>0x9E</v>
      </c>
      <c r="O263" s="168"/>
      <c r="P263" s="168"/>
      <c r="Q263" s="168"/>
      <c r="R263" s="168"/>
      <c r="S263" s="216"/>
      <c r="T263" s="176"/>
      <c r="U263" s="165"/>
    </row>
    <row r="264" spans="1:21" ht="16.5" customHeight="1" thickBot="1" x14ac:dyDescent="0.35">
      <c r="A264" s="157"/>
      <c r="B264" s="178">
        <v>159</v>
      </c>
      <c r="C264" s="179">
        <v>415</v>
      </c>
      <c r="D264" s="91" t="str">
        <f t="shared" si="8"/>
        <v>0x9F</v>
      </c>
      <c r="E264" s="180"/>
      <c r="F264" s="181"/>
      <c r="G264" s="180"/>
      <c r="H264" s="181"/>
      <c r="I264" s="122"/>
      <c r="J264" s="190"/>
      <c r="K264" s="98"/>
      <c r="L264" s="178">
        <v>159</v>
      </c>
      <c r="M264" s="179">
        <v>415</v>
      </c>
      <c r="N264" s="91" t="str">
        <f t="shared" si="9"/>
        <v>0x9F</v>
      </c>
      <c r="O264" s="180"/>
      <c r="P264" s="180"/>
      <c r="Q264" s="180"/>
      <c r="R264" s="180"/>
      <c r="S264" s="217"/>
      <c r="T264" s="184"/>
      <c r="U264" s="165"/>
    </row>
    <row r="265" spans="1:21" ht="16.5" customHeight="1" thickTop="1" x14ac:dyDescent="0.3">
      <c r="A265" s="157"/>
      <c r="B265" s="185">
        <v>160</v>
      </c>
      <c r="C265" s="186">
        <v>416</v>
      </c>
      <c r="D265" s="72" t="str">
        <f t="shared" si="8"/>
        <v>0xA0</v>
      </c>
      <c r="E265" s="160"/>
      <c r="F265" s="161"/>
      <c r="G265" s="160"/>
      <c r="H265" s="161"/>
      <c r="I265" s="162"/>
      <c r="J265" s="164"/>
      <c r="K265" s="102">
        <v>11</v>
      </c>
      <c r="L265" s="185">
        <v>160</v>
      </c>
      <c r="M265" s="186">
        <v>416</v>
      </c>
      <c r="N265" s="72" t="str">
        <f t="shared" si="9"/>
        <v>0xA0</v>
      </c>
      <c r="O265" s="160"/>
      <c r="P265" s="160"/>
      <c r="Q265" s="160"/>
      <c r="R265" s="160"/>
      <c r="S265" s="162" t="s">
        <v>509</v>
      </c>
      <c r="T265" s="164"/>
      <c r="U265" s="165"/>
    </row>
    <row r="266" spans="1:21" ht="16.5" customHeight="1" x14ac:dyDescent="0.3">
      <c r="A266" s="157"/>
      <c r="B266" s="166">
        <v>161</v>
      </c>
      <c r="C266" s="167">
        <v>417</v>
      </c>
      <c r="D266" s="72" t="str">
        <f t="shared" si="8"/>
        <v>0xA1</v>
      </c>
      <c r="E266" s="168"/>
      <c r="F266" s="169"/>
      <c r="G266" s="168"/>
      <c r="H266" s="169"/>
      <c r="I266" s="80"/>
      <c r="J266" s="170"/>
      <c r="K266" s="60"/>
      <c r="L266" s="166">
        <v>161</v>
      </c>
      <c r="M266" s="167">
        <v>417</v>
      </c>
      <c r="N266" s="72" t="str">
        <f t="shared" si="9"/>
        <v>0xA1</v>
      </c>
      <c r="O266" s="168"/>
      <c r="P266" s="168"/>
      <c r="Q266" s="168"/>
      <c r="R266" s="168"/>
      <c r="S266" s="80" t="s">
        <v>510</v>
      </c>
      <c r="T266" s="170"/>
      <c r="U266" s="165"/>
    </row>
    <row r="267" spans="1:21" ht="16.5" customHeight="1" x14ac:dyDescent="0.3">
      <c r="A267" s="157"/>
      <c r="B267" s="166">
        <v>162</v>
      </c>
      <c r="C267" s="167">
        <v>418</v>
      </c>
      <c r="D267" s="72" t="str">
        <f t="shared" si="8"/>
        <v>0xA2</v>
      </c>
      <c r="E267" s="168"/>
      <c r="F267" s="169"/>
      <c r="G267" s="168"/>
      <c r="H267" s="169"/>
      <c r="I267" s="80"/>
      <c r="J267" s="170"/>
      <c r="K267" s="60"/>
      <c r="L267" s="166">
        <v>162</v>
      </c>
      <c r="M267" s="167">
        <v>418</v>
      </c>
      <c r="N267" s="72" t="str">
        <f t="shared" si="9"/>
        <v>0xA2</v>
      </c>
      <c r="O267" s="168"/>
      <c r="P267" s="168"/>
      <c r="Q267" s="168"/>
      <c r="R267" s="168"/>
      <c r="S267" s="80" t="s">
        <v>511</v>
      </c>
      <c r="T267" s="170"/>
      <c r="U267" s="165"/>
    </row>
    <row r="268" spans="1:21" ht="16.5" customHeight="1" x14ac:dyDescent="0.3">
      <c r="A268" s="157"/>
      <c r="B268" s="166">
        <v>163</v>
      </c>
      <c r="C268" s="167">
        <v>419</v>
      </c>
      <c r="D268" s="72" t="str">
        <f t="shared" si="8"/>
        <v>0xA3</v>
      </c>
      <c r="E268" s="168"/>
      <c r="F268" s="169"/>
      <c r="G268" s="168"/>
      <c r="H268" s="169"/>
      <c r="I268" s="80"/>
      <c r="J268" s="170"/>
      <c r="K268" s="60"/>
      <c r="L268" s="166">
        <v>163</v>
      </c>
      <c r="M268" s="167">
        <v>419</v>
      </c>
      <c r="N268" s="72" t="str">
        <f t="shared" si="9"/>
        <v>0xA3</v>
      </c>
      <c r="O268" s="168"/>
      <c r="P268" s="168"/>
      <c r="Q268" s="168"/>
      <c r="R268" s="168"/>
      <c r="S268" s="80" t="s">
        <v>512</v>
      </c>
      <c r="T268" s="170"/>
      <c r="U268" s="165"/>
    </row>
    <row r="269" spans="1:21" ht="16.5" customHeight="1" x14ac:dyDescent="0.3">
      <c r="A269" s="157"/>
      <c r="B269" s="166">
        <v>164</v>
      </c>
      <c r="C269" s="167">
        <v>420</v>
      </c>
      <c r="D269" s="72" t="str">
        <f t="shared" si="8"/>
        <v>0xA4</v>
      </c>
      <c r="E269" s="168"/>
      <c r="F269" s="169"/>
      <c r="G269" s="168"/>
      <c r="H269" s="169"/>
      <c r="I269" s="80"/>
      <c r="J269" s="170"/>
      <c r="K269" s="60"/>
      <c r="L269" s="166">
        <v>164</v>
      </c>
      <c r="M269" s="167">
        <v>420</v>
      </c>
      <c r="N269" s="72" t="str">
        <f t="shared" si="9"/>
        <v>0xA4</v>
      </c>
      <c r="O269" s="168"/>
      <c r="P269" s="168"/>
      <c r="Q269" s="168"/>
      <c r="R269" s="168"/>
      <c r="S269" s="80" t="s">
        <v>513</v>
      </c>
      <c r="T269" s="170"/>
      <c r="U269" s="165"/>
    </row>
    <row r="270" spans="1:21" ht="16.5" customHeight="1" x14ac:dyDescent="0.3">
      <c r="A270" s="157"/>
      <c r="B270" s="166">
        <v>165</v>
      </c>
      <c r="C270" s="167">
        <v>421</v>
      </c>
      <c r="D270" s="72" t="str">
        <f t="shared" si="8"/>
        <v>0xA5</v>
      </c>
      <c r="E270" s="168"/>
      <c r="F270" s="169"/>
      <c r="G270" s="168"/>
      <c r="H270" s="169"/>
      <c r="I270" s="80"/>
      <c r="J270" s="170"/>
      <c r="K270" s="60"/>
      <c r="L270" s="166">
        <v>165</v>
      </c>
      <c r="M270" s="167">
        <v>421</v>
      </c>
      <c r="N270" s="72" t="str">
        <f t="shared" si="9"/>
        <v>0xA5</v>
      </c>
      <c r="O270" s="168"/>
      <c r="P270" s="168"/>
      <c r="Q270" s="168"/>
      <c r="R270" s="168"/>
      <c r="S270" s="80" t="s">
        <v>514</v>
      </c>
      <c r="T270" s="170"/>
      <c r="U270" s="165"/>
    </row>
    <row r="271" spans="1:21" ht="16.5" customHeight="1" x14ac:dyDescent="0.3">
      <c r="A271" s="157"/>
      <c r="B271" s="166">
        <v>166</v>
      </c>
      <c r="C271" s="167">
        <v>422</v>
      </c>
      <c r="D271" s="72" t="str">
        <f t="shared" si="8"/>
        <v>0xA6</v>
      </c>
      <c r="E271" s="168"/>
      <c r="F271" s="169"/>
      <c r="G271" s="168"/>
      <c r="H271" s="169"/>
      <c r="I271" s="80"/>
      <c r="J271" s="170"/>
      <c r="K271" s="60"/>
      <c r="L271" s="166">
        <v>166</v>
      </c>
      <c r="M271" s="167">
        <v>422</v>
      </c>
      <c r="N271" s="72" t="str">
        <f t="shared" si="9"/>
        <v>0xA6</v>
      </c>
      <c r="O271" s="168"/>
      <c r="P271" s="168"/>
      <c r="Q271" s="168"/>
      <c r="R271" s="168"/>
      <c r="S271" s="80" t="s">
        <v>515</v>
      </c>
      <c r="T271" s="170"/>
      <c r="U271" s="165"/>
    </row>
    <row r="272" spans="1:21" ht="16.5" customHeight="1" x14ac:dyDescent="0.3">
      <c r="A272" s="157"/>
      <c r="B272" s="166">
        <v>167</v>
      </c>
      <c r="C272" s="167">
        <v>423</v>
      </c>
      <c r="D272" s="72" t="str">
        <f t="shared" si="8"/>
        <v>0xA7</v>
      </c>
      <c r="E272" s="168"/>
      <c r="F272" s="169"/>
      <c r="G272" s="168"/>
      <c r="H272" s="169"/>
      <c r="I272" s="86"/>
      <c r="J272" s="170"/>
      <c r="K272" s="60"/>
      <c r="L272" s="166">
        <v>167</v>
      </c>
      <c r="M272" s="167">
        <v>423</v>
      </c>
      <c r="N272" s="72" t="str">
        <f t="shared" si="9"/>
        <v>0xA7</v>
      </c>
      <c r="O272" s="168"/>
      <c r="P272" s="168"/>
      <c r="Q272" s="168"/>
      <c r="R272" s="168"/>
      <c r="S272" s="80" t="s">
        <v>516</v>
      </c>
      <c r="T272" s="170"/>
      <c r="U272" s="165"/>
    </row>
    <row r="273" spans="1:21" ht="16.5" customHeight="1" x14ac:dyDescent="0.3">
      <c r="A273" s="157"/>
      <c r="B273" s="166">
        <v>168</v>
      </c>
      <c r="C273" s="167">
        <v>424</v>
      </c>
      <c r="D273" s="72" t="str">
        <f t="shared" si="8"/>
        <v>0xA8</v>
      </c>
      <c r="E273" s="168"/>
      <c r="F273" s="169"/>
      <c r="G273" s="168"/>
      <c r="H273" s="169"/>
      <c r="I273" s="80"/>
      <c r="J273" s="170"/>
      <c r="K273" s="60"/>
      <c r="L273" s="166">
        <v>168</v>
      </c>
      <c r="M273" s="167">
        <v>424</v>
      </c>
      <c r="N273" s="72" t="str">
        <f t="shared" si="9"/>
        <v>0xA8</v>
      </c>
      <c r="O273" s="168"/>
      <c r="P273" s="168"/>
      <c r="Q273" s="168"/>
      <c r="R273" s="168"/>
      <c r="S273" s="80" t="s">
        <v>517</v>
      </c>
      <c r="T273" s="170"/>
      <c r="U273" s="165"/>
    </row>
    <row r="274" spans="1:21" ht="16.5" customHeight="1" x14ac:dyDescent="0.3">
      <c r="A274" s="157"/>
      <c r="B274" s="166">
        <v>169</v>
      </c>
      <c r="C274" s="167">
        <v>425</v>
      </c>
      <c r="D274" s="72" t="str">
        <f t="shared" si="8"/>
        <v>0xA9</v>
      </c>
      <c r="E274" s="168"/>
      <c r="F274" s="169"/>
      <c r="G274" s="168"/>
      <c r="H274" s="169"/>
      <c r="I274" s="80"/>
      <c r="J274" s="170"/>
      <c r="K274" s="60"/>
      <c r="L274" s="166">
        <v>169</v>
      </c>
      <c r="M274" s="167">
        <v>425</v>
      </c>
      <c r="N274" s="72" t="str">
        <f t="shared" si="9"/>
        <v>0xA9</v>
      </c>
      <c r="O274" s="168"/>
      <c r="P274" s="168"/>
      <c r="Q274" s="168"/>
      <c r="R274" s="168"/>
      <c r="S274" s="80" t="s">
        <v>518</v>
      </c>
      <c r="T274" s="170"/>
      <c r="U274" s="165"/>
    </row>
    <row r="275" spans="1:21" ht="16.5" customHeight="1" x14ac:dyDescent="0.3">
      <c r="A275" s="157"/>
      <c r="B275" s="166">
        <v>170</v>
      </c>
      <c r="C275" s="167">
        <v>426</v>
      </c>
      <c r="D275" s="72" t="str">
        <f t="shared" si="8"/>
        <v>0xAA</v>
      </c>
      <c r="E275" s="168"/>
      <c r="F275" s="169"/>
      <c r="G275" s="168"/>
      <c r="H275" s="169"/>
      <c r="I275" s="80"/>
      <c r="J275" s="170"/>
      <c r="K275" s="60"/>
      <c r="L275" s="166">
        <v>170</v>
      </c>
      <c r="M275" s="167">
        <v>426</v>
      </c>
      <c r="N275" s="72" t="str">
        <f t="shared" si="9"/>
        <v>0xAA</v>
      </c>
      <c r="O275" s="168"/>
      <c r="P275" s="168"/>
      <c r="Q275" s="168"/>
      <c r="R275" s="168"/>
      <c r="S275" s="80"/>
      <c r="T275" s="170"/>
      <c r="U275" s="165"/>
    </row>
    <row r="276" spans="1:21" ht="16.5" customHeight="1" x14ac:dyDescent="0.3">
      <c r="A276" s="157"/>
      <c r="B276" s="166">
        <v>171</v>
      </c>
      <c r="C276" s="167">
        <v>427</v>
      </c>
      <c r="D276" s="72" t="str">
        <f t="shared" si="8"/>
        <v>0xAB</v>
      </c>
      <c r="E276" s="168"/>
      <c r="F276" s="169"/>
      <c r="G276" s="168"/>
      <c r="H276" s="169"/>
      <c r="I276" s="80"/>
      <c r="J276" s="170"/>
      <c r="K276" s="60"/>
      <c r="L276" s="166">
        <v>171</v>
      </c>
      <c r="M276" s="167">
        <v>427</v>
      </c>
      <c r="N276" s="72" t="str">
        <f t="shared" si="9"/>
        <v>0xAB</v>
      </c>
      <c r="O276" s="168"/>
      <c r="P276" s="168"/>
      <c r="Q276" s="168"/>
      <c r="R276" s="168"/>
      <c r="S276" s="80" t="s">
        <v>519</v>
      </c>
      <c r="T276" s="170"/>
      <c r="U276" s="165"/>
    </row>
    <row r="277" spans="1:21" ht="16.5" customHeight="1" x14ac:dyDescent="0.3">
      <c r="A277" s="157"/>
      <c r="B277" s="166">
        <v>172</v>
      </c>
      <c r="C277" s="167">
        <v>428</v>
      </c>
      <c r="D277" s="72" t="str">
        <f t="shared" si="8"/>
        <v>0xAC</v>
      </c>
      <c r="E277" s="168"/>
      <c r="F277" s="169"/>
      <c r="G277" s="168"/>
      <c r="H277" s="169"/>
      <c r="I277" s="80"/>
      <c r="J277" s="170"/>
      <c r="K277" s="60"/>
      <c r="L277" s="166">
        <v>172</v>
      </c>
      <c r="M277" s="167">
        <v>428</v>
      </c>
      <c r="N277" s="72" t="str">
        <f t="shared" si="9"/>
        <v>0xAC</v>
      </c>
      <c r="O277" s="168"/>
      <c r="P277" s="168"/>
      <c r="Q277" s="168"/>
      <c r="R277" s="168"/>
      <c r="S277" s="80" t="s">
        <v>520</v>
      </c>
      <c r="T277" s="170"/>
      <c r="U277" s="203" t="s">
        <v>424</v>
      </c>
    </row>
    <row r="278" spans="1:21" ht="16.5" customHeight="1" x14ac:dyDescent="0.3">
      <c r="A278" s="157"/>
      <c r="B278" s="166">
        <v>173</v>
      </c>
      <c r="C278" s="167">
        <v>429</v>
      </c>
      <c r="D278" s="72" t="str">
        <f t="shared" si="8"/>
        <v>0xAD</v>
      </c>
      <c r="E278" s="168"/>
      <c r="F278" s="169"/>
      <c r="G278" s="168"/>
      <c r="H278" s="169"/>
      <c r="I278" s="80"/>
      <c r="J278" s="170"/>
      <c r="K278" s="60"/>
      <c r="L278" s="166">
        <v>173</v>
      </c>
      <c r="M278" s="167">
        <v>429</v>
      </c>
      <c r="N278" s="72" t="str">
        <f t="shared" si="9"/>
        <v>0xAD</v>
      </c>
      <c r="O278" s="168"/>
      <c r="P278" s="168"/>
      <c r="Q278" s="168"/>
      <c r="R278" s="168"/>
      <c r="S278" s="80" t="s">
        <v>521</v>
      </c>
      <c r="T278" s="170"/>
      <c r="U278" s="203"/>
    </row>
    <row r="279" spans="1:21" ht="16.5" customHeight="1" x14ac:dyDescent="0.3">
      <c r="A279" s="157"/>
      <c r="B279" s="166">
        <v>174</v>
      </c>
      <c r="C279" s="167">
        <v>430</v>
      </c>
      <c r="D279" s="72" t="str">
        <f t="shared" si="8"/>
        <v>0xAE</v>
      </c>
      <c r="E279" s="168"/>
      <c r="F279" s="169"/>
      <c r="G279" s="168"/>
      <c r="H279" s="169"/>
      <c r="I279" s="80"/>
      <c r="J279" s="170"/>
      <c r="K279" s="60"/>
      <c r="L279" s="166">
        <v>174</v>
      </c>
      <c r="M279" s="167">
        <v>430</v>
      </c>
      <c r="N279" s="72" t="str">
        <f t="shared" si="9"/>
        <v>0xAE</v>
      </c>
      <c r="O279" s="168"/>
      <c r="P279" s="168"/>
      <c r="Q279" s="168"/>
      <c r="R279" s="168"/>
      <c r="S279" s="80" t="s">
        <v>522</v>
      </c>
      <c r="T279" s="176"/>
      <c r="U279" s="203"/>
    </row>
    <row r="280" spans="1:21" ht="16.5" customHeight="1" thickBot="1" x14ac:dyDescent="0.35">
      <c r="A280" s="157"/>
      <c r="B280" s="178">
        <v>175</v>
      </c>
      <c r="C280" s="179">
        <v>431</v>
      </c>
      <c r="D280" s="91" t="str">
        <f t="shared" si="8"/>
        <v>0xAF</v>
      </c>
      <c r="E280" s="180"/>
      <c r="F280" s="181"/>
      <c r="G280" s="180"/>
      <c r="H280" s="181"/>
      <c r="I280" s="122"/>
      <c r="J280" s="190"/>
      <c r="K280" s="98"/>
      <c r="L280" s="178">
        <v>175</v>
      </c>
      <c r="M280" s="179">
        <v>431</v>
      </c>
      <c r="N280" s="91" t="str">
        <f t="shared" si="9"/>
        <v>0xAF</v>
      </c>
      <c r="O280" s="180"/>
      <c r="P280" s="180"/>
      <c r="Q280" s="180"/>
      <c r="R280" s="180"/>
      <c r="S280" s="122" t="s">
        <v>523</v>
      </c>
      <c r="T280" s="184"/>
      <c r="U280" s="203"/>
    </row>
    <row r="281" spans="1:21" ht="16.5" customHeight="1" thickTop="1" x14ac:dyDescent="0.3">
      <c r="A281" s="157"/>
      <c r="B281" s="185">
        <v>176</v>
      </c>
      <c r="C281" s="186">
        <v>432</v>
      </c>
      <c r="D281" s="72" t="str">
        <f t="shared" si="8"/>
        <v>0xB0</v>
      </c>
      <c r="E281" s="160"/>
      <c r="F281" s="161"/>
      <c r="G281" s="160"/>
      <c r="H281" s="161"/>
      <c r="I281" s="162"/>
      <c r="J281" s="164"/>
      <c r="K281" s="102">
        <v>12</v>
      </c>
      <c r="L281" s="185">
        <v>176</v>
      </c>
      <c r="M281" s="186">
        <v>432</v>
      </c>
      <c r="N281" s="72" t="str">
        <f t="shared" si="9"/>
        <v>0xB0</v>
      </c>
      <c r="O281" s="160"/>
      <c r="P281" s="160"/>
      <c r="Q281" s="160"/>
      <c r="R281" s="160"/>
      <c r="S281" s="218"/>
      <c r="T281" s="202"/>
      <c r="U281" s="165"/>
    </row>
    <row r="282" spans="1:21" ht="16.5" customHeight="1" x14ac:dyDescent="0.3">
      <c r="A282" s="157"/>
      <c r="B282" s="166">
        <v>177</v>
      </c>
      <c r="C282" s="167">
        <v>433</v>
      </c>
      <c r="D282" s="72" t="str">
        <f t="shared" si="8"/>
        <v>0xB1</v>
      </c>
      <c r="E282" s="168"/>
      <c r="F282" s="169"/>
      <c r="G282" s="168"/>
      <c r="H282" s="169"/>
      <c r="I282" s="80"/>
      <c r="J282" s="170"/>
      <c r="K282" s="60"/>
      <c r="L282" s="166">
        <v>177</v>
      </c>
      <c r="M282" s="167">
        <v>433</v>
      </c>
      <c r="N282" s="72" t="str">
        <f t="shared" si="9"/>
        <v>0xB1</v>
      </c>
      <c r="O282" s="168"/>
      <c r="P282" s="168"/>
      <c r="Q282" s="168"/>
      <c r="R282" s="168"/>
      <c r="S282" s="80"/>
      <c r="T282" s="170"/>
      <c r="U282" s="165"/>
    </row>
    <row r="283" spans="1:21" ht="16.5" customHeight="1" x14ac:dyDescent="0.3">
      <c r="A283" s="157"/>
      <c r="B283" s="166">
        <v>178</v>
      </c>
      <c r="C283" s="167">
        <v>434</v>
      </c>
      <c r="D283" s="72" t="str">
        <f t="shared" si="8"/>
        <v>0xB2</v>
      </c>
      <c r="E283" s="168"/>
      <c r="F283" s="169"/>
      <c r="G283" s="168"/>
      <c r="H283" s="169"/>
      <c r="I283" s="80"/>
      <c r="J283" s="170"/>
      <c r="K283" s="60"/>
      <c r="L283" s="166">
        <v>178</v>
      </c>
      <c r="M283" s="167">
        <v>434</v>
      </c>
      <c r="N283" s="72" t="str">
        <f t="shared" si="9"/>
        <v>0xB2</v>
      </c>
      <c r="O283" s="168"/>
      <c r="P283" s="168"/>
      <c r="Q283" s="168"/>
      <c r="R283" s="168"/>
      <c r="S283" s="80"/>
      <c r="T283" s="170"/>
      <c r="U283" s="165"/>
    </row>
    <row r="284" spans="1:21" ht="16.5" customHeight="1" x14ac:dyDescent="0.3">
      <c r="A284" s="157"/>
      <c r="B284" s="166">
        <v>179</v>
      </c>
      <c r="C284" s="167">
        <v>435</v>
      </c>
      <c r="D284" s="72" t="str">
        <f t="shared" si="8"/>
        <v>0xB3</v>
      </c>
      <c r="E284" s="168"/>
      <c r="F284" s="169"/>
      <c r="G284" s="168"/>
      <c r="H284" s="169"/>
      <c r="I284" s="80"/>
      <c r="J284" s="170"/>
      <c r="K284" s="60"/>
      <c r="L284" s="166">
        <v>179</v>
      </c>
      <c r="M284" s="167">
        <v>435</v>
      </c>
      <c r="N284" s="72" t="str">
        <f t="shared" si="9"/>
        <v>0xB3</v>
      </c>
      <c r="O284" s="168"/>
      <c r="P284" s="168"/>
      <c r="Q284" s="168"/>
      <c r="R284" s="168"/>
      <c r="S284" s="80"/>
      <c r="T284" s="170"/>
      <c r="U284" s="165"/>
    </row>
    <row r="285" spans="1:21" ht="16.5" customHeight="1" x14ac:dyDescent="0.3">
      <c r="A285" s="157"/>
      <c r="B285" s="166">
        <v>180</v>
      </c>
      <c r="C285" s="167">
        <v>436</v>
      </c>
      <c r="D285" s="72" t="str">
        <f t="shared" si="8"/>
        <v>0xB4</v>
      </c>
      <c r="E285" s="168"/>
      <c r="F285" s="169"/>
      <c r="G285" s="168"/>
      <c r="H285" s="169"/>
      <c r="I285" s="80"/>
      <c r="J285" s="170"/>
      <c r="K285" s="60"/>
      <c r="L285" s="166">
        <v>180</v>
      </c>
      <c r="M285" s="167">
        <v>436</v>
      </c>
      <c r="N285" s="72" t="str">
        <f t="shared" si="9"/>
        <v>0xB4</v>
      </c>
      <c r="O285" s="168"/>
      <c r="P285" s="168"/>
      <c r="Q285" s="168"/>
      <c r="R285" s="168"/>
      <c r="S285" s="80"/>
      <c r="T285" s="170"/>
      <c r="U285" s="165"/>
    </row>
    <row r="286" spans="1:21" ht="16.5" customHeight="1" x14ac:dyDescent="0.3">
      <c r="A286" s="157"/>
      <c r="B286" s="166">
        <v>181</v>
      </c>
      <c r="C286" s="167">
        <v>437</v>
      </c>
      <c r="D286" s="72" t="str">
        <f t="shared" si="8"/>
        <v>0xB5</v>
      </c>
      <c r="E286" s="168"/>
      <c r="F286" s="169"/>
      <c r="G286" s="168"/>
      <c r="H286" s="169"/>
      <c r="I286" s="80"/>
      <c r="J286" s="170"/>
      <c r="K286" s="60"/>
      <c r="L286" s="166">
        <v>181</v>
      </c>
      <c r="M286" s="167">
        <v>437</v>
      </c>
      <c r="N286" s="72" t="str">
        <f t="shared" si="9"/>
        <v>0xB5</v>
      </c>
      <c r="O286" s="168"/>
      <c r="P286" s="168"/>
      <c r="Q286" s="168"/>
      <c r="R286" s="168"/>
      <c r="S286" s="80"/>
      <c r="T286" s="170"/>
      <c r="U286" s="165"/>
    </row>
    <row r="287" spans="1:21" ht="16.5" customHeight="1" x14ac:dyDescent="0.3">
      <c r="A287" s="157"/>
      <c r="B287" s="166">
        <v>182</v>
      </c>
      <c r="C287" s="167">
        <v>438</v>
      </c>
      <c r="D287" s="72" t="str">
        <f t="shared" si="8"/>
        <v>0xB6</v>
      </c>
      <c r="E287" s="168"/>
      <c r="F287" s="169"/>
      <c r="G287" s="168"/>
      <c r="H287" s="169"/>
      <c r="I287" s="80"/>
      <c r="J287" s="170"/>
      <c r="K287" s="60"/>
      <c r="L287" s="166">
        <v>182</v>
      </c>
      <c r="M287" s="167">
        <v>438</v>
      </c>
      <c r="N287" s="72" t="str">
        <f t="shared" si="9"/>
        <v>0xB6</v>
      </c>
      <c r="O287" s="168"/>
      <c r="P287" s="168"/>
      <c r="Q287" s="168"/>
      <c r="R287" s="168"/>
      <c r="S287" s="80"/>
      <c r="T287" s="170"/>
      <c r="U287" s="165"/>
    </row>
    <row r="288" spans="1:21" ht="16.5" customHeight="1" x14ac:dyDescent="0.3">
      <c r="A288" s="157"/>
      <c r="B288" s="166">
        <v>183</v>
      </c>
      <c r="C288" s="167">
        <v>439</v>
      </c>
      <c r="D288" s="72" t="str">
        <f t="shared" si="8"/>
        <v>0xB7</v>
      </c>
      <c r="E288" s="168"/>
      <c r="F288" s="169"/>
      <c r="G288" s="168"/>
      <c r="H288" s="169"/>
      <c r="I288" s="86"/>
      <c r="J288" s="170"/>
      <c r="K288" s="60"/>
      <c r="L288" s="166">
        <v>183</v>
      </c>
      <c r="M288" s="167">
        <v>439</v>
      </c>
      <c r="N288" s="72" t="str">
        <f t="shared" si="9"/>
        <v>0xB7</v>
      </c>
      <c r="O288" s="168"/>
      <c r="P288" s="168"/>
      <c r="Q288" s="168"/>
      <c r="R288" s="168"/>
      <c r="S288" s="86"/>
      <c r="T288" s="170"/>
      <c r="U288" s="165"/>
    </row>
    <row r="289" spans="1:21" ht="16.5" customHeight="1" x14ac:dyDescent="0.3">
      <c r="A289" s="157"/>
      <c r="B289" s="166">
        <v>184</v>
      </c>
      <c r="C289" s="167">
        <v>440</v>
      </c>
      <c r="D289" s="72" t="str">
        <f t="shared" si="8"/>
        <v>0xB8</v>
      </c>
      <c r="E289" s="168"/>
      <c r="F289" s="169"/>
      <c r="G289" s="168"/>
      <c r="H289" s="169"/>
      <c r="I289" s="80"/>
      <c r="J289" s="170"/>
      <c r="K289" s="60"/>
      <c r="L289" s="166">
        <v>184</v>
      </c>
      <c r="M289" s="167">
        <v>440</v>
      </c>
      <c r="N289" s="72" t="str">
        <f t="shared" si="9"/>
        <v>0xB8</v>
      </c>
      <c r="O289" s="168"/>
      <c r="P289" s="168"/>
      <c r="Q289" s="168"/>
      <c r="R289" s="168"/>
      <c r="S289" s="80"/>
      <c r="T289" s="170"/>
      <c r="U289" s="165"/>
    </row>
    <row r="290" spans="1:21" ht="16.5" customHeight="1" x14ac:dyDescent="0.3">
      <c r="A290" s="157"/>
      <c r="B290" s="166">
        <v>185</v>
      </c>
      <c r="C290" s="167">
        <v>441</v>
      </c>
      <c r="D290" s="72" t="str">
        <f t="shared" si="8"/>
        <v>0xB9</v>
      </c>
      <c r="E290" s="168"/>
      <c r="F290" s="169"/>
      <c r="G290" s="168"/>
      <c r="H290" s="169"/>
      <c r="I290" s="80"/>
      <c r="J290" s="170"/>
      <c r="K290" s="60"/>
      <c r="L290" s="166">
        <v>185</v>
      </c>
      <c r="M290" s="167">
        <v>441</v>
      </c>
      <c r="N290" s="72" t="str">
        <f t="shared" si="9"/>
        <v>0xB9</v>
      </c>
      <c r="O290" s="168"/>
      <c r="P290" s="168"/>
      <c r="Q290" s="168"/>
      <c r="R290" s="168"/>
      <c r="S290" s="80"/>
      <c r="T290" s="170"/>
      <c r="U290" s="165"/>
    </row>
    <row r="291" spans="1:21" ht="16.5" customHeight="1" x14ac:dyDescent="0.3">
      <c r="A291" s="157"/>
      <c r="B291" s="166">
        <v>186</v>
      </c>
      <c r="C291" s="167">
        <v>442</v>
      </c>
      <c r="D291" s="72" t="str">
        <f t="shared" si="8"/>
        <v>0xBA</v>
      </c>
      <c r="E291" s="168"/>
      <c r="F291" s="169"/>
      <c r="G291" s="168"/>
      <c r="H291" s="169"/>
      <c r="I291" s="80"/>
      <c r="J291" s="170"/>
      <c r="K291" s="60"/>
      <c r="L291" s="166">
        <v>186</v>
      </c>
      <c r="M291" s="167">
        <v>442</v>
      </c>
      <c r="N291" s="72" t="str">
        <f t="shared" si="9"/>
        <v>0xBA</v>
      </c>
      <c r="O291" s="168"/>
      <c r="P291" s="168"/>
      <c r="Q291" s="168"/>
      <c r="R291" s="168"/>
      <c r="S291" s="80"/>
      <c r="T291" s="170"/>
      <c r="U291" s="165"/>
    </row>
    <row r="292" spans="1:21" ht="16.5" customHeight="1" x14ac:dyDescent="0.3">
      <c r="A292" s="157"/>
      <c r="B292" s="166">
        <v>187</v>
      </c>
      <c r="C292" s="167">
        <v>443</v>
      </c>
      <c r="D292" s="72" t="str">
        <f t="shared" si="8"/>
        <v>0xBB</v>
      </c>
      <c r="E292" s="168"/>
      <c r="F292" s="169"/>
      <c r="G292" s="168"/>
      <c r="H292" s="169"/>
      <c r="I292" s="80"/>
      <c r="J292" s="170"/>
      <c r="K292" s="60"/>
      <c r="L292" s="166">
        <v>187</v>
      </c>
      <c r="M292" s="167">
        <v>443</v>
      </c>
      <c r="N292" s="72" t="str">
        <f t="shared" si="9"/>
        <v>0xBB</v>
      </c>
      <c r="O292" s="168"/>
      <c r="P292" s="168"/>
      <c r="Q292" s="168"/>
      <c r="R292" s="168"/>
      <c r="S292" s="80"/>
      <c r="T292" s="170"/>
      <c r="U292" s="165"/>
    </row>
    <row r="293" spans="1:21" ht="16.5" customHeight="1" x14ac:dyDescent="0.3">
      <c r="A293" s="157"/>
      <c r="B293" s="166">
        <v>188</v>
      </c>
      <c r="C293" s="167">
        <v>444</v>
      </c>
      <c r="D293" s="72" t="str">
        <f t="shared" si="8"/>
        <v>0xBC</v>
      </c>
      <c r="E293" s="168"/>
      <c r="F293" s="169"/>
      <c r="G293" s="168"/>
      <c r="H293" s="169"/>
      <c r="I293" s="80"/>
      <c r="J293" s="170"/>
      <c r="K293" s="60"/>
      <c r="L293" s="166">
        <v>188</v>
      </c>
      <c r="M293" s="167">
        <v>444</v>
      </c>
      <c r="N293" s="72" t="str">
        <f t="shared" si="9"/>
        <v>0xBC</v>
      </c>
      <c r="O293" s="168"/>
      <c r="P293" s="168"/>
      <c r="Q293" s="168"/>
      <c r="R293" s="168"/>
      <c r="S293" s="80"/>
      <c r="T293" s="170"/>
      <c r="U293" s="165"/>
    </row>
    <row r="294" spans="1:21" ht="16.5" customHeight="1" x14ac:dyDescent="0.3">
      <c r="A294" s="157"/>
      <c r="B294" s="166">
        <v>189</v>
      </c>
      <c r="C294" s="167">
        <v>445</v>
      </c>
      <c r="D294" s="72" t="str">
        <f t="shared" si="8"/>
        <v>0xBD</v>
      </c>
      <c r="E294" s="168"/>
      <c r="F294" s="169"/>
      <c r="G294" s="168"/>
      <c r="H294" s="169"/>
      <c r="I294" s="80"/>
      <c r="J294" s="170"/>
      <c r="K294" s="60"/>
      <c r="L294" s="166">
        <v>189</v>
      </c>
      <c r="M294" s="167">
        <v>445</v>
      </c>
      <c r="N294" s="72" t="str">
        <f t="shared" si="9"/>
        <v>0xBD</v>
      </c>
      <c r="O294" s="168"/>
      <c r="P294" s="168"/>
      <c r="Q294" s="168"/>
      <c r="R294" s="168"/>
      <c r="S294" s="80"/>
      <c r="T294" s="170"/>
      <c r="U294" s="165"/>
    </row>
    <row r="295" spans="1:21" ht="16.5" customHeight="1" x14ac:dyDescent="0.3">
      <c r="A295" s="157"/>
      <c r="B295" s="166">
        <v>190</v>
      </c>
      <c r="C295" s="167">
        <v>446</v>
      </c>
      <c r="D295" s="72" t="str">
        <f t="shared" si="8"/>
        <v>0xBE</v>
      </c>
      <c r="E295" s="168"/>
      <c r="F295" s="169"/>
      <c r="G295" s="168"/>
      <c r="H295" s="169"/>
      <c r="I295" s="80"/>
      <c r="J295" s="170"/>
      <c r="K295" s="60"/>
      <c r="L295" s="166">
        <v>190</v>
      </c>
      <c r="M295" s="167">
        <v>446</v>
      </c>
      <c r="N295" s="72" t="str">
        <f t="shared" si="9"/>
        <v>0xBE</v>
      </c>
      <c r="O295" s="168"/>
      <c r="P295" s="168"/>
      <c r="Q295" s="168"/>
      <c r="R295" s="168"/>
      <c r="S295" s="80"/>
      <c r="T295" s="176"/>
      <c r="U295" s="165"/>
    </row>
    <row r="296" spans="1:21" ht="16.5" customHeight="1" thickBot="1" x14ac:dyDescent="0.35">
      <c r="A296" s="157"/>
      <c r="B296" s="178">
        <v>191</v>
      </c>
      <c r="C296" s="179">
        <v>447</v>
      </c>
      <c r="D296" s="91" t="str">
        <f t="shared" si="8"/>
        <v>0xBF</v>
      </c>
      <c r="E296" s="180"/>
      <c r="F296" s="181"/>
      <c r="G296" s="180"/>
      <c r="H296" s="181"/>
      <c r="I296" s="122"/>
      <c r="J296" s="190"/>
      <c r="K296" s="98"/>
      <c r="L296" s="178">
        <v>191</v>
      </c>
      <c r="M296" s="179">
        <v>447</v>
      </c>
      <c r="N296" s="91" t="str">
        <f t="shared" si="9"/>
        <v>0xBF</v>
      </c>
      <c r="O296" s="180"/>
      <c r="P296" s="180"/>
      <c r="Q296" s="180"/>
      <c r="R296" s="180"/>
      <c r="S296" s="122"/>
      <c r="T296" s="184"/>
      <c r="U296" s="165"/>
    </row>
    <row r="297" spans="1:21" ht="16.5" customHeight="1" thickTop="1" x14ac:dyDescent="0.3">
      <c r="A297" s="157"/>
      <c r="B297" s="185">
        <v>192</v>
      </c>
      <c r="C297" s="186">
        <v>448</v>
      </c>
      <c r="D297" s="72" t="str">
        <f t="shared" si="8"/>
        <v>0xC0</v>
      </c>
      <c r="E297" s="219"/>
      <c r="F297" s="220"/>
      <c r="G297" s="219"/>
      <c r="H297" s="220"/>
      <c r="I297" s="162"/>
      <c r="J297" s="164"/>
      <c r="K297" s="102">
        <v>13</v>
      </c>
      <c r="L297" s="185">
        <v>192</v>
      </c>
      <c r="M297" s="186">
        <v>448</v>
      </c>
      <c r="N297" s="72" t="str">
        <f t="shared" si="9"/>
        <v>0xC0</v>
      </c>
      <c r="O297" s="160"/>
      <c r="P297" s="160"/>
      <c r="Q297" s="160"/>
      <c r="R297" s="160"/>
      <c r="S297" s="162"/>
      <c r="T297" s="164"/>
      <c r="U297" s="165"/>
    </row>
    <row r="298" spans="1:21" ht="16.5" customHeight="1" x14ac:dyDescent="0.3">
      <c r="A298" s="157"/>
      <c r="B298" s="166">
        <v>193</v>
      </c>
      <c r="C298" s="167">
        <v>449</v>
      </c>
      <c r="D298" s="72" t="str">
        <f t="shared" si="8"/>
        <v>0xC1</v>
      </c>
      <c r="E298" s="168"/>
      <c r="F298" s="169"/>
      <c r="G298" s="168"/>
      <c r="H298" s="169"/>
      <c r="I298" s="80"/>
      <c r="J298" s="170"/>
      <c r="K298" s="60"/>
      <c r="L298" s="166">
        <v>193</v>
      </c>
      <c r="M298" s="167">
        <v>449</v>
      </c>
      <c r="N298" s="72" t="str">
        <f t="shared" si="9"/>
        <v>0xC1</v>
      </c>
      <c r="O298" s="168"/>
      <c r="P298" s="168"/>
      <c r="Q298" s="168"/>
      <c r="R298" s="168"/>
      <c r="S298" s="80"/>
      <c r="T298" s="170"/>
      <c r="U298" s="165"/>
    </row>
    <row r="299" spans="1:21" ht="16.5" customHeight="1" x14ac:dyDescent="0.3">
      <c r="A299" s="157"/>
      <c r="B299" s="166">
        <v>194</v>
      </c>
      <c r="C299" s="167">
        <v>450</v>
      </c>
      <c r="D299" s="72" t="str">
        <f t="shared" ref="D299:D360" si="10">CONCATENATE("0x", DEC2HEX(B299,2))</f>
        <v>0xC2</v>
      </c>
      <c r="E299" s="168"/>
      <c r="F299" s="169"/>
      <c r="G299" s="168"/>
      <c r="H299" s="169"/>
      <c r="I299" s="80"/>
      <c r="J299" s="170"/>
      <c r="K299" s="60"/>
      <c r="L299" s="166">
        <v>194</v>
      </c>
      <c r="M299" s="167">
        <v>450</v>
      </c>
      <c r="N299" s="72" t="str">
        <f t="shared" ref="N299:N360" si="11">CONCATENATE("0x", DEC2HEX(L299,2))</f>
        <v>0xC2</v>
      </c>
      <c r="O299" s="168"/>
      <c r="P299" s="168"/>
      <c r="Q299" s="168"/>
      <c r="R299" s="168"/>
      <c r="S299" s="80"/>
      <c r="T299" s="170"/>
      <c r="U299" s="165"/>
    </row>
    <row r="300" spans="1:21" ht="16.5" customHeight="1" x14ac:dyDescent="0.3">
      <c r="A300" s="157"/>
      <c r="B300" s="166">
        <v>195</v>
      </c>
      <c r="C300" s="167">
        <v>451</v>
      </c>
      <c r="D300" s="72" t="str">
        <f t="shared" si="10"/>
        <v>0xC3</v>
      </c>
      <c r="E300" s="168"/>
      <c r="F300" s="169"/>
      <c r="G300" s="168"/>
      <c r="H300" s="169"/>
      <c r="I300" s="80"/>
      <c r="J300" s="170"/>
      <c r="K300" s="60"/>
      <c r="L300" s="166">
        <v>195</v>
      </c>
      <c r="M300" s="167">
        <v>451</v>
      </c>
      <c r="N300" s="72" t="str">
        <f t="shared" si="11"/>
        <v>0xC3</v>
      </c>
      <c r="O300" s="168"/>
      <c r="P300" s="168"/>
      <c r="Q300" s="168"/>
      <c r="R300" s="168"/>
      <c r="S300" s="80"/>
      <c r="T300" s="170"/>
      <c r="U300" s="165"/>
    </row>
    <row r="301" spans="1:21" ht="16.5" customHeight="1" x14ac:dyDescent="0.3">
      <c r="A301" s="157"/>
      <c r="B301" s="166">
        <v>196</v>
      </c>
      <c r="C301" s="167">
        <v>452</v>
      </c>
      <c r="D301" s="72" t="str">
        <f t="shared" si="10"/>
        <v>0xC4</v>
      </c>
      <c r="E301" s="168"/>
      <c r="F301" s="169"/>
      <c r="G301" s="168"/>
      <c r="H301" s="169"/>
      <c r="I301" s="80"/>
      <c r="J301" s="170"/>
      <c r="K301" s="60"/>
      <c r="L301" s="166">
        <v>196</v>
      </c>
      <c r="M301" s="167">
        <v>452</v>
      </c>
      <c r="N301" s="72" t="str">
        <f t="shared" si="11"/>
        <v>0xC4</v>
      </c>
      <c r="O301" s="168"/>
      <c r="P301" s="168"/>
      <c r="Q301" s="168"/>
      <c r="R301" s="168"/>
      <c r="S301" s="80"/>
      <c r="T301" s="170"/>
      <c r="U301" s="165"/>
    </row>
    <row r="302" spans="1:21" ht="16.5" customHeight="1" x14ac:dyDescent="0.3">
      <c r="A302" s="157"/>
      <c r="B302" s="166">
        <v>197</v>
      </c>
      <c r="C302" s="167">
        <v>453</v>
      </c>
      <c r="D302" s="72" t="str">
        <f t="shared" si="10"/>
        <v>0xC5</v>
      </c>
      <c r="E302" s="168"/>
      <c r="F302" s="169"/>
      <c r="G302" s="168"/>
      <c r="H302" s="169"/>
      <c r="I302" s="80"/>
      <c r="J302" s="170"/>
      <c r="K302" s="60"/>
      <c r="L302" s="166">
        <v>197</v>
      </c>
      <c r="M302" s="167">
        <v>453</v>
      </c>
      <c r="N302" s="72" t="str">
        <f t="shared" si="11"/>
        <v>0xC5</v>
      </c>
      <c r="O302" s="168"/>
      <c r="P302" s="168"/>
      <c r="Q302" s="168"/>
      <c r="R302" s="168"/>
      <c r="S302" s="80"/>
      <c r="T302" s="170"/>
      <c r="U302" s="165"/>
    </row>
    <row r="303" spans="1:21" ht="16.5" customHeight="1" x14ac:dyDescent="0.3">
      <c r="A303" s="157"/>
      <c r="B303" s="166">
        <v>198</v>
      </c>
      <c r="C303" s="167">
        <v>454</v>
      </c>
      <c r="D303" s="72" t="str">
        <f t="shared" si="10"/>
        <v>0xC6</v>
      </c>
      <c r="E303" s="168"/>
      <c r="F303" s="169"/>
      <c r="G303" s="168"/>
      <c r="H303" s="169"/>
      <c r="I303" s="80"/>
      <c r="J303" s="170"/>
      <c r="K303" s="60"/>
      <c r="L303" s="166">
        <v>198</v>
      </c>
      <c r="M303" s="167">
        <v>454</v>
      </c>
      <c r="N303" s="72" t="str">
        <f t="shared" si="11"/>
        <v>0xC6</v>
      </c>
      <c r="O303" s="168"/>
      <c r="P303" s="168"/>
      <c r="Q303" s="168"/>
      <c r="R303" s="168"/>
      <c r="S303" s="80"/>
      <c r="T303" s="170"/>
      <c r="U303" s="165"/>
    </row>
    <row r="304" spans="1:21" ht="16.5" customHeight="1" x14ac:dyDescent="0.3">
      <c r="A304" s="157"/>
      <c r="B304" s="166">
        <v>199</v>
      </c>
      <c r="C304" s="167">
        <v>455</v>
      </c>
      <c r="D304" s="72" t="str">
        <f t="shared" si="10"/>
        <v>0xC7</v>
      </c>
      <c r="E304" s="168"/>
      <c r="F304" s="169"/>
      <c r="G304" s="168"/>
      <c r="H304" s="169"/>
      <c r="I304" s="86"/>
      <c r="J304" s="170"/>
      <c r="K304" s="60"/>
      <c r="L304" s="166">
        <v>199</v>
      </c>
      <c r="M304" s="167">
        <v>455</v>
      </c>
      <c r="N304" s="72" t="str">
        <f t="shared" si="11"/>
        <v>0xC7</v>
      </c>
      <c r="O304" s="168"/>
      <c r="P304" s="168"/>
      <c r="Q304" s="168"/>
      <c r="R304" s="168"/>
      <c r="S304" s="86"/>
      <c r="T304" s="170"/>
      <c r="U304" s="165"/>
    </row>
    <row r="305" spans="1:21" ht="16.5" customHeight="1" x14ac:dyDescent="0.3">
      <c r="A305" s="157"/>
      <c r="B305" s="166">
        <v>200</v>
      </c>
      <c r="C305" s="167">
        <v>456</v>
      </c>
      <c r="D305" s="72" t="str">
        <f t="shared" si="10"/>
        <v>0xC8</v>
      </c>
      <c r="E305" s="168"/>
      <c r="F305" s="169"/>
      <c r="G305" s="168"/>
      <c r="H305" s="169"/>
      <c r="I305" s="80"/>
      <c r="J305" s="170"/>
      <c r="K305" s="60"/>
      <c r="L305" s="166">
        <v>200</v>
      </c>
      <c r="M305" s="167">
        <v>456</v>
      </c>
      <c r="N305" s="72" t="str">
        <f t="shared" si="11"/>
        <v>0xC8</v>
      </c>
      <c r="O305" s="168"/>
      <c r="P305" s="168"/>
      <c r="Q305" s="168"/>
      <c r="R305" s="168"/>
      <c r="S305" s="80"/>
      <c r="T305" s="170"/>
      <c r="U305" s="165"/>
    </row>
    <row r="306" spans="1:21" ht="16.5" customHeight="1" x14ac:dyDescent="0.3">
      <c r="A306" s="157"/>
      <c r="B306" s="166">
        <v>201</v>
      </c>
      <c r="C306" s="167">
        <v>457</v>
      </c>
      <c r="D306" s="72" t="str">
        <f t="shared" si="10"/>
        <v>0xC9</v>
      </c>
      <c r="E306" s="168"/>
      <c r="F306" s="169"/>
      <c r="G306" s="168"/>
      <c r="H306" s="169"/>
      <c r="I306" s="80"/>
      <c r="J306" s="170"/>
      <c r="K306" s="60"/>
      <c r="L306" s="166">
        <v>201</v>
      </c>
      <c r="M306" s="167">
        <v>457</v>
      </c>
      <c r="N306" s="72" t="str">
        <f t="shared" si="11"/>
        <v>0xC9</v>
      </c>
      <c r="O306" s="168"/>
      <c r="P306" s="168"/>
      <c r="Q306" s="168"/>
      <c r="R306" s="168"/>
      <c r="S306" s="80"/>
      <c r="T306" s="170"/>
      <c r="U306" s="165"/>
    </row>
    <row r="307" spans="1:21" ht="16.5" customHeight="1" x14ac:dyDescent="0.3">
      <c r="A307" s="157"/>
      <c r="B307" s="166">
        <v>202</v>
      </c>
      <c r="C307" s="167">
        <v>458</v>
      </c>
      <c r="D307" s="72" t="str">
        <f t="shared" si="10"/>
        <v>0xCA</v>
      </c>
      <c r="E307" s="168"/>
      <c r="F307" s="169"/>
      <c r="G307" s="168"/>
      <c r="H307" s="169"/>
      <c r="I307" s="80"/>
      <c r="J307" s="170"/>
      <c r="K307" s="60"/>
      <c r="L307" s="166">
        <v>202</v>
      </c>
      <c r="M307" s="167">
        <v>458</v>
      </c>
      <c r="N307" s="72" t="str">
        <f t="shared" si="11"/>
        <v>0xCA</v>
      </c>
      <c r="O307" s="168"/>
      <c r="P307" s="168"/>
      <c r="Q307" s="168"/>
      <c r="R307" s="168"/>
      <c r="S307" s="80"/>
      <c r="T307" s="170"/>
      <c r="U307" s="165"/>
    </row>
    <row r="308" spans="1:21" ht="16.5" customHeight="1" x14ac:dyDescent="0.3">
      <c r="A308" s="157"/>
      <c r="B308" s="166">
        <v>203</v>
      </c>
      <c r="C308" s="167">
        <v>459</v>
      </c>
      <c r="D308" s="72" t="str">
        <f t="shared" si="10"/>
        <v>0xCB</v>
      </c>
      <c r="E308" s="168"/>
      <c r="F308" s="169"/>
      <c r="G308" s="168"/>
      <c r="H308" s="169"/>
      <c r="I308" s="80"/>
      <c r="J308" s="170"/>
      <c r="K308" s="60"/>
      <c r="L308" s="166">
        <v>203</v>
      </c>
      <c r="M308" s="167">
        <v>459</v>
      </c>
      <c r="N308" s="72" t="str">
        <f t="shared" si="11"/>
        <v>0xCB</v>
      </c>
      <c r="O308" s="168"/>
      <c r="P308" s="168"/>
      <c r="Q308" s="168"/>
      <c r="R308" s="168"/>
      <c r="S308" s="80"/>
      <c r="T308" s="170"/>
      <c r="U308" s="165"/>
    </row>
    <row r="309" spans="1:21" ht="16.5" customHeight="1" x14ac:dyDescent="0.3">
      <c r="A309" s="157"/>
      <c r="B309" s="166">
        <v>204</v>
      </c>
      <c r="C309" s="167">
        <v>460</v>
      </c>
      <c r="D309" s="72" t="str">
        <f t="shared" si="10"/>
        <v>0xCC</v>
      </c>
      <c r="E309" s="168"/>
      <c r="F309" s="169"/>
      <c r="G309" s="168"/>
      <c r="H309" s="169"/>
      <c r="I309" s="80"/>
      <c r="J309" s="170"/>
      <c r="K309" s="60"/>
      <c r="L309" s="166">
        <v>204</v>
      </c>
      <c r="M309" s="167">
        <v>460</v>
      </c>
      <c r="N309" s="72" t="str">
        <f t="shared" si="11"/>
        <v>0xCC</v>
      </c>
      <c r="O309" s="168"/>
      <c r="P309" s="168"/>
      <c r="Q309" s="168"/>
      <c r="R309" s="168"/>
      <c r="S309" s="80"/>
      <c r="T309" s="170"/>
      <c r="U309" s="165"/>
    </row>
    <row r="310" spans="1:21" ht="16.5" customHeight="1" x14ac:dyDescent="0.3">
      <c r="A310" s="157"/>
      <c r="B310" s="166">
        <v>205</v>
      </c>
      <c r="C310" s="167">
        <v>461</v>
      </c>
      <c r="D310" s="72" t="str">
        <f t="shared" si="10"/>
        <v>0xCD</v>
      </c>
      <c r="E310" s="168"/>
      <c r="F310" s="169"/>
      <c r="G310" s="168"/>
      <c r="H310" s="169"/>
      <c r="I310" s="80"/>
      <c r="J310" s="170"/>
      <c r="K310" s="60"/>
      <c r="L310" s="166">
        <v>205</v>
      </c>
      <c r="M310" s="167">
        <v>461</v>
      </c>
      <c r="N310" s="72" t="str">
        <f t="shared" si="11"/>
        <v>0xCD</v>
      </c>
      <c r="O310" s="168"/>
      <c r="P310" s="168"/>
      <c r="Q310" s="168"/>
      <c r="R310" s="168"/>
      <c r="S310" s="80"/>
      <c r="T310" s="170"/>
      <c r="U310" s="165"/>
    </row>
    <row r="311" spans="1:21" ht="16.5" customHeight="1" x14ac:dyDescent="0.3">
      <c r="A311" s="157"/>
      <c r="B311" s="166">
        <v>206</v>
      </c>
      <c r="C311" s="167">
        <v>462</v>
      </c>
      <c r="D311" s="72" t="str">
        <f t="shared" si="10"/>
        <v>0xCE</v>
      </c>
      <c r="E311" s="168"/>
      <c r="F311" s="169"/>
      <c r="G311" s="168"/>
      <c r="H311" s="169"/>
      <c r="I311" s="80"/>
      <c r="J311" s="170"/>
      <c r="K311" s="60"/>
      <c r="L311" s="166">
        <v>206</v>
      </c>
      <c r="M311" s="167">
        <v>462</v>
      </c>
      <c r="N311" s="72" t="str">
        <f t="shared" si="11"/>
        <v>0xCE</v>
      </c>
      <c r="O311" s="168"/>
      <c r="P311" s="168"/>
      <c r="Q311" s="168"/>
      <c r="R311" s="168"/>
      <c r="S311" s="80"/>
      <c r="T311" s="176"/>
      <c r="U311" s="165"/>
    </row>
    <row r="312" spans="1:21" ht="16.5" customHeight="1" thickBot="1" x14ac:dyDescent="0.35">
      <c r="A312" s="157"/>
      <c r="B312" s="178">
        <v>207</v>
      </c>
      <c r="C312" s="179">
        <v>463</v>
      </c>
      <c r="D312" s="91" t="str">
        <f t="shared" si="10"/>
        <v>0xCF</v>
      </c>
      <c r="E312" s="180"/>
      <c r="F312" s="181"/>
      <c r="G312" s="180"/>
      <c r="H312" s="181"/>
      <c r="I312" s="122"/>
      <c r="J312" s="190"/>
      <c r="K312" s="98"/>
      <c r="L312" s="178">
        <v>207</v>
      </c>
      <c r="M312" s="179">
        <v>463</v>
      </c>
      <c r="N312" s="91" t="str">
        <f t="shared" si="11"/>
        <v>0xCF</v>
      </c>
      <c r="O312" s="180"/>
      <c r="P312" s="180"/>
      <c r="Q312" s="180"/>
      <c r="R312" s="180"/>
      <c r="S312" s="122"/>
      <c r="T312" s="184"/>
      <c r="U312" s="165"/>
    </row>
    <row r="313" spans="1:21" ht="16.5" customHeight="1" thickTop="1" x14ac:dyDescent="0.3">
      <c r="A313" s="221" t="s">
        <v>524</v>
      </c>
      <c r="B313" s="185">
        <v>208</v>
      </c>
      <c r="C313" s="186">
        <v>464</v>
      </c>
      <c r="D313" s="72" t="str">
        <f t="shared" si="10"/>
        <v>0xD0</v>
      </c>
      <c r="E313" s="160"/>
      <c r="F313" s="161"/>
      <c r="G313" s="160"/>
      <c r="H313" s="222"/>
      <c r="I313" s="223" t="s">
        <v>525</v>
      </c>
      <c r="J313" s="224" t="s">
        <v>526</v>
      </c>
      <c r="K313" s="102">
        <v>14</v>
      </c>
      <c r="L313" s="185">
        <v>208</v>
      </c>
      <c r="M313" s="186">
        <v>464</v>
      </c>
      <c r="N313" s="72" t="str">
        <f t="shared" si="11"/>
        <v>0xD0</v>
      </c>
      <c r="O313" s="160"/>
      <c r="P313" s="160"/>
      <c r="Q313" s="160"/>
      <c r="R313" s="160"/>
      <c r="S313" s="162" t="s">
        <v>527</v>
      </c>
      <c r="T313" s="224" t="s">
        <v>528</v>
      </c>
      <c r="U313" s="225" t="s">
        <v>529</v>
      </c>
    </row>
    <row r="314" spans="1:21" ht="16.5" customHeight="1" x14ac:dyDescent="0.3">
      <c r="A314" s="193"/>
      <c r="B314" s="166">
        <v>209</v>
      </c>
      <c r="C314" s="167">
        <v>465</v>
      </c>
      <c r="D314" s="72" t="str">
        <f t="shared" si="10"/>
        <v>0xD1</v>
      </c>
      <c r="E314" s="168"/>
      <c r="F314" s="169"/>
      <c r="G314" s="168"/>
      <c r="H314" s="226"/>
      <c r="I314" s="227" t="s">
        <v>530</v>
      </c>
      <c r="J314" s="228" t="s">
        <v>526</v>
      </c>
      <c r="K314" s="60"/>
      <c r="L314" s="166">
        <v>209</v>
      </c>
      <c r="M314" s="167">
        <v>465</v>
      </c>
      <c r="N314" s="72" t="str">
        <f t="shared" si="11"/>
        <v>0xD1</v>
      </c>
      <c r="O314" s="168"/>
      <c r="P314" s="168"/>
      <c r="Q314" s="168"/>
      <c r="R314" s="168"/>
      <c r="S314" s="80" t="s">
        <v>531</v>
      </c>
      <c r="T314" s="228" t="s">
        <v>528</v>
      </c>
      <c r="U314" s="203"/>
    </row>
    <row r="315" spans="1:21" ht="16.5" customHeight="1" x14ac:dyDescent="0.3">
      <c r="A315" s="193"/>
      <c r="B315" s="166">
        <v>210</v>
      </c>
      <c r="C315" s="167">
        <v>466</v>
      </c>
      <c r="D315" s="72" t="str">
        <f t="shared" si="10"/>
        <v>0xD2</v>
      </c>
      <c r="E315" s="168"/>
      <c r="F315" s="169"/>
      <c r="G315" s="168"/>
      <c r="H315" s="226"/>
      <c r="I315" s="227" t="s">
        <v>532</v>
      </c>
      <c r="J315" s="228" t="s">
        <v>526</v>
      </c>
      <c r="K315" s="60"/>
      <c r="L315" s="166">
        <v>210</v>
      </c>
      <c r="M315" s="167">
        <v>466</v>
      </c>
      <c r="N315" s="72" t="str">
        <f t="shared" si="11"/>
        <v>0xD2</v>
      </c>
      <c r="O315" s="168"/>
      <c r="P315" s="168"/>
      <c r="Q315" s="168"/>
      <c r="R315" s="168"/>
      <c r="S315" s="80" t="s">
        <v>533</v>
      </c>
      <c r="T315" s="228" t="s">
        <v>528</v>
      </c>
      <c r="U315" s="203"/>
    </row>
    <row r="316" spans="1:21" ht="16.5" customHeight="1" x14ac:dyDescent="0.3">
      <c r="A316" s="194"/>
      <c r="B316" s="166">
        <v>211</v>
      </c>
      <c r="C316" s="167">
        <v>467</v>
      </c>
      <c r="D316" s="72" t="str">
        <f t="shared" si="10"/>
        <v>0xD3</v>
      </c>
      <c r="E316" s="168"/>
      <c r="F316" s="169"/>
      <c r="G316" s="168"/>
      <c r="H316" s="226"/>
      <c r="I316" s="227" t="s">
        <v>534</v>
      </c>
      <c r="J316" s="228" t="s">
        <v>526</v>
      </c>
      <c r="K316" s="60"/>
      <c r="L316" s="166">
        <v>211</v>
      </c>
      <c r="M316" s="167">
        <v>467</v>
      </c>
      <c r="N316" s="72" t="str">
        <f t="shared" si="11"/>
        <v>0xD3</v>
      </c>
      <c r="O316" s="168"/>
      <c r="P316" s="168"/>
      <c r="Q316" s="168"/>
      <c r="R316" s="168"/>
      <c r="S316" s="80" t="s">
        <v>535</v>
      </c>
      <c r="T316" s="228" t="s">
        <v>528</v>
      </c>
      <c r="U316" s="203"/>
    </row>
    <row r="317" spans="1:21" ht="16.5" customHeight="1" x14ac:dyDescent="0.3">
      <c r="A317" s="157"/>
      <c r="B317" s="166">
        <v>212</v>
      </c>
      <c r="C317" s="167">
        <v>468</v>
      </c>
      <c r="D317" s="72" t="str">
        <f t="shared" si="10"/>
        <v>0xD4</v>
      </c>
      <c r="E317" s="168"/>
      <c r="F317" s="169"/>
      <c r="G317" s="168"/>
      <c r="H317" s="226"/>
      <c r="I317" s="229"/>
      <c r="J317" s="228" t="s">
        <v>526</v>
      </c>
      <c r="K317" s="60"/>
      <c r="L317" s="166">
        <v>212</v>
      </c>
      <c r="M317" s="167">
        <v>468</v>
      </c>
      <c r="N317" s="72" t="str">
        <f t="shared" si="11"/>
        <v>0xD4</v>
      </c>
      <c r="O317" s="168"/>
      <c r="P317" s="168"/>
      <c r="Q317" s="168"/>
      <c r="R317" s="168"/>
      <c r="S317" s="80"/>
      <c r="T317" s="228" t="s">
        <v>528</v>
      </c>
      <c r="U317" s="165"/>
    </row>
    <row r="318" spans="1:21" ht="16.5" customHeight="1" x14ac:dyDescent="0.3">
      <c r="A318" s="157"/>
      <c r="B318" s="166">
        <v>213</v>
      </c>
      <c r="C318" s="167">
        <v>469</v>
      </c>
      <c r="D318" s="72" t="str">
        <f t="shared" si="10"/>
        <v>0xD5</v>
      </c>
      <c r="E318" s="168"/>
      <c r="F318" s="169"/>
      <c r="G318" s="168"/>
      <c r="H318" s="226"/>
      <c r="I318" s="229"/>
      <c r="J318" s="228" t="s">
        <v>526</v>
      </c>
      <c r="K318" s="60"/>
      <c r="L318" s="166">
        <v>213</v>
      </c>
      <c r="M318" s="167">
        <v>469</v>
      </c>
      <c r="N318" s="72" t="str">
        <f t="shared" si="11"/>
        <v>0xD5</v>
      </c>
      <c r="O318" s="168"/>
      <c r="P318" s="168"/>
      <c r="Q318" s="168"/>
      <c r="R318" s="168"/>
      <c r="S318" s="80"/>
      <c r="T318" s="228" t="s">
        <v>528</v>
      </c>
      <c r="U318" s="165"/>
    </row>
    <row r="319" spans="1:21" ht="16.5" customHeight="1" x14ac:dyDescent="0.3">
      <c r="A319" s="157"/>
      <c r="B319" s="166">
        <v>214</v>
      </c>
      <c r="C319" s="167">
        <v>470</v>
      </c>
      <c r="D319" s="72" t="str">
        <f t="shared" si="10"/>
        <v>0xD6</v>
      </c>
      <c r="E319" s="168"/>
      <c r="F319" s="169"/>
      <c r="G319" s="168"/>
      <c r="H319" s="226"/>
      <c r="I319" s="229"/>
      <c r="J319" s="228" t="s">
        <v>526</v>
      </c>
      <c r="K319" s="60"/>
      <c r="L319" s="166">
        <v>214</v>
      </c>
      <c r="M319" s="167">
        <v>470</v>
      </c>
      <c r="N319" s="72" t="str">
        <f t="shared" si="11"/>
        <v>0xD6</v>
      </c>
      <c r="O319" s="168"/>
      <c r="P319" s="168"/>
      <c r="Q319" s="168"/>
      <c r="R319" s="168"/>
      <c r="S319" s="80"/>
      <c r="T319" s="228" t="s">
        <v>528</v>
      </c>
      <c r="U319" s="165"/>
    </row>
    <row r="320" spans="1:21" ht="16.5" customHeight="1" x14ac:dyDescent="0.3">
      <c r="A320" s="157"/>
      <c r="B320" s="166">
        <v>215</v>
      </c>
      <c r="C320" s="167">
        <v>471</v>
      </c>
      <c r="D320" s="72" t="str">
        <f t="shared" si="10"/>
        <v>0xD7</v>
      </c>
      <c r="E320" s="168"/>
      <c r="F320" s="169"/>
      <c r="G320" s="168"/>
      <c r="H320" s="226"/>
      <c r="I320" s="229"/>
      <c r="J320" s="228" t="s">
        <v>526</v>
      </c>
      <c r="K320" s="60"/>
      <c r="L320" s="166">
        <v>215</v>
      </c>
      <c r="M320" s="167">
        <v>471</v>
      </c>
      <c r="N320" s="72" t="str">
        <f t="shared" si="11"/>
        <v>0xD7</v>
      </c>
      <c r="O320" s="168"/>
      <c r="P320" s="168"/>
      <c r="Q320" s="168"/>
      <c r="R320" s="168"/>
      <c r="S320" s="230" t="s">
        <v>536</v>
      </c>
      <c r="T320" s="228" t="s">
        <v>528</v>
      </c>
      <c r="U320" s="165"/>
    </row>
    <row r="321" spans="1:21" ht="16.5" customHeight="1" x14ac:dyDescent="0.3">
      <c r="A321" s="157"/>
      <c r="B321" s="166">
        <v>216</v>
      </c>
      <c r="C321" s="167">
        <v>472</v>
      </c>
      <c r="D321" s="72" t="str">
        <f t="shared" si="10"/>
        <v>0xD8</v>
      </c>
      <c r="E321" s="168"/>
      <c r="F321" s="169"/>
      <c r="G321" s="168"/>
      <c r="H321" s="226"/>
      <c r="I321" s="229"/>
      <c r="J321" s="228" t="s">
        <v>526</v>
      </c>
      <c r="K321" s="60"/>
      <c r="L321" s="166">
        <v>216</v>
      </c>
      <c r="M321" s="167">
        <v>472</v>
      </c>
      <c r="N321" s="72" t="str">
        <f t="shared" si="11"/>
        <v>0xD8</v>
      </c>
      <c r="O321" s="168"/>
      <c r="P321" s="168"/>
      <c r="Q321" s="168"/>
      <c r="R321" s="168"/>
      <c r="S321" s="80"/>
      <c r="T321" s="228" t="s">
        <v>528</v>
      </c>
      <c r="U321" s="165"/>
    </row>
    <row r="322" spans="1:21" ht="16.5" customHeight="1" x14ac:dyDescent="0.3">
      <c r="A322" s="157"/>
      <c r="B322" s="166">
        <v>217</v>
      </c>
      <c r="C322" s="167">
        <v>473</v>
      </c>
      <c r="D322" s="72" t="str">
        <f t="shared" si="10"/>
        <v>0xD9</v>
      </c>
      <c r="E322" s="168"/>
      <c r="F322" s="169"/>
      <c r="G322" s="168"/>
      <c r="H322" s="226"/>
      <c r="I322" s="229"/>
      <c r="J322" s="228" t="s">
        <v>526</v>
      </c>
      <c r="K322" s="60"/>
      <c r="L322" s="166">
        <v>217</v>
      </c>
      <c r="M322" s="167">
        <v>473</v>
      </c>
      <c r="N322" s="72" t="str">
        <f t="shared" si="11"/>
        <v>0xD9</v>
      </c>
      <c r="O322" s="168"/>
      <c r="P322" s="168"/>
      <c r="Q322" s="168"/>
      <c r="R322" s="168"/>
      <c r="S322" s="80"/>
      <c r="T322" s="228" t="s">
        <v>528</v>
      </c>
      <c r="U322" s="165"/>
    </row>
    <row r="323" spans="1:21" ht="16.5" customHeight="1" x14ac:dyDescent="0.3">
      <c r="A323" s="157"/>
      <c r="B323" s="166">
        <v>218</v>
      </c>
      <c r="C323" s="167">
        <v>474</v>
      </c>
      <c r="D323" s="72" t="str">
        <f t="shared" si="10"/>
        <v>0xDA</v>
      </c>
      <c r="E323" s="168"/>
      <c r="F323" s="169"/>
      <c r="G323" s="168"/>
      <c r="H323" s="226"/>
      <c r="I323" s="231" t="s">
        <v>537</v>
      </c>
      <c r="J323" s="228" t="s">
        <v>526</v>
      </c>
      <c r="K323" s="60"/>
      <c r="L323" s="166">
        <v>218</v>
      </c>
      <c r="M323" s="167">
        <v>474</v>
      </c>
      <c r="N323" s="72" t="str">
        <f t="shared" si="11"/>
        <v>0xDA</v>
      </c>
      <c r="O323" s="168"/>
      <c r="P323" s="168"/>
      <c r="Q323" s="168"/>
      <c r="R323" s="168"/>
      <c r="S323" s="80"/>
      <c r="T323" s="228" t="s">
        <v>528</v>
      </c>
      <c r="U323" s="165"/>
    </row>
    <row r="324" spans="1:21" ht="16.5" customHeight="1" x14ac:dyDescent="0.3">
      <c r="A324" s="157"/>
      <c r="B324" s="166">
        <v>219</v>
      </c>
      <c r="C324" s="167">
        <v>475</v>
      </c>
      <c r="D324" s="72" t="str">
        <f t="shared" si="10"/>
        <v>0xDB</v>
      </c>
      <c r="E324" s="168"/>
      <c r="F324" s="169"/>
      <c r="G324" s="168"/>
      <c r="H324" s="226"/>
      <c r="I324" s="231" t="s">
        <v>538</v>
      </c>
      <c r="J324" s="228" t="s">
        <v>526</v>
      </c>
      <c r="K324" s="60"/>
      <c r="L324" s="166">
        <v>219</v>
      </c>
      <c r="M324" s="167">
        <v>475</v>
      </c>
      <c r="N324" s="72" t="str">
        <f t="shared" si="11"/>
        <v>0xDB</v>
      </c>
      <c r="O324" s="168"/>
      <c r="P324" s="168"/>
      <c r="Q324" s="168"/>
      <c r="R324" s="168"/>
      <c r="S324" s="80"/>
      <c r="T324" s="228" t="s">
        <v>528</v>
      </c>
      <c r="U324" s="165"/>
    </row>
    <row r="325" spans="1:21" ht="16.5" customHeight="1" x14ac:dyDescent="0.3">
      <c r="A325" s="157"/>
      <c r="B325" s="166">
        <v>220</v>
      </c>
      <c r="C325" s="167">
        <v>476</v>
      </c>
      <c r="D325" s="72" t="str">
        <f t="shared" si="10"/>
        <v>0xDC</v>
      </c>
      <c r="E325" s="168"/>
      <c r="F325" s="169"/>
      <c r="G325" s="168"/>
      <c r="H325" s="226"/>
      <c r="I325" s="229"/>
      <c r="J325" s="228" t="s">
        <v>526</v>
      </c>
      <c r="K325" s="60"/>
      <c r="L325" s="166">
        <v>220</v>
      </c>
      <c r="M325" s="167">
        <v>476</v>
      </c>
      <c r="N325" s="72" t="str">
        <f t="shared" si="11"/>
        <v>0xDC</v>
      </c>
      <c r="O325" s="168"/>
      <c r="P325" s="168"/>
      <c r="Q325" s="168"/>
      <c r="R325" s="168"/>
      <c r="S325" s="80"/>
      <c r="T325" s="228" t="s">
        <v>528</v>
      </c>
      <c r="U325" s="165"/>
    </row>
    <row r="326" spans="1:21" ht="16.5" customHeight="1" x14ac:dyDescent="0.3">
      <c r="A326" s="157"/>
      <c r="B326" s="166">
        <v>221</v>
      </c>
      <c r="C326" s="167">
        <v>477</v>
      </c>
      <c r="D326" s="72" t="str">
        <f t="shared" si="10"/>
        <v>0xDD</v>
      </c>
      <c r="E326" s="168"/>
      <c r="F326" s="169"/>
      <c r="G326" s="168"/>
      <c r="H326" s="226"/>
      <c r="I326" s="232"/>
      <c r="J326" s="228" t="s">
        <v>526</v>
      </c>
      <c r="K326" s="60"/>
      <c r="L326" s="166">
        <v>221</v>
      </c>
      <c r="M326" s="167">
        <v>477</v>
      </c>
      <c r="N326" s="72" t="str">
        <f t="shared" si="11"/>
        <v>0xDD</v>
      </c>
      <c r="O326" s="168"/>
      <c r="P326" s="168"/>
      <c r="Q326" s="168"/>
      <c r="R326" s="168"/>
      <c r="S326" s="80"/>
      <c r="T326" s="228" t="s">
        <v>528</v>
      </c>
      <c r="U326" s="165"/>
    </row>
    <row r="327" spans="1:21" ht="16.5" customHeight="1" x14ac:dyDescent="0.3">
      <c r="A327" s="157"/>
      <c r="B327" s="166">
        <v>222</v>
      </c>
      <c r="C327" s="167">
        <v>478</v>
      </c>
      <c r="D327" s="72" t="str">
        <f t="shared" si="10"/>
        <v>0xDE</v>
      </c>
      <c r="E327" s="168"/>
      <c r="F327" s="169"/>
      <c r="G327" s="168"/>
      <c r="H327" s="226"/>
      <c r="I327" s="233" t="s">
        <v>539</v>
      </c>
      <c r="J327" s="228" t="s">
        <v>526</v>
      </c>
      <c r="K327" s="60"/>
      <c r="L327" s="166">
        <v>222</v>
      </c>
      <c r="M327" s="167">
        <v>478</v>
      </c>
      <c r="N327" s="72" t="str">
        <f t="shared" si="11"/>
        <v>0xDE</v>
      </c>
      <c r="O327" s="168"/>
      <c r="P327" s="168"/>
      <c r="Q327" s="168"/>
      <c r="R327" s="168"/>
      <c r="S327" s="127" t="s">
        <v>540</v>
      </c>
      <c r="T327" s="228" t="s">
        <v>528</v>
      </c>
      <c r="U327" s="165"/>
    </row>
    <row r="328" spans="1:21" ht="16.5" customHeight="1" thickBot="1" x14ac:dyDescent="0.35">
      <c r="A328" s="157"/>
      <c r="B328" s="178">
        <v>223</v>
      </c>
      <c r="C328" s="179">
        <v>479</v>
      </c>
      <c r="D328" s="91" t="str">
        <f t="shared" si="10"/>
        <v>0xDF</v>
      </c>
      <c r="E328" s="180"/>
      <c r="F328" s="181"/>
      <c r="G328" s="180"/>
      <c r="H328" s="181"/>
      <c r="I328" s="122"/>
      <c r="J328" s="228" t="s">
        <v>526</v>
      </c>
      <c r="K328" s="98"/>
      <c r="L328" s="178">
        <v>223</v>
      </c>
      <c r="M328" s="179">
        <v>479</v>
      </c>
      <c r="N328" s="91" t="str">
        <f t="shared" si="11"/>
        <v>0xDF</v>
      </c>
      <c r="O328" s="180"/>
      <c r="P328" s="180"/>
      <c r="Q328" s="180"/>
      <c r="R328" s="180"/>
      <c r="S328" s="122"/>
      <c r="T328" s="228" t="s">
        <v>528</v>
      </c>
      <c r="U328" s="165"/>
    </row>
    <row r="329" spans="1:21" ht="16.5" customHeight="1" thickTop="1" x14ac:dyDescent="0.3">
      <c r="A329" s="157"/>
      <c r="B329" s="185">
        <v>224</v>
      </c>
      <c r="C329" s="186">
        <v>480</v>
      </c>
      <c r="D329" s="72" t="str">
        <f t="shared" si="10"/>
        <v>0xE0</v>
      </c>
      <c r="E329" s="160"/>
      <c r="F329" s="161"/>
      <c r="G329" s="160"/>
      <c r="H329" s="161"/>
      <c r="I329" s="162"/>
      <c r="J329" s="164"/>
      <c r="K329" s="102">
        <v>15</v>
      </c>
      <c r="L329" s="185">
        <v>224</v>
      </c>
      <c r="M329" s="186">
        <v>480</v>
      </c>
      <c r="N329" s="72" t="str">
        <f t="shared" si="11"/>
        <v>0xE0</v>
      </c>
      <c r="O329" s="160"/>
      <c r="P329" s="160"/>
      <c r="Q329" s="160"/>
      <c r="R329" s="160"/>
      <c r="S329" s="162"/>
      <c r="T329" s="164"/>
      <c r="U329" s="165"/>
    </row>
    <row r="330" spans="1:21" ht="16.5" customHeight="1" x14ac:dyDescent="0.3">
      <c r="A330" s="157"/>
      <c r="B330" s="166">
        <v>225</v>
      </c>
      <c r="C330" s="167">
        <v>481</v>
      </c>
      <c r="D330" s="72" t="str">
        <f t="shared" si="10"/>
        <v>0xE1</v>
      </c>
      <c r="E330" s="168"/>
      <c r="F330" s="169"/>
      <c r="G330" s="168"/>
      <c r="H330" s="169"/>
      <c r="I330" s="80"/>
      <c r="J330" s="170"/>
      <c r="K330" s="60"/>
      <c r="L330" s="166">
        <v>225</v>
      </c>
      <c r="M330" s="167">
        <v>481</v>
      </c>
      <c r="N330" s="72" t="str">
        <f t="shared" si="11"/>
        <v>0xE1</v>
      </c>
      <c r="O330" s="168"/>
      <c r="P330" s="168"/>
      <c r="Q330" s="168"/>
      <c r="R330" s="168"/>
      <c r="S330" s="80"/>
      <c r="T330" s="170"/>
      <c r="U330" s="165"/>
    </row>
    <row r="331" spans="1:21" ht="16.5" customHeight="1" x14ac:dyDescent="0.3">
      <c r="A331" s="157"/>
      <c r="B331" s="166">
        <v>226</v>
      </c>
      <c r="C331" s="167">
        <v>482</v>
      </c>
      <c r="D331" s="72" t="str">
        <f t="shared" si="10"/>
        <v>0xE2</v>
      </c>
      <c r="E331" s="168"/>
      <c r="F331" s="169"/>
      <c r="G331" s="168"/>
      <c r="H331" s="169"/>
      <c r="I331" s="80"/>
      <c r="J331" s="170"/>
      <c r="K331" s="60"/>
      <c r="L331" s="166">
        <v>226</v>
      </c>
      <c r="M331" s="167">
        <v>482</v>
      </c>
      <c r="N331" s="72" t="str">
        <f t="shared" si="11"/>
        <v>0xE2</v>
      </c>
      <c r="O331" s="168"/>
      <c r="P331" s="168"/>
      <c r="Q331" s="168"/>
      <c r="R331" s="168"/>
      <c r="S331" s="80"/>
      <c r="T331" s="170"/>
      <c r="U331" s="165"/>
    </row>
    <row r="332" spans="1:21" ht="16.5" customHeight="1" x14ac:dyDescent="0.3">
      <c r="A332" s="157"/>
      <c r="B332" s="166">
        <v>227</v>
      </c>
      <c r="C332" s="167">
        <v>483</v>
      </c>
      <c r="D332" s="72" t="str">
        <f t="shared" si="10"/>
        <v>0xE3</v>
      </c>
      <c r="E332" s="168"/>
      <c r="F332" s="169"/>
      <c r="G332" s="168"/>
      <c r="H332" s="169"/>
      <c r="I332" s="80"/>
      <c r="J332" s="170"/>
      <c r="K332" s="60"/>
      <c r="L332" s="166">
        <v>227</v>
      </c>
      <c r="M332" s="167">
        <v>483</v>
      </c>
      <c r="N332" s="72" t="str">
        <f t="shared" si="11"/>
        <v>0xE3</v>
      </c>
      <c r="O332" s="168"/>
      <c r="P332" s="168"/>
      <c r="Q332" s="168"/>
      <c r="R332" s="168"/>
      <c r="S332" s="80"/>
      <c r="T332" s="170"/>
      <c r="U332" s="165"/>
    </row>
    <row r="333" spans="1:21" ht="16.5" customHeight="1" x14ac:dyDescent="0.3">
      <c r="A333" s="157"/>
      <c r="B333" s="166">
        <v>228</v>
      </c>
      <c r="C333" s="167">
        <v>484</v>
      </c>
      <c r="D333" s="72" t="str">
        <f t="shared" si="10"/>
        <v>0xE4</v>
      </c>
      <c r="E333" s="168"/>
      <c r="F333" s="169"/>
      <c r="G333" s="168"/>
      <c r="H333" s="169"/>
      <c r="I333" s="80"/>
      <c r="J333" s="170"/>
      <c r="K333" s="60"/>
      <c r="L333" s="166">
        <v>228</v>
      </c>
      <c r="M333" s="167">
        <v>484</v>
      </c>
      <c r="N333" s="72" t="str">
        <f t="shared" si="11"/>
        <v>0xE4</v>
      </c>
      <c r="O333" s="168"/>
      <c r="P333" s="168"/>
      <c r="Q333" s="168"/>
      <c r="R333" s="168"/>
      <c r="S333" s="80"/>
      <c r="T333" s="170"/>
      <c r="U333" s="165"/>
    </row>
    <row r="334" spans="1:21" ht="16.5" customHeight="1" x14ac:dyDescent="0.3">
      <c r="A334" s="157"/>
      <c r="B334" s="166">
        <v>229</v>
      </c>
      <c r="C334" s="167">
        <v>485</v>
      </c>
      <c r="D334" s="72" t="str">
        <f t="shared" si="10"/>
        <v>0xE5</v>
      </c>
      <c r="E334" s="168"/>
      <c r="F334" s="169"/>
      <c r="G334" s="168"/>
      <c r="H334" s="169"/>
      <c r="I334" s="80"/>
      <c r="J334" s="170"/>
      <c r="K334" s="60"/>
      <c r="L334" s="166">
        <v>229</v>
      </c>
      <c r="M334" s="167">
        <v>485</v>
      </c>
      <c r="N334" s="72" t="str">
        <f t="shared" si="11"/>
        <v>0xE5</v>
      </c>
      <c r="O334" s="168"/>
      <c r="P334" s="168"/>
      <c r="Q334" s="168"/>
      <c r="R334" s="168"/>
      <c r="S334" s="80"/>
      <c r="T334" s="170"/>
      <c r="U334" s="165"/>
    </row>
    <row r="335" spans="1:21" ht="16.5" customHeight="1" x14ac:dyDescent="0.3">
      <c r="A335" s="157"/>
      <c r="B335" s="166">
        <v>230</v>
      </c>
      <c r="C335" s="167">
        <v>486</v>
      </c>
      <c r="D335" s="72" t="str">
        <f t="shared" si="10"/>
        <v>0xE6</v>
      </c>
      <c r="E335" s="168"/>
      <c r="F335" s="169"/>
      <c r="G335" s="168"/>
      <c r="H335" s="169"/>
      <c r="I335" s="80"/>
      <c r="J335" s="170"/>
      <c r="K335" s="60"/>
      <c r="L335" s="166">
        <v>230</v>
      </c>
      <c r="M335" s="167">
        <v>486</v>
      </c>
      <c r="N335" s="72" t="str">
        <f t="shared" si="11"/>
        <v>0xE6</v>
      </c>
      <c r="O335" s="168"/>
      <c r="P335" s="168"/>
      <c r="Q335" s="168"/>
      <c r="R335" s="168"/>
      <c r="S335" s="80"/>
      <c r="T335" s="170"/>
      <c r="U335" s="165"/>
    </row>
    <row r="336" spans="1:21" ht="16.5" customHeight="1" x14ac:dyDescent="0.3">
      <c r="A336" s="157"/>
      <c r="B336" s="166">
        <v>231</v>
      </c>
      <c r="C336" s="167">
        <v>487</v>
      </c>
      <c r="D336" s="72" t="str">
        <f t="shared" si="10"/>
        <v>0xE7</v>
      </c>
      <c r="E336" s="168"/>
      <c r="F336" s="169"/>
      <c r="G336" s="168"/>
      <c r="H336" s="169"/>
      <c r="I336" s="86"/>
      <c r="J336" s="170"/>
      <c r="K336" s="60"/>
      <c r="L336" s="166">
        <v>231</v>
      </c>
      <c r="M336" s="167">
        <v>487</v>
      </c>
      <c r="N336" s="72" t="str">
        <f t="shared" si="11"/>
        <v>0xE7</v>
      </c>
      <c r="O336" s="168"/>
      <c r="P336" s="168"/>
      <c r="Q336" s="168"/>
      <c r="R336" s="168"/>
      <c r="S336" s="86"/>
      <c r="T336" s="170"/>
      <c r="U336" s="165"/>
    </row>
    <row r="337" spans="1:21" ht="16.5" customHeight="1" x14ac:dyDescent="0.3">
      <c r="A337" s="157"/>
      <c r="B337" s="166">
        <v>232</v>
      </c>
      <c r="C337" s="167">
        <v>488</v>
      </c>
      <c r="D337" s="72" t="str">
        <f t="shared" si="10"/>
        <v>0xE8</v>
      </c>
      <c r="E337" s="168"/>
      <c r="F337" s="169"/>
      <c r="G337" s="168"/>
      <c r="H337" s="169"/>
      <c r="I337" s="80"/>
      <c r="J337" s="170"/>
      <c r="K337" s="60"/>
      <c r="L337" s="166">
        <v>232</v>
      </c>
      <c r="M337" s="167">
        <v>488</v>
      </c>
      <c r="N337" s="72" t="str">
        <f t="shared" si="11"/>
        <v>0xE8</v>
      </c>
      <c r="O337" s="168"/>
      <c r="P337" s="168"/>
      <c r="Q337" s="168"/>
      <c r="R337" s="168"/>
      <c r="S337" s="80"/>
      <c r="T337" s="170"/>
      <c r="U337" s="165"/>
    </row>
    <row r="338" spans="1:21" ht="16.5" customHeight="1" x14ac:dyDescent="0.3">
      <c r="A338" s="157"/>
      <c r="B338" s="166">
        <v>233</v>
      </c>
      <c r="C338" s="167">
        <v>489</v>
      </c>
      <c r="D338" s="72" t="str">
        <f t="shared" si="10"/>
        <v>0xE9</v>
      </c>
      <c r="E338" s="168"/>
      <c r="F338" s="169"/>
      <c r="G338" s="168"/>
      <c r="H338" s="169"/>
      <c r="I338" s="80"/>
      <c r="J338" s="170"/>
      <c r="K338" s="60"/>
      <c r="L338" s="166">
        <v>233</v>
      </c>
      <c r="M338" s="167">
        <v>489</v>
      </c>
      <c r="N338" s="72" t="str">
        <f t="shared" si="11"/>
        <v>0xE9</v>
      </c>
      <c r="O338" s="168"/>
      <c r="P338" s="168"/>
      <c r="Q338" s="168"/>
      <c r="R338" s="168"/>
      <c r="S338" s="80"/>
      <c r="T338" s="170"/>
      <c r="U338" s="165"/>
    </row>
    <row r="339" spans="1:21" ht="16.5" customHeight="1" x14ac:dyDescent="0.3">
      <c r="A339" s="157"/>
      <c r="B339" s="166">
        <v>234</v>
      </c>
      <c r="C339" s="167">
        <v>490</v>
      </c>
      <c r="D339" s="72" t="str">
        <f t="shared" si="10"/>
        <v>0xEA</v>
      </c>
      <c r="E339" s="168"/>
      <c r="F339" s="169"/>
      <c r="G339" s="168"/>
      <c r="H339" s="169"/>
      <c r="I339" s="80"/>
      <c r="J339" s="170"/>
      <c r="K339" s="60"/>
      <c r="L339" s="166">
        <v>234</v>
      </c>
      <c r="M339" s="167">
        <v>490</v>
      </c>
      <c r="N339" s="72" t="str">
        <f t="shared" si="11"/>
        <v>0xEA</v>
      </c>
      <c r="O339" s="168"/>
      <c r="P339" s="168"/>
      <c r="Q339" s="168"/>
      <c r="R339" s="168"/>
      <c r="S339" s="80"/>
      <c r="T339" s="170"/>
      <c r="U339" s="165"/>
    </row>
    <row r="340" spans="1:21" ht="16.5" customHeight="1" x14ac:dyDescent="0.3">
      <c r="A340" s="157"/>
      <c r="B340" s="166">
        <v>235</v>
      </c>
      <c r="C340" s="167">
        <v>491</v>
      </c>
      <c r="D340" s="72" t="str">
        <f t="shared" si="10"/>
        <v>0xEB</v>
      </c>
      <c r="E340" s="168"/>
      <c r="F340" s="169"/>
      <c r="G340" s="168"/>
      <c r="H340" s="169"/>
      <c r="I340" s="80"/>
      <c r="J340" s="170"/>
      <c r="K340" s="60"/>
      <c r="L340" s="166">
        <v>235</v>
      </c>
      <c r="M340" s="167">
        <v>491</v>
      </c>
      <c r="N340" s="72" t="str">
        <f t="shared" si="11"/>
        <v>0xEB</v>
      </c>
      <c r="O340" s="168"/>
      <c r="P340" s="168"/>
      <c r="Q340" s="168"/>
      <c r="R340" s="168"/>
      <c r="S340" s="80"/>
      <c r="T340" s="170"/>
      <c r="U340" s="165"/>
    </row>
    <row r="341" spans="1:21" ht="16.5" customHeight="1" x14ac:dyDescent="0.3">
      <c r="A341" s="157"/>
      <c r="B341" s="166">
        <v>236</v>
      </c>
      <c r="C341" s="167">
        <v>492</v>
      </c>
      <c r="D341" s="72" t="str">
        <f t="shared" si="10"/>
        <v>0xEC</v>
      </c>
      <c r="E341" s="168"/>
      <c r="F341" s="169"/>
      <c r="G341" s="168"/>
      <c r="H341" s="169"/>
      <c r="I341" s="80"/>
      <c r="J341" s="170"/>
      <c r="K341" s="60"/>
      <c r="L341" s="166">
        <v>236</v>
      </c>
      <c r="M341" s="167">
        <v>492</v>
      </c>
      <c r="N341" s="72" t="str">
        <f t="shared" si="11"/>
        <v>0xEC</v>
      </c>
      <c r="O341" s="168"/>
      <c r="P341" s="168"/>
      <c r="Q341" s="168"/>
      <c r="R341" s="168"/>
      <c r="S341" s="80"/>
      <c r="T341" s="170"/>
      <c r="U341" s="165"/>
    </row>
    <row r="342" spans="1:21" ht="16.5" customHeight="1" x14ac:dyDescent="0.3">
      <c r="A342" s="157"/>
      <c r="B342" s="166">
        <v>237</v>
      </c>
      <c r="C342" s="167">
        <v>493</v>
      </c>
      <c r="D342" s="72" t="str">
        <f t="shared" si="10"/>
        <v>0xED</v>
      </c>
      <c r="E342" s="168"/>
      <c r="F342" s="169"/>
      <c r="G342" s="168"/>
      <c r="H342" s="169"/>
      <c r="I342" s="80"/>
      <c r="J342" s="170"/>
      <c r="K342" s="60"/>
      <c r="L342" s="166">
        <v>237</v>
      </c>
      <c r="M342" s="167">
        <v>493</v>
      </c>
      <c r="N342" s="72" t="str">
        <f t="shared" si="11"/>
        <v>0xED</v>
      </c>
      <c r="O342" s="168"/>
      <c r="P342" s="168"/>
      <c r="Q342" s="168"/>
      <c r="R342" s="168"/>
      <c r="S342" s="80"/>
      <c r="T342" s="170"/>
      <c r="U342" s="165"/>
    </row>
    <row r="343" spans="1:21" ht="16.5" customHeight="1" x14ac:dyDescent="0.3">
      <c r="A343" s="157"/>
      <c r="B343" s="166">
        <v>238</v>
      </c>
      <c r="C343" s="167">
        <v>494</v>
      </c>
      <c r="D343" s="72" t="str">
        <f t="shared" si="10"/>
        <v>0xEE</v>
      </c>
      <c r="E343" s="168"/>
      <c r="F343" s="169"/>
      <c r="G343" s="168"/>
      <c r="H343" s="169"/>
      <c r="I343" s="80"/>
      <c r="J343" s="170"/>
      <c r="K343" s="60"/>
      <c r="L343" s="166">
        <v>238</v>
      </c>
      <c r="M343" s="167">
        <v>494</v>
      </c>
      <c r="N343" s="72" t="str">
        <f t="shared" si="11"/>
        <v>0xEE</v>
      </c>
      <c r="O343" s="168"/>
      <c r="P343" s="168"/>
      <c r="Q343" s="168"/>
      <c r="R343" s="168"/>
      <c r="S343" s="80"/>
      <c r="T343" s="176"/>
      <c r="U343" s="165"/>
    </row>
    <row r="344" spans="1:21" ht="16.5" customHeight="1" thickBot="1" x14ac:dyDescent="0.35">
      <c r="A344" s="157"/>
      <c r="B344" s="178">
        <v>239</v>
      </c>
      <c r="C344" s="179">
        <v>495</v>
      </c>
      <c r="D344" s="91" t="str">
        <f t="shared" si="10"/>
        <v>0xEF</v>
      </c>
      <c r="E344" s="180"/>
      <c r="F344" s="181"/>
      <c r="G344" s="180"/>
      <c r="H344" s="181"/>
      <c r="I344" s="122"/>
      <c r="J344" s="190"/>
      <c r="K344" s="98"/>
      <c r="L344" s="178">
        <v>239</v>
      </c>
      <c r="M344" s="179">
        <v>495</v>
      </c>
      <c r="N344" s="91" t="str">
        <f t="shared" si="11"/>
        <v>0xEF</v>
      </c>
      <c r="O344" s="180"/>
      <c r="P344" s="180"/>
      <c r="Q344" s="180"/>
      <c r="R344" s="180"/>
      <c r="S344" s="122"/>
      <c r="T344" s="184"/>
      <c r="U344" s="165"/>
    </row>
    <row r="345" spans="1:21" ht="16.5" customHeight="1" thickTop="1" x14ac:dyDescent="0.3">
      <c r="A345" s="157"/>
      <c r="B345" s="185">
        <v>240</v>
      </c>
      <c r="C345" s="186">
        <v>496</v>
      </c>
      <c r="D345" s="72" t="str">
        <f t="shared" si="10"/>
        <v>0xF0</v>
      </c>
      <c r="E345" s="160"/>
      <c r="F345" s="161"/>
      <c r="G345" s="160"/>
      <c r="H345" s="161"/>
      <c r="I345" s="162"/>
      <c r="J345" s="164"/>
      <c r="K345" s="102">
        <v>16</v>
      </c>
      <c r="L345" s="185">
        <v>240</v>
      </c>
      <c r="M345" s="186">
        <v>496</v>
      </c>
      <c r="N345" s="72" t="str">
        <f t="shared" si="11"/>
        <v>0xF0</v>
      </c>
      <c r="O345" s="160"/>
      <c r="P345" s="160"/>
      <c r="Q345" s="160"/>
      <c r="R345" s="160"/>
      <c r="S345" s="162"/>
      <c r="T345" s="164"/>
      <c r="U345" s="165"/>
    </row>
    <row r="346" spans="1:21" ht="16.5" customHeight="1" x14ac:dyDescent="0.3">
      <c r="A346" s="157"/>
      <c r="B346" s="166">
        <v>241</v>
      </c>
      <c r="C346" s="167">
        <v>497</v>
      </c>
      <c r="D346" s="72" t="str">
        <f t="shared" si="10"/>
        <v>0xF1</v>
      </c>
      <c r="E346" s="168"/>
      <c r="F346" s="169"/>
      <c r="G346" s="168"/>
      <c r="H346" s="169"/>
      <c r="I346" s="80"/>
      <c r="J346" s="170"/>
      <c r="K346" s="60"/>
      <c r="L346" s="166">
        <v>241</v>
      </c>
      <c r="M346" s="167">
        <v>497</v>
      </c>
      <c r="N346" s="72" t="str">
        <f t="shared" si="11"/>
        <v>0xF1</v>
      </c>
      <c r="O346" s="168"/>
      <c r="P346" s="168"/>
      <c r="Q346" s="168"/>
      <c r="R346" s="168"/>
      <c r="S346" s="80"/>
      <c r="T346" s="170"/>
      <c r="U346" s="165"/>
    </row>
    <row r="347" spans="1:21" ht="16.5" customHeight="1" x14ac:dyDescent="0.3">
      <c r="A347" s="157"/>
      <c r="B347" s="166">
        <v>242</v>
      </c>
      <c r="C347" s="167">
        <v>498</v>
      </c>
      <c r="D347" s="72" t="str">
        <f t="shared" si="10"/>
        <v>0xF2</v>
      </c>
      <c r="E347" s="168"/>
      <c r="F347" s="169"/>
      <c r="G347" s="168"/>
      <c r="H347" s="169"/>
      <c r="I347" s="80"/>
      <c r="J347" s="170"/>
      <c r="K347" s="60"/>
      <c r="L347" s="166">
        <v>242</v>
      </c>
      <c r="M347" s="167">
        <v>498</v>
      </c>
      <c r="N347" s="72" t="str">
        <f t="shared" si="11"/>
        <v>0xF2</v>
      </c>
      <c r="O347" s="168"/>
      <c r="P347" s="168"/>
      <c r="Q347" s="168"/>
      <c r="R347" s="168"/>
      <c r="S347" s="80"/>
      <c r="T347" s="170"/>
      <c r="U347" s="165"/>
    </row>
    <row r="348" spans="1:21" ht="16.5" customHeight="1" x14ac:dyDescent="0.3">
      <c r="A348" s="157"/>
      <c r="B348" s="166">
        <v>243</v>
      </c>
      <c r="C348" s="167">
        <v>499</v>
      </c>
      <c r="D348" s="72" t="str">
        <f t="shared" si="10"/>
        <v>0xF3</v>
      </c>
      <c r="E348" s="168"/>
      <c r="F348" s="169"/>
      <c r="G348" s="168"/>
      <c r="H348" s="169"/>
      <c r="I348" s="80"/>
      <c r="J348" s="170"/>
      <c r="K348" s="60"/>
      <c r="L348" s="166">
        <v>243</v>
      </c>
      <c r="M348" s="167">
        <v>499</v>
      </c>
      <c r="N348" s="72" t="str">
        <f t="shared" si="11"/>
        <v>0xF3</v>
      </c>
      <c r="O348" s="168"/>
      <c r="P348" s="168"/>
      <c r="Q348" s="168"/>
      <c r="R348" s="168"/>
      <c r="S348" s="80"/>
      <c r="T348" s="170"/>
      <c r="U348" s="165"/>
    </row>
    <row r="349" spans="1:21" ht="16.5" customHeight="1" x14ac:dyDescent="0.3">
      <c r="A349" s="157"/>
      <c r="B349" s="166">
        <v>244</v>
      </c>
      <c r="C349" s="167">
        <v>500</v>
      </c>
      <c r="D349" s="72" t="str">
        <f t="shared" si="10"/>
        <v>0xF4</v>
      </c>
      <c r="E349" s="168"/>
      <c r="F349" s="169"/>
      <c r="G349" s="168"/>
      <c r="H349" s="169"/>
      <c r="I349" s="80"/>
      <c r="J349" s="170"/>
      <c r="K349" s="60"/>
      <c r="L349" s="166">
        <v>244</v>
      </c>
      <c r="M349" s="167">
        <v>500</v>
      </c>
      <c r="N349" s="72" t="str">
        <f t="shared" si="11"/>
        <v>0xF4</v>
      </c>
      <c r="O349" s="168"/>
      <c r="P349" s="168"/>
      <c r="Q349" s="168"/>
      <c r="R349" s="168"/>
      <c r="S349" s="80"/>
      <c r="T349" s="170"/>
      <c r="U349" s="165"/>
    </row>
    <row r="350" spans="1:21" ht="16.5" customHeight="1" x14ac:dyDescent="0.3">
      <c r="A350" s="157"/>
      <c r="B350" s="166">
        <v>245</v>
      </c>
      <c r="C350" s="167">
        <v>501</v>
      </c>
      <c r="D350" s="72" t="str">
        <f t="shared" si="10"/>
        <v>0xF5</v>
      </c>
      <c r="E350" s="168"/>
      <c r="F350" s="169"/>
      <c r="G350" s="168"/>
      <c r="H350" s="169"/>
      <c r="I350" s="80"/>
      <c r="J350" s="170"/>
      <c r="K350" s="60"/>
      <c r="L350" s="166">
        <v>245</v>
      </c>
      <c r="M350" s="167">
        <v>501</v>
      </c>
      <c r="N350" s="72" t="str">
        <f t="shared" si="11"/>
        <v>0xF5</v>
      </c>
      <c r="O350" s="168"/>
      <c r="P350" s="168"/>
      <c r="Q350" s="168"/>
      <c r="R350" s="168"/>
      <c r="S350" s="80"/>
      <c r="T350" s="170"/>
      <c r="U350" s="165"/>
    </row>
    <row r="351" spans="1:21" ht="16.5" customHeight="1" x14ac:dyDescent="0.3">
      <c r="A351" s="157"/>
      <c r="B351" s="166">
        <v>246</v>
      </c>
      <c r="C351" s="167">
        <v>502</v>
      </c>
      <c r="D351" s="72" t="str">
        <f t="shared" si="10"/>
        <v>0xF6</v>
      </c>
      <c r="E351" s="168"/>
      <c r="F351" s="169"/>
      <c r="G351" s="168"/>
      <c r="H351" s="169"/>
      <c r="I351" s="80"/>
      <c r="J351" s="170"/>
      <c r="K351" s="60"/>
      <c r="L351" s="166">
        <v>246</v>
      </c>
      <c r="M351" s="167">
        <v>502</v>
      </c>
      <c r="N351" s="72" t="str">
        <f t="shared" si="11"/>
        <v>0xF6</v>
      </c>
      <c r="O351" s="168"/>
      <c r="P351" s="168"/>
      <c r="Q351" s="168"/>
      <c r="R351" s="168"/>
      <c r="S351" s="80"/>
      <c r="T351" s="170"/>
      <c r="U351" s="165"/>
    </row>
    <row r="352" spans="1:21" ht="16.5" customHeight="1" x14ac:dyDescent="0.3">
      <c r="A352" s="157"/>
      <c r="B352" s="166">
        <v>247</v>
      </c>
      <c r="C352" s="167">
        <v>503</v>
      </c>
      <c r="D352" s="72" t="str">
        <f t="shared" si="10"/>
        <v>0xF7</v>
      </c>
      <c r="E352" s="168"/>
      <c r="F352" s="169"/>
      <c r="G352" s="168"/>
      <c r="H352" s="169"/>
      <c r="I352" s="86"/>
      <c r="J352" s="170"/>
      <c r="K352" s="60"/>
      <c r="L352" s="166">
        <v>247</v>
      </c>
      <c r="M352" s="167">
        <v>503</v>
      </c>
      <c r="N352" s="72" t="str">
        <f t="shared" si="11"/>
        <v>0xF7</v>
      </c>
      <c r="O352" s="168"/>
      <c r="P352" s="168"/>
      <c r="Q352" s="168"/>
      <c r="R352" s="168"/>
      <c r="S352" s="86"/>
      <c r="T352" s="170"/>
      <c r="U352" s="165"/>
    </row>
    <row r="353" spans="1:21" ht="16.5" customHeight="1" x14ac:dyDescent="0.3">
      <c r="A353" s="157"/>
      <c r="B353" s="166">
        <v>248</v>
      </c>
      <c r="C353" s="167">
        <v>504</v>
      </c>
      <c r="D353" s="72" t="str">
        <f t="shared" si="10"/>
        <v>0xF8</v>
      </c>
      <c r="E353" s="168"/>
      <c r="F353" s="169"/>
      <c r="G353" s="168"/>
      <c r="H353" s="169"/>
      <c r="I353" s="80"/>
      <c r="J353" s="170"/>
      <c r="K353" s="60"/>
      <c r="L353" s="166">
        <v>248</v>
      </c>
      <c r="M353" s="167">
        <v>504</v>
      </c>
      <c r="N353" s="72" t="str">
        <f t="shared" si="11"/>
        <v>0xF8</v>
      </c>
      <c r="O353" s="168"/>
      <c r="P353" s="168"/>
      <c r="Q353" s="168"/>
      <c r="R353" s="168"/>
      <c r="S353" s="80"/>
      <c r="T353" s="170"/>
      <c r="U353" s="165"/>
    </row>
    <row r="354" spans="1:21" ht="16.5" customHeight="1" x14ac:dyDescent="0.3">
      <c r="A354" s="157"/>
      <c r="B354" s="166">
        <v>249</v>
      </c>
      <c r="C354" s="167">
        <v>505</v>
      </c>
      <c r="D354" s="72" t="str">
        <f t="shared" si="10"/>
        <v>0xF9</v>
      </c>
      <c r="E354" s="168"/>
      <c r="F354" s="169"/>
      <c r="G354" s="168"/>
      <c r="H354" s="169"/>
      <c r="I354" s="80"/>
      <c r="J354" s="170"/>
      <c r="K354" s="60"/>
      <c r="L354" s="166">
        <v>249</v>
      </c>
      <c r="M354" s="167">
        <v>505</v>
      </c>
      <c r="N354" s="72" t="str">
        <f t="shared" si="11"/>
        <v>0xF9</v>
      </c>
      <c r="O354" s="168"/>
      <c r="P354" s="168"/>
      <c r="Q354" s="168"/>
      <c r="R354" s="168"/>
      <c r="S354" s="80"/>
      <c r="T354" s="170"/>
      <c r="U354" s="165"/>
    </row>
    <row r="355" spans="1:21" ht="16.5" customHeight="1" x14ac:dyDescent="0.3">
      <c r="A355" s="157"/>
      <c r="B355" s="166">
        <v>250</v>
      </c>
      <c r="C355" s="167">
        <v>506</v>
      </c>
      <c r="D355" s="72" t="str">
        <f t="shared" si="10"/>
        <v>0xFA</v>
      </c>
      <c r="E355" s="168"/>
      <c r="F355" s="169"/>
      <c r="G355" s="168"/>
      <c r="H355" s="169"/>
      <c r="I355" s="80"/>
      <c r="J355" s="170"/>
      <c r="K355" s="60"/>
      <c r="L355" s="166">
        <v>250</v>
      </c>
      <c r="M355" s="167">
        <v>506</v>
      </c>
      <c r="N355" s="72" t="str">
        <f t="shared" si="11"/>
        <v>0xFA</v>
      </c>
      <c r="O355" s="168"/>
      <c r="P355" s="168"/>
      <c r="Q355" s="168"/>
      <c r="R355" s="168"/>
      <c r="S355" s="80"/>
      <c r="T355" s="170"/>
      <c r="U355" s="165"/>
    </row>
    <row r="356" spans="1:21" ht="16.5" customHeight="1" x14ac:dyDescent="0.3">
      <c r="A356" s="157"/>
      <c r="B356" s="166">
        <v>251</v>
      </c>
      <c r="C356" s="167">
        <v>507</v>
      </c>
      <c r="D356" s="72" t="str">
        <f t="shared" si="10"/>
        <v>0xFB</v>
      </c>
      <c r="E356" s="168"/>
      <c r="F356" s="169"/>
      <c r="G356" s="168"/>
      <c r="H356" s="169"/>
      <c r="I356" s="80"/>
      <c r="J356" s="170"/>
      <c r="K356" s="60"/>
      <c r="L356" s="166">
        <v>251</v>
      </c>
      <c r="M356" s="167">
        <v>507</v>
      </c>
      <c r="N356" s="72" t="str">
        <f t="shared" si="11"/>
        <v>0xFB</v>
      </c>
      <c r="O356" s="168"/>
      <c r="P356" s="168"/>
      <c r="Q356" s="168"/>
      <c r="R356" s="168"/>
      <c r="S356" s="80"/>
      <c r="T356" s="170"/>
      <c r="U356" s="165"/>
    </row>
    <row r="357" spans="1:21" ht="16.5" customHeight="1" x14ac:dyDescent="0.3">
      <c r="A357" s="157"/>
      <c r="B357" s="166">
        <v>252</v>
      </c>
      <c r="C357" s="167">
        <v>508</v>
      </c>
      <c r="D357" s="72" t="str">
        <f t="shared" si="10"/>
        <v>0xFC</v>
      </c>
      <c r="E357" s="168"/>
      <c r="F357" s="169"/>
      <c r="G357" s="168"/>
      <c r="H357" s="169"/>
      <c r="I357" s="80"/>
      <c r="J357" s="170"/>
      <c r="K357" s="60"/>
      <c r="L357" s="166">
        <v>252</v>
      </c>
      <c r="M357" s="167">
        <v>508</v>
      </c>
      <c r="N357" s="72" t="str">
        <f t="shared" si="11"/>
        <v>0xFC</v>
      </c>
      <c r="O357" s="168"/>
      <c r="P357" s="168"/>
      <c r="Q357" s="168"/>
      <c r="R357" s="168"/>
      <c r="S357" s="80"/>
      <c r="T357" s="170"/>
      <c r="U357" s="165"/>
    </row>
    <row r="358" spans="1:21" ht="16.5" customHeight="1" x14ac:dyDescent="0.3">
      <c r="A358" s="157"/>
      <c r="B358" s="166">
        <v>253</v>
      </c>
      <c r="C358" s="167">
        <v>509</v>
      </c>
      <c r="D358" s="72" t="str">
        <f t="shared" si="10"/>
        <v>0xFD</v>
      </c>
      <c r="E358" s="168"/>
      <c r="F358" s="169"/>
      <c r="G358" s="168"/>
      <c r="H358" s="169"/>
      <c r="I358" s="80"/>
      <c r="J358" s="170"/>
      <c r="K358" s="60"/>
      <c r="L358" s="166">
        <v>253</v>
      </c>
      <c r="M358" s="167">
        <v>509</v>
      </c>
      <c r="N358" s="72" t="str">
        <f t="shared" si="11"/>
        <v>0xFD</v>
      </c>
      <c r="O358" s="168"/>
      <c r="P358" s="168"/>
      <c r="Q358" s="168"/>
      <c r="R358" s="168"/>
      <c r="S358" s="80"/>
      <c r="T358" s="170"/>
      <c r="U358" s="165"/>
    </row>
    <row r="359" spans="1:21" ht="16.5" customHeight="1" x14ac:dyDescent="0.3">
      <c r="A359" s="157"/>
      <c r="B359" s="166">
        <v>254</v>
      </c>
      <c r="C359" s="167">
        <v>510</v>
      </c>
      <c r="D359" s="72" t="str">
        <f t="shared" si="10"/>
        <v>0xFE</v>
      </c>
      <c r="E359" s="168"/>
      <c r="F359" s="169"/>
      <c r="G359" s="168"/>
      <c r="H359" s="169"/>
      <c r="I359" s="80"/>
      <c r="J359" s="170"/>
      <c r="K359" s="60"/>
      <c r="L359" s="166">
        <v>254</v>
      </c>
      <c r="M359" s="167">
        <v>510</v>
      </c>
      <c r="N359" s="72" t="str">
        <f t="shared" si="11"/>
        <v>0xFE</v>
      </c>
      <c r="O359" s="168"/>
      <c r="P359" s="168"/>
      <c r="Q359" s="168"/>
      <c r="R359" s="168"/>
      <c r="S359" s="80"/>
      <c r="T359" s="176"/>
      <c r="U359" s="165"/>
    </row>
    <row r="360" spans="1:21" ht="17.25" customHeight="1" thickBot="1" x14ac:dyDescent="0.35">
      <c r="A360" s="157"/>
      <c r="B360" s="178">
        <v>255</v>
      </c>
      <c r="C360" s="179">
        <v>511</v>
      </c>
      <c r="D360" s="91" t="str">
        <f t="shared" si="10"/>
        <v>0xFF</v>
      </c>
      <c r="E360" s="180"/>
      <c r="F360" s="181"/>
      <c r="G360" s="180"/>
      <c r="H360" s="181"/>
      <c r="I360" s="122"/>
      <c r="J360" s="190"/>
      <c r="K360" s="98"/>
      <c r="L360" s="178">
        <v>255</v>
      </c>
      <c r="M360" s="179">
        <v>511</v>
      </c>
      <c r="N360" s="91" t="str">
        <f t="shared" si="11"/>
        <v>0xFF</v>
      </c>
      <c r="O360" s="180"/>
      <c r="P360" s="180"/>
      <c r="Q360" s="180"/>
      <c r="R360" s="180"/>
      <c r="S360" s="122"/>
      <c r="T360" s="184"/>
      <c r="U360" s="165"/>
    </row>
    <row r="361" spans="1:21" ht="17.5" thickTop="1" x14ac:dyDescent="0.45"/>
  </sheetData>
  <mergeCells count="448">
    <mergeCell ref="K329:K344"/>
    <mergeCell ref="K345:K360"/>
    <mergeCell ref="K265:K280"/>
    <mergeCell ref="U277:U280"/>
    <mergeCell ref="K281:K296"/>
    <mergeCell ref="K297:K312"/>
    <mergeCell ref="A313:A316"/>
    <mergeCell ref="K313:K328"/>
    <mergeCell ref="U313:U316"/>
    <mergeCell ref="K201:K216"/>
    <mergeCell ref="U204:U205"/>
    <mergeCell ref="K217:K232"/>
    <mergeCell ref="U225:U226"/>
    <mergeCell ref="K233:K248"/>
    <mergeCell ref="U240:U243"/>
    <mergeCell ref="U247:U249"/>
    <mergeCell ref="K249:K264"/>
    <mergeCell ref="K153:K168"/>
    <mergeCell ref="K169:K184"/>
    <mergeCell ref="K185:K200"/>
    <mergeCell ref="U186:U187"/>
    <mergeCell ref="U189:U190"/>
    <mergeCell ref="U192:U193"/>
    <mergeCell ref="U195:U196"/>
    <mergeCell ref="S103:S104"/>
    <mergeCell ref="T103:T104"/>
    <mergeCell ref="U103:U104"/>
    <mergeCell ref="K105:K120"/>
    <mergeCell ref="K121:K136"/>
    <mergeCell ref="A137:A140"/>
    <mergeCell ref="K137:K152"/>
    <mergeCell ref="I103:I104"/>
    <mergeCell ref="J103:J104"/>
    <mergeCell ref="L103:M103"/>
    <mergeCell ref="N103:N104"/>
    <mergeCell ref="O103:O104"/>
    <mergeCell ref="Q103:Q104"/>
    <mergeCell ref="B99:C99"/>
    <mergeCell ref="E99:G99"/>
    <mergeCell ref="L99:M99"/>
    <mergeCell ref="O99:Q99"/>
    <mergeCell ref="B102:T102"/>
    <mergeCell ref="A103:A104"/>
    <mergeCell ref="B103:C103"/>
    <mergeCell ref="D103:D104"/>
    <mergeCell ref="E103:E104"/>
    <mergeCell ref="G103:G104"/>
    <mergeCell ref="B97:C97"/>
    <mergeCell ref="E97:G97"/>
    <mergeCell ref="L97:M97"/>
    <mergeCell ref="O97:Q97"/>
    <mergeCell ref="B98:C98"/>
    <mergeCell ref="E98:G98"/>
    <mergeCell ref="L98:M98"/>
    <mergeCell ref="O98:Q98"/>
    <mergeCell ref="B95:C95"/>
    <mergeCell ref="E95:G95"/>
    <mergeCell ref="L95:M95"/>
    <mergeCell ref="O95:Q95"/>
    <mergeCell ref="B96:C96"/>
    <mergeCell ref="E96:G96"/>
    <mergeCell ref="L96:M96"/>
    <mergeCell ref="O96:Q96"/>
    <mergeCell ref="B93:C93"/>
    <mergeCell ref="E93:G93"/>
    <mergeCell ref="L93:M93"/>
    <mergeCell ref="O93:Q93"/>
    <mergeCell ref="B94:C94"/>
    <mergeCell ref="E94:G94"/>
    <mergeCell ref="L94:M94"/>
    <mergeCell ref="O94:Q94"/>
    <mergeCell ref="B91:C91"/>
    <mergeCell ref="E91:G91"/>
    <mergeCell ref="L91:M91"/>
    <mergeCell ref="O91:Q91"/>
    <mergeCell ref="B92:C92"/>
    <mergeCell ref="E92:G92"/>
    <mergeCell ref="L92:M92"/>
    <mergeCell ref="O92:Q92"/>
    <mergeCell ref="B89:C89"/>
    <mergeCell ref="E89:G89"/>
    <mergeCell ref="L89:M89"/>
    <mergeCell ref="O89:Q89"/>
    <mergeCell ref="B90:C90"/>
    <mergeCell ref="E90:G90"/>
    <mergeCell ref="L90:M90"/>
    <mergeCell ref="O90:Q90"/>
    <mergeCell ref="B87:C87"/>
    <mergeCell ref="E87:G87"/>
    <mergeCell ref="L87:M87"/>
    <mergeCell ref="O87:Q87"/>
    <mergeCell ref="B88:C88"/>
    <mergeCell ref="E88:G88"/>
    <mergeCell ref="L88:M88"/>
    <mergeCell ref="O88:Q88"/>
    <mergeCell ref="E85:G85"/>
    <mergeCell ref="L85:M85"/>
    <mergeCell ref="O85:Q85"/>
    <mergeCell ref="B86:C86"/>
    <mergeCell ref="E86:G86"/>
    <mergeCell ref="L86:M86"/>
    <mergeCell ref="O86:Q86"/>
    <mergeCell ref="B83:C83"/>
    <mergeCell ref="E83:G83"/>
    <mergeCell ref="L83:M83"/>
    <mergeCell ref="O83:Q83"/>
    <mergeCell ref="B84:C84"/>
    <mergeCell ref="E84:G84"/>
    <mergeCell ref="K84:K99"/>
    <mergeCell ref="L84:M84"/>
    <mergeCell ref="O84:Q84"/>
    <mergeCell ref="B85:C85"/>
    <mergeCell ref="B81:C81"/>
    <mergeCell ref="E81:G81"/>
    <mergeCell ref="L81:M81"/>
    <mergeCell ref="O81:Q81"/>
    <mergeCell ref="B82:C82"/>
    <mergeCell ref="E82:G82"/>
    <mergeCell ref="L82:M82"/>
    <mergeCell ref="O82:Q82"/>
    <mergeCell ref="B79:C79"/>
    <mergeCell ref="E79:G79"/>
    <mergeCell ref="L79:M79"/>
    <mergeCell ref="O79:Q79"/>
    <mergeCell ref="B80:C80"/>
    <mergeCell ref="E80:G80"/>
    <mergeCell ref="L80:M80"/>
    <mergeCell ref="O80:Q80"/>
    <mergeCell ref="B77:C77"/>
    <mergeCell ref="E77:G77"/>
    <mergeCell ref="L77:M77"/>
    <mergeCell ref="O77:Q77"/>
    <mergeCell ref="B78:C78"/>
    <mergeCell ref="E78:G78"/>
    <mergeCell ref="L78:M78"/>
    <mergeCell ref="O78:Q78"/>
    <mergeCell ref="B75:C75"/>
    <mergeCell ref="E75:G75"/>
    <mergeCell ref="L75:M75"/>
    <mergeCell ref="O75:Q75"/>
    <mergeCell ref="B76:C76"/>
    <mergeCell ref="E76:G76"/>
    <mergeCell ref="L76:M76"/>
    <mergeCell ref="O76:Q76"/>
    <mergeCell ref="B73:C73"/>
    <mergeCell ref="E73:G73"/>
    <mergeCell ref="L73:M73"/>
    <mergeCell ref="O73:Q73"/>
    <mergeCell ref="B74:C74"/>
    <mergeCell ref="E74:G74"/>
    <mergeCell ref="L74:M74"/>
    <mergeCell ref="O74:Q74"/>
    <mergeCell ref="B71:C71"/>
    <mergeCell ref="E71:G71"/>
    <mergeCell ref="L71:M71"/>
    <mergeCell ref="O71:Q71"/>
    <mergeCell ref="B72:C72"/>
    <mergeCell ref="E72:G72"/>
    <mergeCell ref="L72:M72"/>
    <mergeCell ref="O72:Q72"/>
    <mergeCell ref="E69:G69"/>
    <mergeCell ref="L69:M69"/>
    <mergeCell ref="O69:Q69"/>
    <mergeCell ref="B70:C70"/>
    <mergeCell ref="E70:G70"/>
    <mergeCell ref="L70:M70"/>
    <mergeCell ref="O70:Q70"/>
    <mergeCell ref="B67:C67"/>
    <mergeCell ref="E67:G67"/>
    <mergeCell ref="L67:M67"/>
    <mergeCell ref="O67:Q67"/>
    <mergeCell ref="B68:C68"/>
    <mergeCell ref="E68:G68"/>
    <mergeCell ref="K68:K83"/>
    <mergeCell ref="L68:M68"/>
    <mergeCell ref="O68:Q68"/>
    <mergeCell ref="B69:C69"/>
    <mergeCell ref="B65:C65"/>
    <mergeCell ref="E65:G65"/>
    <mergeCell ref="L65:M65"/>
    <mergeCell ref="O65:Q65"/>
    <mergeCell ref="B66:C66"/>
    <mergeCell ref="E66:G66"/>
    <mergeCell ref="L66:M66"/>
    <mergeCell ref="O66:Q66"/>
    <mergeCell ref="B63:C63"/>
    <mergeCell ref="E63:G63"/>
    <mergeCell ref="L63:M63"/>
    <mergeCell ref="O63:Q63"/>
    <mergeCell ref="B64:C64"/>
    <mergeCell ref="E64:G64"/>
    <mergeCell ref="L64:M64"/>
    <mergeCell ref="O64:Q64"/>
    <mergeCell ref="B61:C61"/>
    <mergeCell ref="E61:G61"/>
    <mergeCell ref="L61:M61"/>
    <mergeCell ref="O61:Q61"/>
    <mergeCell ref="B62:C62"/>
    <mergeCell ref="E62:G62"/>
    <mergeCell ref="L62:M62"/>
    <mergeCell ref="O62:Q62"/>
    <mergeCell ref="B59:C59"/>
    <mergeCell ref="E59:G59"/>
    <mergeCell ref="L59:M59"/>
    <mergeCell ref="O59:Q59"/>
    <mergeCell ref="B60:C60"/>
    <mergeCell ref="E60:G60"/>
    <mergeCell ref="L60:M60"/>
    <mergeCell ref="O60:Q60"/>
    <mergeCell ref="B57:C57"/>
    <mergeCell ref="E57:G57"/>
    <mergeCell ref="L57:M57"/>
    <mergeCell ref="O57:Q57"/>
    <mergeCell ref="B58:C58"/>
    <mergeCell ref="E58:G58"/>
    <mergeCell ref="L58:M58"/>
    <mergeCell ref="O58:Q58"/>
    <mergeCell ref="B55:C55"/>
    <mergeCell ref="E55:G55"/>
    <mergeCell ref="L55:M55"/>
    <mergeCell ref="O55:Q55"/>
    <mergeCell ref="B56:C56"/>
    <mergeCell ref="E56:G56"/>
    <mergeCell ref="L56:M56"/>
    <mergeCell ref="O56:Q56"/>
    <mergeCell ref="E53:G53"/>
    <mergeCell ref="L53:M53"/>
    <mergeCell ref="O53:Q53"/>
    <mergeCell ref="B54:C54"/>
    <mergeCell ref="E54:G54"/>
    <mergeCell ref="L54:M54"/>
    <mergeCell ref="O54:Q54"/>
    <mergeCell ref="B51:C51"/>
    <mergeCell ref="E51:G51"/>
    <mergeCell ref="L51:M51"/>
    <mergeCell ref="O51:Q51"/>
    <mergeCell ref="B52:C52"/>
    <mergeCell ref="E52:G52"/>
    <mergeCell ref="K52:K67"/>
    <mergeCell ref="L52:M52"/>
    <mergeCell ref="O52:Q52"/>
    <mergeCell ref="B53:C53"/>
    <mergeCell ref="B49:C49"/>
    <mergeCell ref="E49:G49"/>
    <mergeCell ref="L49:M49"/>
    <mergeCell ref="O49:Q49"/>
    <mergeCell ref="B50:C50"/>
    <mergeCell ref="E50:G50"/>
    <mergeCell ref="L50:M50"/>
    <mergeCell ref="O50:Q50"/>
    <mergeCell ref="B47:C47"/>
    <mergeCell ref="E47:G47"/>
    <mergeCell ref="L47:M47"/>
    <mergeCell ref="O47:Q47"/>
    <mergeCell ref="B48:C48"/>
    <mergeCell ref="E48:G48"/>
    <mergeCell ref="L48:M48"/>
    <mergeCell ref="O48:Q48"/>
    <mergeCell ref="B45:C45"/>
    <mergeCell ref="E45:G45"/>
    <mergeCell ref="L45:M45"/>
    <mergeCell ref="O45:Q45"/>
    <mergeCell ref="B46:C46"/>
    <mergeCell ref="E46:G46"/>
    <mergeCell ref="L46:M46"/>
    <mergeCell ref="O46:Q46"/>
    <mergeCell ref="B43:C43"/>
    <mergeCell ref="E43:G43"/>
    <mergeCell ref="L43:M43"/>
    <mergeCell ref="O43:Q43"/>
    <mergeCell ref="B44:C44"/>
    <mergeCell ref="E44:G44"/>
    <mergeCell ref="L44:M44"/>
    <mergeCell ref="O44:Q44"/>
    <mergeCell ref="B41:C41"/>
    <mergeCell ref="E41:G41"/>
    <mergeCell ref="L41:M41"/>
    <mergeCell ref="O41:Q41"/>
    <mergeCell ref="B42:C42"/>
    <mergeCell ref="E42:G42"/>
    <mergeCell ref="L42:M42"/>
    <mergeCell ref="O42:Q42"/>
    <mergeCell ref="B39:C39"/>
    <mergeCell ref="E39:G39"/>
    <mergeCell ref="L39:M39"/>
    <mergeCell ref="O39:Q39"/>
    <mergeCell ref="B40:C40"/>
    <mergeCell ref="E40:G40"/>
    <mergeCell ref="L40:M40"/>
    <mergeCell ref="O40:Q40"/>
    <mergeCell ref="E37:G37"/>
    <mergeCell ref="L37:M37"/>
    <mergeCell ref="O37:Q37"/>
    <mergeCell ref="B38:C38"/>
    <mergeCell ref="E38:G38"/>
    <mergeCell ref="L38:M38"/>
    <mergeCell ref="O38:Q38"/>
    <mergeCell ref="B35:C35"/>
    <mergeCell ref="E35:G35"/>
    <mergeCell ref="L35:M35"/>
    <mergeCell ref="O35:Q35"/>
    <mergeCell ref="B36:C36"/>
    <mergeCell ref="E36:G36"/>
    <mergeCell ref="K36:K51"/>
    <mergeCell ref="L36:M36"/>
    <mergeCell ref="O36:Q36"/>
    <mergeCell ref="B37:C37"/>
    <mergeCell ref="B33:C33"/>
    <mergeCell ref="E33:G33"/>
    <mergeCell ref="L33:M33"/>
    <mergeCell ref="O33:Q33"/>
    <mergeCell ref="B34:C34"/>
    <mergeCell ref="E34:G34"/>
    <mergeCell ref="L34:M34"/>
    <mergeCell ref="O34:Q34"/>
    <mergeCell ref="B31:C31"/>
    <mergeCell ref="E31:G31"/>
    <mergeCell ref="L31:M31"/>
    <mergeCell ref="O31:Q31"/>
    <mergeCell ref="B32:C32"/>
    <mergeCell ref="E32:G32"/>
    <mergeCell ref="L32:M32"/>
    <mergeCell ref="O32:Q32"/>
    <mergeCell ref="B29:C29"/>
    <mergeCell ref="E29:G29"/>
    <mergeCell ref="L29:M29"/>
    <mergeCell ref="O29:Q29"/>
    <mergeCell ref="B30:C30"/>
    <mergeCell ref="E30:G30"/>
    <mergeCell ref="L30:M30"/>
    <mergeCell ref="O30:Q30"/>
    <mergeCell ref="B27:C27"/>
    <mergeCell ref="E27:G27"/>
    <mergeCell ref="L27:M27"/>
    <mergeCell ref="O27:Q27"/>
    <mergeCell ref="B28:C28"/>
    <mergeCell ref="E28:G28"/>
    <mergeCell ref="L28:M28"/>
    <mergeCell ref="O28:Q28"/>
    <mergeCell ref="B25:C25"/>
    <mergeCell ref="E25:G25"/>
    <mergeCell ref="L25:M25"/>
    <mergeCell ref="O25:Q25"/>
    <mergeCell ref="B26:C26"/>
    <mergeCell ref="E26:G26"/>
    <mergeCell ref="L26:M26"/>
    <mergeCell ref="O26:Q26"/>
    <mergeCell ref="B23:C23"/>
    <mergeCell ref="E23:G23"/>
    <mergeCell ref="L23:M23"/>
    <mergeCell ref="O23:Q23"/>
    <mergeCell ref="B24:C24"/>
    <mergeCell ref="E24:G24"/>
    <mergeCell ref="L24:M24"/>
    <mergeCell ref="O24:Q24"/>
    <mergeCell ref="E21:G21"/>
    <mergeCell ref="L21:M21"/>
    <mergeCell ref="O21:Q21"/>
    <mergeCell ref="B22:C22"/>
    <mergeCell ref="E22:G22"/>
    <mergeCell ref="L22:M22"/>
    <mergeCell ref="O22:Q22"/>
    <mergeCell ref="B19:C19"/>
    <mergeCell ref="E19:G19"/>
    <mergeCell ref="L19:M19"/>
    <mergeCell ref="O19:Q19"/>
    <mergeCell ref="B20:C20"/>
    <mergeCell ref="E20:G20"/>
    <mergeCell ref="K20:K35"/>
    <mergeCell ref="L20:M20"/>
    <mergeCell ref="O20:Q20"/>
    <mergeCell ref="B21:C21"/>
    <mergeCell ref="B17:C17"/>
    <mergeCell ref="E17:G17"/>
    <mergeCell ref="L17:M17"/>
    <mergeCell ref="O17:Q17"/>
    <mergeCell ref="B18:C18"/>
    <mergeCell ref="E18:G18"/>
    <mergeCell ref="L18:M18"/>
    <mergeCell ref="O18:Q18"/>
    <mergeCell ref="B15:C15"/>
    <mergeCell ref="E15:G15"/>
    <mergeCell ref="L15:M15"/>
    <mergeCell ref="O15:Q15"/>
    <mergeCell ref="B16:C16"/>
    <mergeCell ref="E16:G16"/>
    <mergeCell ref="L16:M16"/>
    <mergeCell ref="O16:Q16"/>
    <mergeCell ref="B13:C13"/>
    <mergeCell ref="E13:G13"/>
    <mergeCell ref="L13:M13"/>
    <mergeCell ref="O13:Q13"/>
    <mergeCell ref="B14:C14"/>
    <mergeCell ref="E14:G14"/>
    <mergeCell ref="L14:M14"/>
    <mergeCell ref="O14:Q14"/>
    <mergeCell ref="B11:C11"/>
    <mergeCell ref="E11:G11"/>
    <mergeCell ref="L11:M11"/>
    <mergeCell ref="O11:Q11"/>
    <mergeCell ref="B12:C12"/>
    <mergeCell ref="E12:G12"/>
    <mergeCell ref="L12:M12"/>
    <mergeCell ref="O12:Q12"/>
    <mergeCell ref="B9:C9"/>
    <mergeCell ref="E9:G9"/>
    <mergeCell ref="L9:M9"/>
    <mergeCell ref="O9:Q9"/>
    <mergeCell ref="B10:C10"/>
    <mergeCell ref="E10:G10"/>
    <mergeCell ref="L10:M10"/>
    <mergeCell ref="O10:Q10"/>
    <mergeCell ref="B7:C7"/>
    <mergeCell ref="E7:G7"/>
    <mergeCell ref="L7:M7"/>
    <mergeCell ref="O7:Q7"/>
    <mergeCell ref="B8:C8"/>
    <mergeCell ref="E8:G8"/>
    <mergeCell ref="L8:M8"/>
    <mergeCell ref="O8:Q8"/>
    <mergeCell ref="B5:C5"/>
    <mergeCell ref="E5:G5"/>
    <mergeCell ref="L5:M5"/>
    <mergeCell ref="O5:Q5"/>
    <mergeCell ref="B6:C6"/>
    <mergeCell ref="E6:G6"/>
    <mergeCell ref="L6:M6"/>
    <mergeCell ref="O6:Q6"/>
    <mergeCell ref="S2:S3"/>
    <mergeCell ref="T2:T3"/>
    <mergeCell ref="U2:U3"/>
    <mergeCell ref="B3:C3"/>
    <mergeCell ref="L3:M3"/>
    <mergeCell ref="B4:C4"/>
    <mergeCell ref="E4:G4"/>
    <mergeCell ref="K4:K19"/>
    <mergeCell ref="L4:M4"/>
    <mergeCell ref="O4:Q4"/>
    <mergeCell ref="B1:T1"/>
    <mergeCell ref="A2:A3"/>
    <mergeCell ref="B2:D2"/>
    <mergeCell ref="E2:G2"/>
    <mergeCell ref="H2:H3"/>
    <mergeCell ref="I2:I3"/>
    <mergeCell ref="J2:J3"/>
    <mergeCell ref="L2:N2"/>
    <mergeCell ref="O2:Q2"/>
    <mergeCell ref="R2:R3"/>
  </mergeCells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CD1B-2F3A-44CA-8591-ABC69813A79B}">
  <sheetPr>
    <tabColor theme="7" tint="-0.249977111117893"/>
  </sheetPr>
  <dimension ref="B1:V361"/>
  <sheetViews>
    <sheetView topLeftCell="J1" zoomScale="85" zoomScaleNormal="85" workbookViewId="0">
      <pane ySplit="3" topLeftCell="A303" activePane="bottomLeft" state="frozen"/>
      <selection activeCell="Z17" sqref="Z17"/>
      <selection pane="bottomLeft" activeCell="Z17" sqref="Z17"/>
    </sheetView>
  </sheetViews>
  <sheetFormatPr defaultRowHeight="17" x14ac:dyDescent="0.45"/>
  <cols>
    <col min="1" max="1" width="8.6640625" style="20"/>
    <col min="2" max="2" width="55.25" style="20" hidden="1" customWidth="1"/>
    <col min="3" max="5" width="6" style="20" customWidth="1"/>
    <col min="6" max="6" width="2" style="20" hidden="1" customWidth="1"/>
    <col min="7" max="7" width="2.5" style="20" hidden="1" customWidth="1"/>
    <col min="8" max="8" width="1.83203125" style="20" hidden="1" customWidth="1"/>
    <col min="9" max="9" width="9" style="20" customWidth="1"/>
    <col min="10" max="10" width="34.58203125" style="20" customWidth="1"/>
    <col min="11" max="11" width="13" style="20" bestFit="1" customWidth="1"/>
    <col min="12" max="12" width="8.6640625" style="20"/>
    <col min="13" max="15" width="6" style="20" customWidth="1"/>
    <col min="16" max="18" width="1.83203125" style="20" hidden="1" customWidth="1"/>
    <col min="19" max="19" width="9" style="20" customWidth="1"/>
    <col min="20" max="20" width="35.83203125" style="20" customWidth="1"/>
    <col min="21" max="21" width="18.08203125" style="20" customWidth="1"/>
    <col min="22" max="22" width="65.75" style="20" hidden="1" customWidth="1"/>
    <col min="23" max="16384" width="8.6640625" style="20"/>
  </cols>
  <sheetData>
    <row r="1" spans="2:22" ht="17.5" thickBot="1" x14ac:dyDescent="0.5">
      <c r="C1" s="21" t="s">
        <v>541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2:22" ht="18" thickTop="1" thickBot="1" x14ac:dyDescent="0.35">
      <c r="B2" s="139" t="s">
        <v>196</v>
      </c>
      <c r="C2" s="33" t="s">
        <v>197</v>
      </c>
      <c r="D2" s="25"/>
      <c r="E2" s="25"/>
      <c r="F2" s="26"/>
      <c r="G2" s="27"/>
      <c r="H2" s="28"/>
      <c r="I2" s="29"/>
      <c r="J2" s="34" t="s">
        <v>198</v>
      </c>
      <c r="K2" s="31" t="s">
        <v>199</v>
      </c>
      <c r="L2" s="234" t="s">
        <v>542</v>
      </c>
      <c r="M2" s="33" t="s">
        <v>201</v>
      </c>
      <c r="N2" s="25"/>
      <c r="O2" s="25"/>
      <c r="P2" s="26"/>
      <c r="Q2" s="27"/>
      <c r="R2" s="28"/>
      <c r="S2" s="29"/>
      <c r="T2" s="30" t="s">
        <v>198</v>
      </c>
      <c r="U2" s="235" t="s">
        <v>199</v>
      </c>
      <c r="V2" s="147" t="s">
        <v>196</v>
      </c>
    </row>
    <row r="3" spans="2:22" ht="18" thickTop="1" thickBot="1" x14ac:dyDescent="0.35">
      <c r="B3" s="236"/>
      <c r="C3" s="46" t="s">
        <v>202</v>
      </c>
      <c r="D3" s="37"/>
      <c r="E3" s="38"/>
      <c r="F3" s="39"/>
      <c r="G3" s="40"/>
      <c r="H3" s="41"/>
      <c r="I3" s="42"/>
      <c r="J3" s="50"/>
      <c r="K3" s="44"/>
      <c r="L3" s="237"/>
      <c r="M3" s="46" t="s">
        <v>202</v>
      </c>
      <c r="N3" s="37"/>
      <c r="O3" s="38"/>
      <c r="P3" s="39"/>
      <c r="Q3" s="40"/>
      <c r="R3" s="41"/>
      <c r="S3" s="42"/>
      <c r="T3" s="43"/>
      <c r="U3" s="238"/>
      <c r="V3" s="239"/>
    </row>
    <row r="4" spans="2:22" ht="16.5" customHeight="1" thickTop="1" x14ac:dyDescent="0.3">
      <c r="B4" s="240"/>
      <c r="C4" s="103">
        <v>0</v>
      </c>
      <c r="D4" s="54"/>
      <c r="E4" s="55" t="str">
        <f>CONCATENATE("0x", DEC2HEX(C4,2))</f>
        <v>0x00</v>
      </c>
      <c r="F4" s="56"/>
      <c r="G4" s="56"/>
      <c r="H4" s="56"/>
      <c r="I4" s="57"/>
      <c r="J4" s="58"/>
      <c r="K4" s="59"/>
      <c r="L4" s="102">
        <v>1</v>
      </c>
      <c r="M4" s="103">
        <v>0</v>
      </c>
      <c r="N4" s="54"/>
      <c r="O4" s="55" t="str">
        <f>CONCATENATE("0x", DEC2HEX(M4,2))</f>
        <v>0x00</v>
      </c>
      <c r="P4" s="56"/>
      <c r="Q4" s="56"/>
      <c r="R4" s="56"/>
      <c r="S4" s="57"/>
      <c r="T4" s="109" t="s">
        <v>543</v>
      </c>
      <c r="U4" s="59"/>
      <c r="V4" s="241" t="s">
        <v>544</v>
      </c>
    </row>
    <row r="5" spans="2:22" ht="16.5" customHeight="1" x14ac:dyDescent="0.3">
      <c r="B5" s="242"/>
      <c r="C5" s="79">
        <v>1</v>
      </c>
      <c r="D5" s="71"/>
      <c r="E5" s="72" t="str">
        <f>CONCATENATE("0x", DEC2HEX(C5,2))</f>
        <v>0x01</v>
      </c>
      <c r="F5" s="73"/>
      <c r="G5" s="74"/>
      <c r="H5" s="75"/>
      <c r="I5" s="76"/>
      <c r="J5" s="77"/>
      <c r="K5" s="78"/>
      <c r="L5" s="60"/>
      <c r="M5" s="79">
        <v>1</v>
      </c>
      <c r="N5" s="71"/>
      <c r="O5" s="72" t="str">
        <f>CONCATENATE("0x", DEC2HEX(M5,2))</f>
        <v>0x01</v>
      </c>
      <c r="P5" s="73"/>
      <c r="Q5" s="74"/>
      <c r="R5" s="75"/>
      <c r="S5" s="76"/>
      <c r="T5" s="109" t="s">
        <v>543</v>
      </c>
      <c r="U5" s="78"/>
      <c r="V5" s="243" t="s">
        <v>544</v>
      </c>
    </row>
    <row r="6" spans="2:22" ht="16.5" customHeight="1" x14ac:dyDescent="0.3">
      <c r="B6" s="242"/>
      <c r="C6" s="79">
        <v>2</v>
      </c>
      <c r="D6" s="71"/>
      <c r="E6" s="72" t="str">
        <f t="shared" ref="E6:E69" si="0">CONCATENATE("0x", DEC2HEX(C6,2))</f>
        <v>0x02</v>
      </c>
      <c r="F6" s="73"/>
      <c r="G6" s="74"/>
      <c r="H6" s="75"/>
      <c r="I6" s="76"/>
      <c r="J6" s="77"/>
      <c r="K6" s="78"/>
      <c r="L6" s="60"/>
      <c r="M6" s="79">
        <v>2</v>
      </c>
      <c r="N6" s="71"/>
      <c r="O6" s="72" t="str">
        <f t="shared" ref="O6:O69" si="1">CONCATENATE("0x", DEC2HEX(M6,2))</f>
        <v>0x02</v>
      </c>
      <c r="P6" s="73"/>
      <c r="Q6" s="74"/>
      <c r="R6" s="75"/>
      <c r="S6" s="76"/>
      <c r="T6" s="109" t="s">
        <v>543</v>
      </c>
      <c r="U6" s="78"/>
      <c r="V6" s="243" t="s">
        <v>544</v>
      </c>
    </row>
    <row r="7" spans="2:22" ht="16.5" customHeight="1" x14ac:dyDescent="0.3">
      <c r="B7" s="242"/>
      <c r="C7" s="79">
        <v>3</v>
      </c>
      <c r="D7" s="71"/>
      <c r="E7" s="72" t="str">
        <f t="shared" si="0"/>
        <v>0x03</v>
      </c>
      <c r="F7" s="73"/>
      <c r="G7" s="74"/>
      <c r="H7" s="75"/>
      <c r="I7" s="76"/>
      <c r="J7" s="77"/>
      <c r="K7" s="78"/>
      <c r="L7" s="60"/>
      <c r="M7" s="79">
        <v>3</v>
      </c>
      <c r="N7" s="71"/>
      <c r="O7" s="72" t="str">
        <f t="shared" si="1"/>
        <v>0x03</v>
      </c>
      <c r="P7" s="73"/>
      <c r="Q7" s="74"/>
      <c r="R7" s="75"/>
      <c r="S7" s="76"/>
      <c r="T7" s="109" t="s">
        <v>543</v>
      </c>
      <c r="U7" s="78"/>
      <c r="V7" s="243" t="s">
        <v>544</v>
      </c>
    </row>
    <row r="8" spans="2:22" ht="16.5" customHeight="1" x14ac:dyDescent="0.3">
      <c r="B8" s="242"/>
      <c r="C8" s="79">
        <v>4</v>
      </c>
      <c r="D8" s="71"/>
      <c r="E8" s="72" t="str">
        <f t="shared" si="0"/>
        <v>0x04</v>
      </c>
      <c r="F8" s="73"/>
      <c r="G8" s="74"/>
      <c r="H8" s="75"/>
      <c r="I8" s="76"/>
      <c r="J8" s="77"/>
      <c r="K8" s="78"/>
      <c r="L8" s="60"/>
      <c r="M8" s="79">
        <v>4</v>
      </c>
      <c r="N8" s="71"/>
      <c r="O8" s="72" t="str">
        <f t="shared" si="1"/>
        <v>0x04</v>
      </c>
      <c r="P8" s="73"/>
      <c r="Q8" s="74"/>
      <c r="R8" s="75"/>
      <c r="S8" s="76"/>
      <c r="T8" s="109" t="s">
        <v>543</v>
      </c>
      <c r="U8" s="78"/>
      <c r="V8" s="243" t="s">
        <v>544</v>
      </c>
    </row>
    <row r="9" spans="2:22" ht="16.5" customHeight="1" x14ac:dyDescent="0.3">
      <c r="B9" s="242"/>
      <c r="C9" s="79">
        <v>5</v>
      </c>
      <c r="D9" s="71"/>
      <c r="E9" s="72" t="str">
        <f t="shared" si="0"/>
        <v>0x05</v>
      </c>
      <c r="F9" s="73"/>
      <c r="G9" s="74"/>
      <c r="H9" s="75"/>
      <c r="I9" s="76"/>
      <c r="J9" s="77"/>
      <c r="K9" s="78"/>
      <c r="L9" s="60"/>
      <c r="M9" s="79">
        <v>5</v>
      </c>
      <c r="N9" s="71"/>
      <c r="O9" s="72" t="str">
        <f t="shared" si="1"/>
        <v>0x05</v>
      </c>
      <c r="P9" s="73"/>
      <c r="Q9" s="74"/>
      <c r="R9" s="75"/>
      <c r="S9" s="76"/>
      <c r="T9" s="109" t="s">
        <v>543</v>
      </c>
      <c r="U9" s="78"/>
      <c r="V9" s="243" t="s">
        <v>544</v>
      </c>
    </row>
    <row r="10" spans="2:22" ht="16.5" customHeight="1" x14ac:dyDescent="0.3">
      <c r="B10" s="242"/>
      <c r="C10" s="79">
        <v>6</v>
      </c>
      <c r="D10" s="71"/>
      <c r="E10" s="72" t="str">
        <f t="shared" si="0"/>
        <v>0x06</v>
      </c>
      <c r="F10" s="73"/>
      <c r="G10" s="74"/>
      <c r="H10" s="75"/>
      <c r="I10" s="76"/>
      <c r="J10" s="77"/>
      <c r="K10" s="78"/>
      <c r="L10" s="60"/>
      <c r="M10" s="79">
        <v>6</v>
      </c>
      <c r="N10" s="71"/>
      <c r="O10" s="72" t="str">
        <f t="shared" si="1"/>
        <v>0x06</v>
      </c>
      <c r="P10" s="73"/>
      <c r="Q10" s="74"/>
      <c r="R10" s="75"/>
      <c r="S10" s="76"/>
      <c r="T10" s="109" t="s">
        <v>543</v>
      </c>
      <c r="U10" s="78"/>
      <c r="V10" s="243" t="s">
        <v>544</v>
      </c>
    </row>
    <row r="11" spans="2:22" ht="16.5" customHeight="1" x14ac:dyDescent="0.3">
      <c r="B11" s="242"/>
      <c r="C11" s="79">
        <v>7</v>
      </c>
      <c r="D11" s="71"/>
      <c r="E11" s="72" t="str">
        <f t="shared" si="0"/>
        <v>0x07</v>
      </c>
      <c r="F11" s="73"/>
      <c r="G11" s="74"/>
      <c r="H11" s="75"/>
      <c r="I11" s="76"/>
      <c r="J11" s="77"/>
      <c r="K11" s="78"/>
      <c r="L11" s="60"/>
      <c r="M11" s="79">
        <v>7</v>
      </c>
      <c r="N11" s="71"/>
      <c r="O11" s="72" t="str">
        <f t="shared" si="1"/>
        <v>0x07</v>
      </c>
      <c r="P11" s="73"/>
      <c r="Q11" s="74"/>
      <c r="R11" s="75"/>
      <c r="S11" s="76"/>
      <c r="T11" s="109"/>
      <c r="U11" s="78"/>
      <c r="V11" s="244"/>
    </row>
    <row r="12" spans="2:22" ht="16.5" customHeight="1" x14ac:dyDescent="0.3">
      <c r="B12" s="242"/>
      <c r="C12" s="79">
        <v>8</v>
      </c>
      <c r="D12" s="71"/>
      <c r="E12" s="72" t="str">
        <f t="shared" si="0"/>
        <v>0x08</v>
      </c>
      <c r="F12" s="73"/>
      <c r="G12" s="74"/>
      <c r="H12" s="75"/>
      <c r="I12" s="76"/>
      <c r="J12" s="77"/>
      <c r="K12" s="78"/>
      <c r="L12" s="60"/>
      <c r="M12" s="79">
        <v>8</v>
      </c>
      <c r="N12" s="71"/>
      <c r="O12" s="72" t="str">
        <f t="shared" si="1"/>
        <v>0x08</v>
      </c>
      <c r="P12" s="73"/>
      <c r="Q12" s="74"/>
      <c r="R12" s="75"/>
      <c r="S12" s="76"/>
      <c r="T12" s="109" t="s">
        <v>545</v>
      </c>
      <c r="U12" s="78"/>
      <c r="V12" s="245" t="s">
        <v>546</v>
      </c>
    </row>
    <row r="13" spans="2:22" ht="16.5" customHeight="1" x14ac:dyDescent="0.3">
      <c r="B13" s="242"/>
      <c r="C13" s="79">
        <v>9</v>
      </c>
      <c r="D13" s="71"/>
      <c r="E13" s="72" t="str">
        <f t="shared" si="0"/>
        <v>0x09</v>
      </c>
      <c r="F13" s="73"/>
      <c r="G13" s="74"/>
      <c r="H13" s="75"/>
      <c r="I13" s="76"/>
      <c r="J13" s="77"/>
      <c r="K13" s="78"/>
      <c r="L13" s="60"/>
      <c r="M13" s="79">
        <v>9</v>
      </c>
      <c r="N13" s="71"/>
      <c r="O13" s="72" t="str">
        <f t="shared" si="1"/>
        <v>0x09</v>
      </c>
      <c r="P13" s="73"/>
      <c r="Q13" s="74"/>
      <c r="R13" s="75"/>
      <c r="S13" s="76"/>
      <c r="T13" s="109" t="s">
        <v>545</v>
      </c>
      <c r="U13" s="78"/>
      <c r="V13" s="246"/>
    </row>
    <row r="14" spans="2:22" ht="16.5" customHeight="1" x14ac:dyDescent="0.3">
      <c r="B14" s="242"/>
      <c r="C14" s="79">
        <v>10</v>
      </c>
      <c r="D14" s="71"/>
      <c r="E14" s="72" t="str">
        <f t="shared" si="0"/>
        <v>0x0A</v>
      </c>
      <c r="F14" s="73"/>
      <c r="G14" s="74"/>
      <c r="H14" s="75"/>
      <c r="I14" s="76"/>
      <c r="J14" s="77"/>
      <c r="K14" s="78"/>
      <c r="L14" s="60"/>
      <c r="M14" s="79">
        <v>10</v>
      </c>
      <c r="N14" s="71"/>
      <c r="O14" s="72" t="str">
        <f t="shared" si="1"/>
        <v>0x0A</v>
      </c>
      <c r="P14" s="73"/>
      <c r="Q14" s="74"/>
      <c r="R14" s="75"/>
      <c r="S14" s="76"/>
      <c r="T14" s="109" t="s">
        <v>545</v>
      </c>
      <c r="U14" s="78"/>
      <c r="V14" s="246"/>
    </row>
    <row r="15" spans="2:22" ht="16.5" customHeight="1" x14ac:dyDescent="0.3">
      <c r="B15" s="242"/>
      <c r="C15" s="79">
        <v>11</v>
      </c>
      <c r="D15" s="71"/>
      <c r="E15" s="72" t="str">
        <f t="shared" si="0"/>
        <v>0x0B</v>
      </c>
      <c r="F15" s="73"/>
      <c r="G15" s="74"/>
      <c r="H15" s="75"/>
      <c r="I15" s="76"/>
      <c r="J15" s="77"/>
      <c r="K15" s="78"/>
      <c r="L15" s="60"/>
      <c r="M15" s="79">
        <v>11</v>
      </c>
      <c r="N15" s="71"/>
      <c r="O15" s="72" t="str">
        <f t="shared" si="1"/>
        <v>0x0B</v>
      </c>
      <c r="P15" s="73"/>
      <c r="Q15" s="74"/>
      <c r="R15" s="75"/>
      <c r="S15" s="76"/>
      <c r="T15" s="109" t="s">
        <v>545</v>
      </c>
      <c r="U15" s="78"/>
      <c r="V15" s="246"/>
    </row>
    <row r="16" spans="2:22" ht="16.5" customHeight="1" x14ac:dyDescent="0.3">
      <c r="B16" s="242"/>
      <c r="C16" s="79">
        <v>12</v>
      </c>
      <c r="D16" s="71"/>
      <c r="E16" s="72" t="str">
        <f t="shared" si="0"/>
        <v>0x0C</v>
      </c>
      <c r="F16" s="73"/>
      <c r="G16" s="74"/>
      <c r="H16" s="75"/>
      <c r="I16" s="76"/>
      <c r="J16" s="77"/>
      <c r="K16" s="78"/>
      <c r="L16" s="60"/>
      <c r="M16" s="79">
        <v>12</v>
      </c>
      <c r="N16" s="71"/>
      <c r="O16" s="72" t="str">
        <f t="shared" si="1"/>
        <v>0x0C</v>
      </c>
      <c r="P16" s="73"/>
      <c r="Q16" s="74"/>
      <c r="R16" s="75"/>
      <c r="S16" s="76"/>
      <c r="T16" s="109" t="s">
        <v>545</v>
      </c>
      <c r="U16" s="78"/>
      <c r="V16" s="246"/>
    </row>
    <row r="17" spans="2:22" ht="16.5" customHeight="1" x14ac:dyDescent="0.3">
      <c r="B17" s="242"/>
      <c r="C17" s="79">
        <v>13</v>
      </c>
      <c r="D17" s="71"/>
      <c r="E17" s="72" t="str">
        <f t="shared" si="0"/>
        <v>0x0D</v>
      </c>
      <c r="F17" s="73"/>
      <c r="G17" s="74"/>
      <c r="H17" s="75"/>
      <c r="I17" s="76"/>
      <c r="J17" s="77"/>
      <c r="K17" s="78"/>
      <c r="L17" s="60"/>
      <c r="M17" s="79">
        <v>13</v>
      </c>
      <c r="N17" s="71"/>
      <c r="O17" s="72" t="str">
        <f t="shared" si="1"/>
        <v>0x0D</v>
      </c>
      <c r="P17" s="73"/>
      <c r="Q17" s="74"/>
      <c r="R17" s="75"/>
      <c r="S17" s="76"/>
      <c r="T17" s="109" t="s">
        <v>545</v>
      </c>
      <c r="U17" s="78"/>
      <c r="V17" s="246"/>
    </row>
    <row r="18" spans="2:22" ht="16.5" customHeight="1" x14ac:dyDescent="0.3">
      <c r="B18" s="242"/>
      <c r="C18" s="79">
        <v>14</v>
      </c>
      <c r="D18" s="71"/>
      <c r="E18" s="72" t="str">
        <f t="shared" si="0"/>
        <v>0x0E</v>
      </c>
      <c r="F18" s="73"/>
      <c r="G18" s="74"/>
      <c r="H18" s="75"/>
      <c r="I18" s="76"/>
      <c r="J18" s="77"/>
      <c r="K18" s="78"/>
      <c r="L18" s="60"/>
      <c r="M18" s="79">
        <v>14</v>
      </c>
      <c r="N18" s="71"/>
      <c r="O18" s="72" t="str">
        <f t="shared" si="1"/>
        <v>0x0E</v>
      </c>
      <c r="P18" s="73"/>
      <c r="Q18" s="74"/>
      <c r="R18" s="75"/>
      <c r="S18" s="76"/>
      <c r="T18" s="247" t="s">
        <v>545</v>
      </c>
      <c r="U18" s="78"/>
      <c r="V18" s="248"/>
    </row>
    <row r="19" spans="2:22" ht="16.5" customHeight="1" thickBot="1" x14ac:dyDescent="0.35">
      <c r="B19" s="242"/>
      <c r="C19" s="79">
        <v>15</v>
      </c>
      <c r="D19" s="71"/>
      <c r="E19" s="91" t="str">
        <f t="shared" si="0"/>
        <v>0x0F</v>
      </c>
      <c r="F19" s="92"/>
      <c r="G19" s="93"/>
      <c r="H19" s="94"/>
      <c r="I19" s="95"/>
      <c r="J19" s="121"/>
      <c r="K19" s="97"/>
      <c r="L19" s="98"/>
      <c r="M19" s="79">
        <v>15</v>
      </c>
      <c r="N19" s="71"/>
      <c r="O19" s="91" t="str">
        <f t="shared" si="1"/>
        <v>0x0F</v>
      </c>
      <c r="P19" s="92"/>
      <c r="Q19" s="93"/>
      <c r="R19" s="94"/>
      <c r="S19" s="95"/>
      <c r="T19" s="249"/>
      <c r="U19" s="97"/>
      <c r="V19" s="244"/>
    </row>
    <row r="20" spans="2:22" ht="16.5" customHeight="1" thickTop="1" x14ac:dyDescent="0.3">
      <c r="B20" s="242"/>
      <c r="C20" s="103">
        <v>16</v>
      </c>
      <c r="D20" s="54"/>
      <c r="E20" s="63" t="str">
        <f t="shared" si="0"/>
        <v>0x10</v>
      </c>
      <c r="F20" s="73"/>
      <c r="G20" s="74"/>
      <c r="H20" s="75"/>
      <c r="I20" s="57"/>
      <c r="J20" s="101"/>
      <c r="K20" s="59"/>
      <c r="L20" s="102">
        <v>2</v>
      </c>
      <c r="M20" s="103">
        <v>16</v>
      </c>
      <c r="N20" s="54"/>
      <c r="O20" s="63" t="str">
        <f t="shared" si="1"/>
        <v>0x10</v>
      </c>
      <c r="P20" s="73"/>
      <c r="Q20" s="74"/>
      <c r="R20" s="75"/>
      <c r="S20" s="57"/>
      <c r="T20" s="250"/>
      <c r="U20" s="59"/>
      <c r="V20" s="244"/>
    </row>
    <row r="21" spans="2:22" ht="16.5" customHeight="1" x14ac:dyDescent="0.3">
      <c r="B21" s="242"/>
      <c r="C21" s="79">
        <v>17</v>
      </c>
      <c r="D21" s="71"/>
      <c r="E21" s="72" t="str">
        <f t="shared" si="0"/>
        <v>0x11</v>
      </c>
      <c r="F21" s="73"/>
      <c r="G21" s="74"/>
      <c r="H21" s="75"/>
      <c r="I21" s="76"/>
      <c r="J21" s="90"/>
      <c r="K21" s="78"/>
      <c r="L21" s="60"/>
      <c r="M21" s="79">
        <v>17</v>
      </c>
      <c r="N21" s="71"/>
      <c r="O21" s="72" t="str">
        <f t="shared" si="1"/>
        <v>0x11</v>
      </c>
      <c r="P21" s="73"/>
      <c r="Q21" s="74"/>
      <c r="R21" s="75"/>
      <c r="S21" s="76"/>
      <c r="T21" s="109"/>
      <c r="U21" s="78"/>
      <c r="V21" s="244"/>
    </row>
    <row r="22" spans="2:22" ht="16.5" customHeight="1" x14ac:dyDescent="0.3">
      <c r="B22" s="242"/>
      <c r="C22" s="79">
        <v>18</v>
      </c>
      <c r="D22" s="71"/>
      <c r="E22" s="72" t="str">
        <f t="shared" si="0"/>
        <v>0x12</v>
      </c>
      <c r="F22" s="73"/>
      <c r="G22" s="74"/>
      <c r="H22" s="75"/>
      <c r="I22" s="76"/>
      <c r="J22" s="90"/>
      <c r="K22" s="78"/>
      <c r="L22" s="60"/>
      <c r="M22" s="79">
        <v>18</v>
      </c>
      <c r="N22" s="71"/>
      <c r="O22" s="72" t="str">
        <f t="shared" si="1"/>
        <v>0x12</v>
      </c>
      <c r="P22" s="73"/>
      <c r="Q22" s="74"/>
      <c r="R22" s="75"/>
      <c r="S22" s="76"/>
      <c r="T22" s="109"/>
      <c r="U22" s="78"/>
      <c r="V22" s="244"/>
    </row>
    <row r="23" spans="2:22" ht="16.5" customHeight="1" x14ac:dyDescent="0.3">
      <c r="B23" s="242"/>
      <c r="C23" s="79">
        <v>19</v>
      </c>
      <c r="D23" s="71"/>
      <c r="E23" s="72" t="str">
        <f t="shared" si="0"/>
        <v>0x13</v>
      </c>
      <c r="F23" s="73"/>
      <c r="G23" s="74"/>
      <c r="H23" s="75"/>
      <c r="I23" s="76"/>
      <c r="J23" s="77"/>
      <c r="K23" s="78"/>
      <c r="L23" s="60"/>
      <c r="M23" s="79">
        <v>19</v>
      </c>
      <c r="N23" s="71"/>
      <c r="O23" s="72" t="str">
        <f t="shared" si="1"/>
        <v>0x13</v>
      </c>
      <c r="P23" s="73"/>
      <c r="Q23" s="74"/>
      <c r="R23" s="75"/>
      <c r="S23" s="76"/>
      <c r="T23" s="109"/>
      <c r="U23" s="78"/>
      <c r="V23" s="244"/>
    </row>
    <row r="24" spans="2:22" ht="16.5" customHeight="1" x14ac:dyDescent="0.3">
      <c r="B24" s="242"/>
      <c r="C24" s="79">
        <v>20</v>
      </c>
      <c r="D24" s="71"/>
      <c r="E24" s="72" t="str">
        <f t="shared" si="0"/>
        <v>0x14</v>
      </c>
      <c r="F24" s="73"/>
      <c r="G24" s="74"/>
      <c r="H24" s="75"/>
      <c r="I24" s="76"/>
      <c r="J24" s="77"/>
      <c r="K24" s="78"/>
      <c r="L24" s="60"/>
      <c r="M24" s="79">
        <v>20</v>
      </c>
      <c r="N24" s="71"/>
      <c r="O24" s="72" t="str">
        <f t="shared" si="1"/>
        <v>0x14</v>
      </c>
      <c r="P24" s="73"/>
      <c r="Q24" s="74"/>
      <c r="R24" s="75"/>
      <c r="S24" s="76"/>
      <c r="T24" s="109"/>
      <c r="U24" s="78"/>
      <c r="V24" s="244"/>
    </row>
    <row r="25" spans="2:22" x14ac:dyDescent="0.3">
      <c r="B25" s="242"/>
      <c r="C25" s="79">
        <v>21</v>
      </c>
      <c r="D25" s="71"/>
      <c r="E25" s="72" t="str">
        <f t="shared" si="0"/>
        <v>0x15</v>
      </c>
      <c r="F25" s="73"/>
      <c r="G25" s="74"/>
      <c r="H25" s="75"/>
      <c r="I25" s="76"/>
      <c r="J25" s="77"/>
      <c r="K25" s="78"/>
      <c r="L25" s="60"/>
      <c r="M25" s="79">
        <v>21</v>
      </c>
      <c r="N25" s="71"/>
      <c r="O25" s="72" t="str">
        <f t="shared" si="1"/>
        <v>0x15</v>
      </c>
      <c r="P25" s="73"/>
      <c r="Q25" s="74"/>
      <c r="R25" s="75"/>
      <c r="S25" s="76"/>
      <c r="T25" s="109"/>
      <c r="U25" s="78"/>
      <c r="V25" s="244"/>
    </row>
    <row r="26" spans="2:22" x14ac:dyDescent="0.3">
      <c r="B26" s="242"/>
      <c r="C26" s="79">
        <v>22</v>
      </c>
      <c r="D26" s="71"/>
      <c r="E26" s="72" t="str">
        <f t="shared" si="0"/>
        <v>0x16</v>
      </c>
      <c r="F26" s="73"/>
      <c r="G26" s="74"/>
      <c r="H26" s="75"/>
      <c r="I26" s="76"/>
      <c r="J26" s="77"/>
      <c r="K26" s="78"/>
      <c r="L26" s="60"/>
      <c r="M26" s="79">
        <v>22</v>
      </c>
      <c r="N26" s="71"/>
      <c r="O26" s="72" t="str">
        <f t="shared" si="1"/>
        <v>0x16</v>
      </c>
      <c r="P26" s="73"/>
      <c r="Q26" s="74"/>
      <c r="R26" s="75"/>
      <c r="S26" s="76"/>
      <c r="T26" s="80"/>
      <c r="U26" s="78"/>
      <c r="V26" s="244"/>
    </row>
    <row r="27" spans="2:22" x14ac:dyDescent="0.3">
      <c r="B27" s="242"/>
      <c r="C27" s="79">
        <v>23</v>
      </c>
      <c r="D27" s="71"/>
      <c r="E27" s="72" t="str">
        <f t="shared" si="0"/>
        <v>0x17</v>
      </c>
      <c r="F27" s="73"/>
      <c r="G27" s="74"/>
      <c r="H27" s="75"/>
      <c r="I27" s="76"/>
      <c r="J27" s="77"/>
      <c r="K27" s="78"/>
      <c r="L27" s="60"/>
      <c r="M27" s="79">
        <v>23</v>
      </c>
      <c r="N27" s="71"/>
      <c r="O27" s="72" t="str">
        <f t="shared" si="1"/>
        <v>0x17</v>
      </c>
      <c r="P27" s="73"/>
      <c r="Q27" s="74"/>
      <c r="R27" s="75"/>
      <c r="S27" s="76"/>
      <c r="T27" s="80"/>
      <c r="U27" s="78"/>
      <c r="V27" s="244"/>
    </row>
    <row r="28" spans="2:22" x14ac:dyDescent="0.3">
      <c r="B28" s="242"/>
      <c r="C28" s="79">
        <v>24</v>
      </c>
      <c r="D28" s="71"/>
      <c r="E28" s="72" t="str">
        <f t="shared" si="0"/>
        <v>0x18</v>
      </c>
      <c r="F28" s="73"/>
      <c r="G28" s="74"/>
      <c r="H28" s="75"/>
      <c r="I28" s="76"/>
      <c r="J28" s="108"/>
      <c r="K28" s="78"/>
      <c r="L28" s="60"/>
      <c r="M28" s="79">
        <v>24</v>
      </c>
      <c r="N28" s="71"/>
      <c r="O28" s="72" t="str">
        <f t="shared" si="1"/>
        <v>0x18</v>
      </c>
      <c r="P28" s="73"/>
      <c r="Q28" s="74"/>
      <c r="R28" s="75"/>
      <c r="S28" s="76"/>
      <c r="T28" s="80"/>
      <c r="U28" s="78"/>
      <c r="V28" s="244"/>
    </row>
    <row r="29" spans="2:22" x14ac:dyDescent="0.3">
      <c r="B29" s="242"/>
      <c r="C29" s="79">
        <v>25</v>
      </c>
      <c r="D29" s="71"/>
      <c r="E29" s="72" t="str">
        <f t="shared" si="0"/>
        <v>0x19</v>
      </c>
      <c r="F29" s="73"/>
      <c r="G29" s="74"/>
      <c r="H29" s="75"/>
      <c r="I29" s="76"/>
      <c r="J29" s="108"/>
      <c r="K29" s="78"/>
      <c r="L29" s="60"/>
      <c r="M29" s="79">
        <v>25</v>
      </c>
      <c r="N29" s="71"/>
      <c r="O29" s="72" t="str">
        <f t="shared" si="1"/>
        <v>0x19</v>
      </c>
      <c r="P29" s="73"/>
      <c r="Q29" s="74"/>
      <c r="R29" s="75"/>
      <c r="S29" s="76"/>
      <c r="T29" s="80"/>
      <c r="U29" s="78"/>
      <c r="V29" s="244"/>
    </row>
    <row r="30" spans="2:22" x14ac:dyDescent="0.3">
      <c r="B30" s="242"/>
      <c r="C30" s="79">
        <v>26</v>
      </c>
      <c r="D30" s="71"/>
      <c r="E30" s="72" t="str">
        <f t="shared" si="0"/>
        <v>0x1A</v>
      </c>
      <c r="F30" s="73"/>
      <c r="G30" s="74"/>
      <c r="H30" s="75"/>
      <c r="I30" s="76"/>
      <c r="J30" s="108"/>
      <c r="K30" s="78"/>
      <c r="L30" s="60"/>
      <c r="M30" s="79">
        <v>26</v>
      </c>
      <c r="N30" s="71"/>
      <c r="O30" s="72" t="str">
        <f t="shared" si="1"/>
        <v>0x1A</v>
      </c>
      <c r="P30" s="73"/>
      <c r="Q30" s="74"/>
      <c r="R30" s="75"/>
      <c r="S30" s="76"/>
      <c r="T30" s="80"/>
      <c r="U30" s="78"/>
      <c r="V30" s="244"/>
    </row>
    <row r="31" spans="2:22" x14ac:dyDescent="0.3">
      <c r="B31" s="242"/>
      <c r="C31" s="79">
        <v>27</v>
      </c>
      <c r="D31" s="71"/>
      <c r="E31" s="72" t="str">
        <f t="shared" si="0"/>
        <v>0x1B</v>
      </c>
      <c r="F31" s="73"/>
      <c r="G31" s="74"/>
      <c r="H31" s="75"/>
      <c r="I31" s="76"/>
      <c r="J31" s="108"/>
      <c r="K31" s="78"/>
      <c r="L31" s="60"/>
      <c r="M31" s="79">
        <v>27</v>
      </c>
      <c r="N31" s="71"/>
      <c r="O31" s="72" t="str">
        <f t="shared" si="1"/>
        <v>0x1B</v>
      </c>
      <c r="P31" s="73"/>
      <c r="Q31" s="74"/>
      <c r="R31" s="75"/>
      <c r="S31" s="76"/>
      <c r="T31" s="251"/>
      <c r="U31" s="78"/>
      <c r="V31" s="244"/>
    </row>
    <row r="32" spans="2:22" x14ac:dyDescent="0.3">
      <c r="B32" s="242"/>
      <c r="C32" s="79">
        <v>28</v>
      </c>
      <c r="D32" s="71"/>
      <c r="E32" s="72" t="str">
        <f t="shared" si="0"/>
        <v>0x1C</v>
      </c>
      <c r="F32" s="73"/>
      <c r="G32" s="74"/>
      <c r="H32" s="75"/>
      <c r="I32" s="76"/>
      <c r="J32" s="108"/>
      <c r="K32" s="78"/>
      <c r="L32" s="60"/>
      <c r="M32" s="79">
        <v>28</v>
      </c>
      <c r="N32" s="71"/>
      <c r="O32" s="72" t="str">
        <f t="shared" si="1"/>
        <v>0x1C</v>
      </c>
      <c r="P32" s="73"/>
      <c r="Q32" s="74"/>
      <c r="R32" s="75"/>
      <c r="S32" s="76"/>
      <c r="T32" s="251"/>
      <c r="U32" s="78"/>
      <c r="V32" s="244"/>
    </row>
    <row r="33" spans="2:22" x14ac:dyDescent="0.3">
      <c r="B33" s="242"/>
      <c r="C33" s="79">
        <v>29</v>
      </c>
      <c r="D33" s="71"/>
      <c r="E33" s="72" t="str">
        <f t="shared" si="0"/>
        <v>0x1D</v>
      </c>
      <c r="F33" s="73"/>
      <c r="G33" s="74"/>
      <c r="H33" s="75"/>
      <c r="I33" s="76"/>
      <c r="J33" s="108"/>
      <c r="K33" s="78"/>
      <c r="L33" s="60"/>
      <c r="M33" s="79">
        <v>29</v>
      </c>
      <c r="N33" s="71"/>
      <c r="O33" s="72" t="str">
        <f t="shared" si="1"/>
        <v>0x1D</v>
      </c>
      <c r="P33" s="73"/>
      <c r="Q33" s="74"/>
      <c r="R33" s="75"/>
      <c r="S33" s="76"/>
      <c r="T33" s="80"/>
      <c r="U33" s="78"/>
      <c r="V33" s="244"/>
    </row>
    <row r="34" spans="2:22" x14ac:dyDescent="0.3">
      <c r="B34" s="242"/>
      <c r="C34" s="79">
        <v>30</v>
      </c>
      <c r="D34" s="71"/>
      <c r="E34" s="72" t="str">
        <f t="shared" si="0"/>
        <v>0x1E</v>
      </c>
      <c r="F34" s="73"/>
      <c r="G34" s="74"/>
      <c r="H34" s="75"/>
      <c r="I34" s="76"/>
      <c r="J34" s="108"/>
      <c r="K34" s="78"/>
      <c r="L34" s="60"/>
      <c r="M34" s="79">
        <v>30</v>
      </c>
      <c r="N34" s="71"/>
      <c r="O34" s="72" t="str">
        <f t="shared" si="1"/>
        <v>0x1E</v>
      </c>
      <c r="P34" s="73"/>
      <c r="Q34" s="74"/>
      <c r="R34" s="75"/>
      <c r="S34" s="76"/>
      <c r="T34" s="80"/>
      <c r="U34" s="78"/>
      <c r="V34" s="244"/>
    </row>
    <row r="35" spans="2:22" ht="17.5" thickBot="1" x14ac:dyDescent="0.35">
      <c r="B35" s="242"/>
      <c r="C35" s="79">
        <v>31</v>
      </c>
      <c r="D35" s="71"/>
      <c r="E35" s="91" t="str">
        <f t="shared" si="0"/>
        <v>0x1F</v>
      </c>
      <c r="F35" s="92"/>
      <c r="G35" s="93"/>
      <c r="H35" s="94"/>
      <c r="I35" s="95"/>
      <c r="J35" s="111"/>
      <c r="K35" s="97"/>
      <c r="L35" s="98"/>
      <c r="M35" s="79">
        <v>31</v>
      </c>
      <c r="N35" s="71"/>
      <c r="O35" s="91" t="str">
        <f t="shared" si="1"/>
        <v>0x1F</v>
      </c>
      <c r="P35" s="92"/>
      <c r="Q35" s="93"/>
      <c r="R35" s="94"/>
      <c r="S35" s="95"/>
      <c r="T35" s="122"/>
      <c r="U35" s="97"/>
      <c r="V35" s="244"/>
    </row>
    <row r="36" spans="2:22" ht="17.5" thickTop="1" x14ac:dyDescent="0.3">
      <c r="B36" s="242"/>
      <c r="C36" s="103">
        <v>32</v>
      </c>
      <c r="D36" s="54"/>
      <c r="E36" s="72" t="str">
        <f t="shared" si="0"/>
        <v>0x20</v>
      </c>
      <c r="F36" s="73"/>
      <c r="G36" s="74"/>
      <c r="H36" s="75"/>
      <c r="I36" s="57"/>
      <c r="J36" s="101"/>
      <c r="K36" s="59"/>
      <c r="L36" s="102">
        <v>3</v>
      </c>
      <c r="M36" s="103">
        <v>32</v>
      </c>
      <c r="N36" s="54"/>
      <c r="O36" s="72" t="str">
        <f t="shared" si="1"/>
        <v>0x20</v>
      </c>
      <c r="P36" s="73"/>
      <c r="Q36" s="74"/>
      <c r="R36" s="75"/>
      <c r="S36" s="57"/>
      <c r="T36" s="101"/>
      <c r="U36" s="59"/>
      <c r="V36" s="244"/>
    </row>
    <row r="37" spans="2:22" x14ac:dyDescent="0.3">
      <c r="B37" s="242"/>
      <c r="C37" s="79">
        <v>33</v>
      </c>
      <c r="D37" s="71"/>
      <c r="E37" s="72" t="str">
        <f t="shared" si="0"/>
        <v>0x21</v>
      </c>
      <c r="F37" s="73"/>
      <c r="G37" s="74"/>
      <c r="H37" s="75"/>
      <c r="I37" s="76"/>
      <c r="J37" s="90"/>
      <c r="K37" s="78"/>
      <c r="L37" s="60"/>
      <c r="M37" s="79">
        <v>33</v>
      </c>
      <c r="N37" s="71"/>
      <c r="O37" s="72" t="str">
        <f t="shared" si="1"/>
        <v>0x21</v>
      </c>
      <c r="P37" s="73"/>
      <c r="Q37" s="74"/>
      <c r="R37" s="75"/>
      <c r="S37" s="76"/>
      <c r="T37" s="90"/>
      <c r="U37" s="78"/>
      <c r="V37" s="244"/>
    </row>
    <row r="38" spans="2:22" x14ac:dyDescent="0.3">
      <c r="B38" s="242"/>
      <c r="C38" s="79">
        <v>34</v>
      </c>
      <c r="D38" s="71"/>
      <c r="E38" s="72" t="str">
        <f t="shared" si="0"/>
        <v>0x22</v>
      </c>
      <c r="F38" s="73"/>
      <c r="G38" s="74"/>
      <c r="H38" s="75"/>
      <c r="I38" s="76"/>
      <c r="J38" s="90"/>
      <c r="K38" s="78"/>
      <c r="L38" s="60"/>
      <c r="M38" s="79">
        <v>34</v>
      </c>
      <c r="N38" s="71"/>
      <c r="O38" s="72" t="str">
        <f t="shared" si="1"/>
        <v>0x22</v>
      </c>
      <c r="P38" s="73"/>
      <c r="Q38" s="74"/>
      <c r="R38" s="75"/>
      <c r="S38" s="76"/>
      <c r="T38" s="90"/>
      <c r="U38" s="78"/>
      <c r="V38" s="244"/>
    </row>
    <row r="39" spans="2:22" x14ac:dyDescent="0.3">
      <c r="B39" s="242"/>
      <c r="C39" s="79">
        <v>35</v>
      </c>
      <c r="D39" s="71"/>
      <c r="E39" s="72" t="str">
        <f t="shared" si="0"/>
        <v>0x23</v>
      </c>
      <c r="F39" s="73"/>
      <c r="G39" s="74"/>
      <c r="H39" s="75"/>
      <c r="I39" s="76"/>
      <c r="J39" s="90"/>
      <c r="K39" s="78"/>
      <c r="L39" s="60"/>
      <c r="M39" s="79">
        <v>35</v>
      </c>
      <c r="N39" s="71"/>
      <c r="O39" s="72" t="str">
        <f t="shared" si="1"/>
        <v>0x23</v>
      </c>
      <c r="P39" s="73"/>
      <c r="Q39" s="74"/>
      <c r="R39" s="75"/>
      <c r="S39" s="76"/>
      <c r="T39" s="90"/>
      <c r="U39" s="78"/>
      <c r="V39" s="244"/>
    </row>
    <row r="40" spans="2:22" x14ac:dyDescent="0.3">
      <c r="B40" s="242"/>
      <c r="C40" s="79">
        <v>36</v>
      </c>
      <c r="D40" s="71"/>
      <c r="E40" s="72" t="str">
        <f t="shared" si="0"/>
        <v>0x24</v>
      </c>
      <c r="F40" s="73"/>
      <c r="G40" s="74"/>
      <c r="H40" s="75"/>
      <c r="I40" s="76"/>
      <c r="J40" s="90"/>
      <c r="K40" s="78"/>
      <c r="L40" s="60"/>
      <c r="M40" s="79">
        <v>36</v>
      </c>
      <c r="N40" s="71"/>
      <c r="O40" s="72" t="str">
        <f t="shared" si="1"/>
        <v>0x24</v>
      </c>
      <c r="P40" s="73"/>
      <c r="Q40" s="74"/>
      <c r="R40" s="75"/>
      <c r="S40" s="76"/>
      <c r="T40" s="90"/>
      <c r="U40" s="78"/>
      <c r="V40" s="244"/>
    </row>
    <row r="41" spans="2:22" x14ac:dyDescent="0.3">
      <c r="B41" s="242"/>
      <c r="C41" s="79">
        <v>37</v>
      </c>
      <c r="D41" s="71"/>
      <c r="E41" s="72" t="str">
        <f t="shared" si="0"/>
        <v>0x25</v>
      </c>
      <c r="F41" s="73"/>
      <c r="G41" s="74"/>
      <c r="H41" s="75"/>
      <c r="I41" s="76"/>
      <c r="J41" s="90"/>
      <c r="K41" s="78"/>
      <c r="L41" s="60"/>
      <c r="M41" s="79">
        <v>37</v>
      </c>
      <c r="N41" s="71"/>
      <c r="O41" s="72" t="str">
        <f t="shared" si="1"/>
        <v>0x25</v>
      </c>
      <c r="P41" s="73"/>
      <c r="Q41" s="74"/>
      <c r="R41" s="75"/>
      <c r="S41" s="76"/>
      <c r="T41" s="90"/>
      <c r="U41" s="78"/>
      <c r="V41" s="244"/>
    </row>
    <row r="42" spans="2:22" x14ac:dyDescent="0.3">
      <c r="B42" s="242"/>
      <c r="C42" s="79">
        <v>38</v>
      </c>
      <c r="D42" s="71"/>
      <c r="E42" s="72" t="str">
        <f t="shared" si="0"/>
        <v>0x26</v>
      </c>
      <c r="F42" s="73"/>
      <c r="G42" s="74"/>
      <c r="H42" s="75"/>
      <c r="I42" s="76"/>
      <c r="J42" s="90"/>
      <c r="K42" s="78"/>
      <c r="L42" s="60"/>
      <c r="M42" s="79">
        <v>38</v>
      </c>
      <c r="N42" s="71"/>
      <c r="O42" s="72" t="str">
        <f t="shared" si="1"/>
        <v>0x26</v>
      </c>
      <c r="P42" s="73"/>
      <c r="Q42" s="74"/>
      <c r="R42" s="75"/>
      <c r="S42" s="76"/>
      <c r="T42" s="90"/>
      <c r="U42" s="78"/>
      <c r="V42" s="244"/>
    </row>
    <row r="43" spans="2:22" x14ac:dyDescent="0.3">
      <c r="B43" s="242"/>
      <c r="C43" s="79">
        <v>39</v>
      </c>
      <c r="D43" s="71"/>
      <c r="E43" s="72" t="str">
        <f t="shared" si="0"/>
        <v>0x27</v>
      </c>
      <c r="F43" s="73"/>
      <c r="G43" s="74"/>
      <c r="H43" s="75"/>
      <c r="I43" s="76"/>
      <c r="J43" s="90"/>
      <c r="K43" s="78"/>
      <c r="L43" s="60"/>
      <c r="M43" s="79">
        <v>39</v>
      </c>
      <c r="N43" s="71"/>
      <c r="O43" s="72" t="str">
        <f t="shared" si="1"/>
        <v>0x27</v>
      </c>
      <c r="P43" s="73"/>
      <c r="Q43" s="74"/>
      <c r="R43" s="75"/>
      <c r="S43" s="76"/>
      <c r="T43" s="90"/>
      <c r="U43" s="78"/>
      <c r="V43" s="244"/>
    </row>
    <row r="44" spans="2:22" x14ac:dyDescent="0.3">
      <c r="B44" s="242"/>
      <c r="C44" s="79">
        <v>40</v>
      </c>
      <c r="D44" s="71"/>
      <c r="E44" s="72" t="str">
        <f t="shared" si="0"/>
        <v>0x28</v>
      </c>
      <c r="F44" s="73"/>
      <c r="G44" s="74"/>
      <c r="H44" s="75"/>
      <c r="I44" s="76"/>
      <c r="J44" s="90"/>
      <c r="K44" s="78"/>
      <c r="L44" s="60"/>
      <c r="M44" s="79">
        <v>40</v>
      </c>
      <c r="N44" s="71"/>
      <c r="O44" s="72" t="str">
        <f t="shared" si="1"/>
        <v>0x28</v>
      </c>
      <c r="P44" s="73"/>
      <c r="Q44" s="74"/>
      <c r="R44" s="75"/>
      <c r="S44" s="76"/>
      <c r="T44" s="90"/>
      <c r="U44" s="78"/>
      <c r="V44" s="244"/>
    </row>
    <row r="45" spans="2:22" x14ac:dyDescent="0.3">
      <c r="B45" s="242"/>
      <c r="C45" s="79">
        <v>41</v>
      </c>
      <c r="D45" s="71"/>
      <c r="E45" s="72" t="str">
        <f t="shared" si="0"/>
        <v>0x29</v>
      </c>
      <c r="F45" s="73"/>
      <c r="G45" s="74"/>
      <c r="H45" s="75"/>
      <c r="I45" s="76"/>
      <c r="J45" s="90"/>
      <c r="K45" s="78"/>
      <c r="L45" s="60"/>
      <c r="M45" s="79">
        <v>41</v>
      </c>
      <c r="N45" s="71"/>
      <c r="O45" s="72" t="str">
        <f t="shared" si="1"/>
        <v>0x29</v>
      </c>
      <c r="P45" s="73"/>
      <c r="Q45" s="74"/>
      <c r="R45" s="75"/>
      <c r="S45" s="76"/>
      <c r="T45" s="90"/>
      <c r="U45" s="78"/>
      <c r="V45" s="244"/>
    </row>
    <row r="46" spans="2:22" x14ac:dyDescent="0.3">
      <c r="B46" s="242"/>
      <c r="C46" s="79">
        <v>42</v>
      </c>
      <c r="D46" s="71"/>
      <c r="E46" s="72" t="str">
        <f t="shared" si="0"/>
        <v>0x2A</v>
      </c>
      <c r="F46" s="73"/>
      <c r="G46" s="74"/>
      <c r="H46" s="75"/>
      <c r="I46" s="76"/>
      <c r="J46" s="90"/>
      <c r="K46" s="78"/>
      <c r="L46" s="60"/>
      <c r="M46" s="79">
        <v>42</v>
      </c>
      <c r="N46" s="71"/>
      <c r="O46" s="72" t="str">
        <f t="shared" si="1"/>
        <v>0x2A</v>
      </c>
      <c r="P46" s="73"/>
      <c r="Q46" s="74"/>
      <c r="R46" s="75"/>
      <c r="S46" s="76"/>
      <c r="T46" s="90"/>
      <c r="U46" s="78"/>
      <c r="V46" s="244"/>
    </row>
    <row r="47" spans="2:22" x14ac:dyDescent="0.3">
      <c r="B47" s="242"/>
      <c r="C47" s="79">
        <v>43</v>
      </c>
      <c r="D47" s="71"/>
      <c r="E47" s="72" t="str">
        <f t="shared" si="0"/>
        <v>0x2B</v>
      </c>
      <c r="F47" s="73"/>
      <c r="G47" s="74"/>
      <c r="H47" s="75"/>
      <c r="I47" s="76"/>
      <c r="J47" s="90"/>
      <c r="K47" s="78"/>
      <c r="L47" s="60"/>
      <c r="M47" s="79">
        <v>43</v>
      </c>
      <c r="N47" s="71"/>
      <c r="O47" s="72" t="str">
        <f t="shared" si="1"/>
        <v>0x2B</v>
      </c>
      <c r="P47" s="73"/>
      <c r="Q47" s="74"/>
      <c r="R47" s="75"/>
      <c r="S47" s="76"/>
      <c r="T47" s="90"/>
      <c r="U47" s="78"/>
      <c r="V47" s="244"/>
    </row>
    <row r="48" spans="2:22" x14ac:dyDescent="0.3">
      <c r="B48" s="242"/>
      <c r="C48" s="79">
        <v>44</v>
      </c>
      <c r="D48" s="71"/>
      <c r="E48" s="72" t="str">
        <f t="shared" si="0"/>
        <v>0x2C</v>
      </c>
      <c r="F48" s="73"/>
      <c r="G48" s="74"/>
      <c r="H48" s="75"/>
      <c r="I48" s="76"/>
      <c r="J48" s="90"/>
      <c r="K48" s="78"/>
      <c r="L48" s="60"/>
      <c r="M48" s="79">
        <v>44</v>
      </c>
      <c r="N48" s="71"/>
      <c r="O48" s="72" t="str">
        <f t="shared" si="1"/>
        <v>0x2C</v>
      </c>
      <c r="P48" s="73"/>
      <c r="Q48" s="74"/>
      <c r="R48" s="75"/>
      <c r="S48" s="76"/>
      <c r="T48" s="90"/>
      <c r="U48" s="78"/>
      <c r="V48" s="244"/>
    </row>
    <row r="49" spans="2:22" x14ac:dyDescent="0.3">
      <c r="B49" s="242"/>
      <c r="C49" s="79">
        <v>45</v>
      </c>
      <c r="D49" s="71"/>
      <c r="E49" s="72" t="str">
        <f t="shared" si="0"/>
        <v>0x2D</v>
      </c>
      <c r="F49" s="73"/>
      <c r="G49" s="74"/>
      <c r="H49" s="75"/>
      <c r="I49" s="76"/>
      <c r="J49" s="90"/>
      <c r="K49" s="78"/>
      <c r="L49" s="60"/>
      <c r="M49" s="79">
        <v>45</v>
      </c>
      <c r="N49" s="71"/>
      <c r="O49" s="72" t="str">
        <f t="shared" si="1"/>
        <v>0x2D</v>
      </c>
      <c r="P49" s="73"/>
      <c r="Q49" s="74"/>
      <c r="R49" s="75"/>
      <c r="S49" s="76"/>
      <c r="T49" s="90"/>
      <c r="U49" s="78"/>
      <c r="V49" s="244"/>
    </row>
    <row r="50" spans="2:22" ht="16.5" customHeight="1" x14ac:dyDescent="0.3">
      <c r="B50" s="252" t="s">
        <v>547</v>
      </c>
      <c r="C50" s="79">
        <v>46</v>
      </c>
      <c r="D50" s="71"/>
      <c r="E50" s="72" t="str">
        <f t="shared" si="0"/>
        <v>0x2E</v>
      </c>
      <c r="F50" s="73"/>
      <c r="G50" s="74"/>
      <c r="H50" s="75"/>
      <c r="I50" s="76"/>
      <c r="J50" s="90" t="s">
        <v>548</v>
      </c>
      <c r="K50" s="78" t="s">
        <v>549</v>
      </c>
      <c r="L50" s="60"/>
      <c r="M50" s="79">
        <v>46</v>
      </c>
      <c r="N50" s="71"/>
      <c r="O50" s="72" t="str">
        <f t="shared" si="1"/>
        <v>0x2E</v>
      </c>
      <c r="P50" s="73"/>
      <c r="Q50" s="74"/>
      <c r="R50" s="75"/>
      <c r="S50" s="76"/>
      <c r="T50" s="253" t="s">
        <v>550</v>
      </c>
      <c r="U50" s="78"/>
      <c r="V50" s="254" t="s">
        <v>551</v>
      </c>
    </row>
    <row r="51" spans="2:22" ht="16.5" customHeight="1" thickBot="1" x14ac:dyDescent="0.35">
      <c r="B51" s="242"/>
      <c r="C51" s="79">
        <v>47</v>
      </c>
      <c r="D51" s="71"/>
      <c r="E51" s="91" t="str">
        <f t="shared" si="0"/>
        <v>0x2F</v>
      </c>
      <c r="F51" s="92"/>
      <c r="G51" s="93"/>
      <c r="H51" s="94"/>
      <c r="I51" s="95"/>
      <c r="J51" s="96"/>
      <c r="K51" s="97"/>
      <c r="L51" s="98"/>
      <c r="M51" s="79">
        <v>47</v>
      </c>
      <c r="N51" s="71"/>
      <c r="O51" s="91" t="str">
        <f t="shared" si="1"/>
        <v>0x2F</v>
      </c>
      <c r="P51" s="92"/>
      <c r="Q51" s="93"/>
      <c r="R51" s="94"/>
      <c r="S51" s="95"/>
      <c r="T51" s="96"/>
      <c r="U51" s="97"/>
      <c r="V51" s="244"/>
    </row>
    <row r="52" spans="2:22" ht="16.5" customHeight="1" thickTop="1" x14ac:dyDescent="0.3">
      <c r="B52" s="255" t="s">
        <v>552</v>
      </c>
      <c r="C52" s="103">
        <v>48</v>
      </c>
      <c r="D52" s="54"/>
      <c r="E52" s="72" t="str">
        <f t="shared" si="0"/>
        <v>0x30</v>
      </c>
      <c r="F52" s="73"/>
      <c r="G52" s="74"/>
      <c r="H52" s="75"/>
      <c r="I52" s="57"/>
      <c r="J52" s="101" t="s">
        <v>553</v>
      </c>
      <c r="K52" s="59"/>
      <c r="L52" s="102">
        <v>4</v>
      </c>
      <c r="M52" s="103">
        <v>48</v>
      </c>
      <c r="N52" s="54"/>
      <c r="O52" s="72" t="str">
        <f t="shared" si="1"/>
        <v>0x30</v>
      </c>
      <c r="P52" s="73"/>
      <c r="Q52" s="74"/>
      <c r="R52" s="75"/>
      <c r="S52" s="57"/>
      <c r="T52" s="256" t="s">
        <v>554</v>
      </c>
      <c r="U52" s="59"/>
      <c r="V52" s="257" t="s">
        <v>555</v>
      </c>
    </row>
    <row r="53" spans="2:22" ht="16.5" customHeight="1" x14ac:dyDescent="0.3">
      <c r="B53" s="242"/>
      <c r="C53" s="79">
        <v>49</v>
      </c>
      <c r="D53" s="71"/>
      <c r="E53" s="72" t="str">
        <f t="shared" si="0"/>
        <v>0x31</v>
      </c>
      <c r="F53" s="73"/>
      <c r="G53" s="74"/>
      <c r="H53" s="75"/>
      <c r="I53" s="76"/>
      <c r="J53" s="90"/>
      <c r="K53" s="78"/>
      <c r="L53" s="60"/>
      <c r="M53" s="79">
        <v>49</v>
      </c>
      <c r="N53" s="71"/>
      <c r="O53" s="72" t="str">
        <f t="shared" si="1"/>
        <v>0x31</v>
      </c>
      <c r="P53" s="73"/>
      <c r="Q53" s="74"/>
      <c r="R53" s="75"/>
      <c r="S53" s="76"/>
      <c r="T53" s="251"/>
      <c r="U53" s="78"/>
      <c r="V53" s="244"/>
    </row>
    <row r="54" spans="2:22" ht="16.5" customHeight="1" x14ac:dyDescent="0.3">
      <c r="B54" s="242"/>
      <c r="C54" s="79">
        <v>50</v>
      </c>
      <c r="D54" s="71"/>
      <c r="E54" s="72" t="str">
        <f t="shared" si="0"/>
        <v>0x32</v>
      </c>
      <c r="F54" s="73"/>
      <c r="G54" s="74"/>
      <c r="H54" s="75"/>
      <c r="I54" s="76"/>
      <c r="J54" s="90"/>
      <c r="K54" s="78"/>
      <c r="L54" s="60"/>
      <c r="M54" s="79">
        <v>50</v>
      </c>
      <c r="N54" s="71"/>
      <c r="O54" s="72" t="str">
        <f t="shared" si="1"/>
        <v>0x32</v>
      </c>
      <c r="P54" s="73"/>
      <c r="Q54" s="74"/>
      <c r="R54" s="75"/>
      <c r="S54" s="76"/>
      <c r="T54" s="251" t="s">
        <v>556</v>
      </c>
      <c r="U54" s="78"/>
      <c r="V54" s="254" t="s">
        <v>557</v>
      </c>
    </row>
    <row r="55" spans="2:22" ht="16.5" customHeight="1" x14ac:dyDescent="0.3">
      <c r="B55" s="242"/>
      <c r="C55" s="79">
        <v>51</v>
      </c>
      <c r="D55" s="71"/>
      <c r="E55" s="72" t="str">
        <f t="shared" si="0"/>
        <v>0x33</v>
      </c>
      <c r="F55" s="73"/>
      <c r="G55" s="74"/>
      <c r="H55" s="75"/>
      <c r="I55" s="76"/>
      <c r="J55" s="90"/>
      <c r="K55" s="78"/>
      <c r="L55" s="60"/>
      <c r="M55" s="79">
        <v>51</v>
      </c>
      <c r="N55" s="71"/>
      <c r="O55" s="72" t="str">
        <f t="shared" si="1"/>
        <v>0x33</v>
      </c>
      <c r="P55" s="73"/>
      <c r="Q55" s="74"/>
      <c r="R55" s="75"/>
      <c r="S55" s="76"/>
      <c r="T55" s="258" t="s">
        <v>558</v>
      </c>
      <c r="U55" s="78"/>
      <c r="V55" s="254" t="s">
        <v>559</v>
      </c>
    </row>
    <row r="56" spans="2:22" ht="16.5" customHeight="1" x14ac:dyDescent="0.3">
      <c r="B56" s="242"/>
      <c r="C56" s="79">
        <v>52</v>
      </c>
      <c r="D56" s="71"/>
      <c r="E56" s="72" t="str">
        <f t="shared" si="0"/>
        <v>0x34</v>
      </c>
      <c r="F56" s="73"/>
      <c r="G56" s="74"/>
      <c r="H56" s="75"/>
      <c r="I56" s="76"/>
      <c r="J56" s="90"/>
      <c r="K56" s="78"/>
      <c r="L56" s="60"/>
      <c r="M56" s="79">
        <v>52</v>
      </c>
      <c r="N56" s="71"/>
      <c r="O56" s="72" t="str">
        <f t="shared" si="1"/>
        <v>0x34</v>
      </c>
      <c r="P56" s="73"/>
      <c r="Q56" s="74"/>
      <c r="R56" s="75"/>
      <c r="S56" s="76"/>
      <c r="T56" s="258" t="s">
        <v>560</v>
      </c>
      <c r="U56" s="78"/>
      <c r="V56" s="254" t="s">
        <v>559</v>
      </c>
    </row>
    <row r="57" spans="2:22" ht="16.5" customHeight="1" x14ac:dyDescent="0.3">
      <c r="B57" s="242"/>
      <c r="C57" s="79">
        <v>53</v>
      </c>
      <c r="D57" s="71"/>
      <c r="E57" s="72" t="str">
        <f t="shared" si="0"/>
        <v>0x35</v>
      </c>
      <c r="F57" s="73"/>
      <c r="G57" s="74"/>
      <c r="H57" s="75"/>
      <c r="I57" s="76"/>
      <c r="J57" s="90"/>
      <c r="K57" s="78"/>
      <c r="L57" s="60"/>
      <c r="M57" s="79">
        <v>53</v>
      </c>
      <c r="N57" s="71"/>
      <c r="O57" s="72" t="str">
        <f t="shared" si="1"/>
        <v>0x35</v>
      </c>
      <c r="P57" s="73"/>
      <c r="Q57" s="74"/>
      <c r="R57" s="75"/>
      <c r="S57" s="76"/>
      <c r="T57" s="258" t="s">
        <v>561</v>
      </c>
      <c r="U57" s="78"/>
      <c r="V57" s="244"/>
    </row>
    <row r="58" spans="2:22" ht="16.5" customHeight="1" x14ac:dyDescent="0.3">
      <c r="B58" s="242"/>
      <c r="C58" s="79">
        <v>54</v>
      </c>
      <c r="D58" s="71"/>
      <c r="E58" s="72" t="str">
        <f t="shared" si="0"/>
        <v>0x36</v>
      </c>
      <c r="F58" s="73"/>
      <c r="G58" s="74"/>
      <c r="H58" s="75"/>
      <c r="I58" s="76"/>
      <c r="J58" s="90"/>
      <c r="K58" s="78"/>
      <c r="L58" s="60"/>
      <c r="M58" s="79">
        <v>54</v>
      </c>
      <c r="N58" s="71"/>
      <c r="O58" s="72" t="str">
        <f t="shared" si="1"/>
        <v>0x36</v>
      </c>
      <c r="P58" s="73"/>
      <c r="Q58" s="74"/>
      <c r="R58" s="75"/>
      <c r="S58" s="76"/>
      <c r="T58" s="258" t="s">
        <v>562</v>
      </c>
      <c r="U58" s="259" t="s">
        <v>563</v>
      </c>
      <c r="V58" s="244"/>
    </row>
    <row r="59" spans="2:22" ht="16.5" customHeight="1" x14ac:dyDescent="0.3">
      <c r="B59" s="242"/>
      <c r="C59" s="79">
        <v>55</v>
      </c>
      <c r="D59" s="71"/>
      <c r="E59" s="72" t="str">
        <f t="shared" si="0"/>
        <v>0x37</v>
      </c>
      <c r="F59" s="73"/>
      <c r="G59" s="74"/>
      <c r="H59" s="75"/>
      <c r="I59" s="76"/>
      <c r="J59" s="90"/>
      <c r="K59" s="78"/>
      <c r="L59" s="60"/>
      <c r="M59" s="79">
        <v>55</v>
      </c>
      <c r="N59" s="71"/>
      <c r="O59" s="72" t="str">
        <f t="shared" si="1"/>
        <v>0x37</v>
      </c>
      <c r="P59" s="73"/>
      <c r="Q59" s="74"/>
      <c r="R59" s="75"/>
      <c r="S59" s="76"/>
      <c r="T59" s="258" t="s">
        <v>564</v>
      </c>
      <c r="U59" s="260"/>
      <c r="V59" s="244"/>
    </row>
    <row r="60" spans="2:22" ht="16.5" customHeight="1" x14ac:dyDescent="0.3">
      <c r="B60" s="242"/>
      <c r="C60" s="79">
        <v>56</v>
      </c>
      <c r="D60" s="71"/>
      <c r="E60" s="72" t="str">
        <f t="shared" si="0"/>
        <v>0x38</v>
      </c>
      <c r="F60" s="73"/>
      <c r="G60" s="74"/>
      <c r="H60" s="75"/>
      <c r="I60" s="76"/>
      <c r="J60" s="90"/>
      <c r="K60" s="78"/>
      <c r="L60" s="60"/>
      <c r="M60" s="79">
        <v>56</v>
      </c>
      <c r="N60" s="71"/>
      <c r="O60" s="72" t="str">
        <f t="shared" si="1"/>
        <v>0x38</v>
      </c>
      <c r="P60" s="73"/>
      <c r="Q60" s="74"/>
      <c r="R60" s="75"/>
      <c r="S60" s="76"/>
      <c r="T60" s="258" t="s">
        <v>565</v>
      </c>
      <c r="U60" s="259" t="s">
        <v>563</v>
      </c>
      <c r="V60" s="254" t="s">
        <v>559</v>
      </c>
    </row>
    <row r="61" spans="2:22" ht="16.5" customHeight="1" x14ac:dyDescent="0.3">
      <c r="B61" s="242"/>
      <c r="C61" s="79">
        <v>57</v>
      </c>
      <c r="D61" s="71"/>
      <c r="E61" s="72" t="str">
        <f t="shared" si="0"/>
        <v>0x39</v>
      </c>
      <c r="F61" s="73"/>
      <c r="G61" s="74"/>
      <c r="H61" s="75"/>
      <c r="I61" s="76"/>
      <c r="J61" s="116"/>
      <c r="K61" s="78"/>
      <c r="L61" s="60"/>
      <c r="M61" s="79">
        <v>57</v>
      </c>
      <c r="N61" s="71"/>
      <c r="O61" s="72" t="str">
        <f t="shared" si="1"/>
        <v>0x39</v>
      </c>
      <c r="P61" s="73"/>
      <c r="Q61" s="74"/>
      <c r="R61" s="75"/>
      <c r="S61" s="76"/>
      <c r="T61" s="258" t="s">
        <v>566</v>
      </c>
      <c r="U61" s="260"/>
      <c r="V61" s="254" t="s">
        <v>559</v>
      </c>
    </row>
    <row r="62" spans="2:22" ht="16.5" customHeight="1" x14ac:dyDescent="0.3">
      <c r="B62" s="242"/>
      <c r="C62" s="79">
        <v>58</v>
      </c>
      <c r="D62" s="71"/>
      <c r="E62" s="72" t="str">
        <f t="shared" si="0"/>
        <v>0x3A</v>
      </c>
      <c r="F62" s="73"/>
      <c r="G62" s="74"/>
      <c r="H62" s="75"/>
      <c r="I62" s="76"/>
      <c r="J62" s="116"/>
      <c r="K62" s="78"/>
      <c r="L62" s="60"/>
      <c r="M62" s="79">
        <v>58</v>
      </c>
      <c r="N62" s="71"/>
      <c r="O62" s="72" t="str">
        <f t="shared" si="1"/>
        <v>0x3A</v>
      </c>
      <c r="P62" s="73"/>
      <c r="Q62" s="74"/>
      <c r="R62" s="75"/>
      <c r="S62" s="76"/>
      <c r="T62" s="258" t="s">
        <v>567</v>
      </c>
      <c r="U62" s="259" t="s">
        <v>563</v>
      </c>
      <c r="V62" s="254" t="s">
        <v>559</v>
      </c>
    </row>
    <row r="63" spans="2:22" ht="16.5" customHeight="1" x14ac:dyDescent="0.3">
      <c r="B63" s="242"/>
      <c r="C63" s="79">
        <v>59</v>
      </c>
      <c r="D63" s="71"/>
      <c r="E63" s="72" t="str">
        <f t="shared" si="0"/>
        <v>0x3B</v>
      </c>
      <c r="F63" s="73"/>
      <c r="G63" s="74"/>
      <c r="H63" s="75"/>
      <c r="I63" s="76"/>
      <c r="J63" s="117"/>
      <c r="K63" s="78"/>
      <c r="L63" s="60"/>
      <c r="M63" s="79">
        <v>59</v>
      </c>
      <c r="N63" s="71"/>
      <c r="O63" s="72" t="str">
        <f t="shared" si="1"/>
        <v>0x3B</v>
      </c>
      <c r="P63" s="73"/>
      <c r="Q63" s="74"/>
      <c r="R63" s="75"/>
      <c r="S63" s="76"/>
      <c r="T63" s="258" t="s">
        <v>568</v>
      </c>
      <c r="U63" s="260"/>
      <c r="V63" s="244"/>
    </row>
    <row r="64" spans="2:22" ht="16.5" customHeight="1" x14ac:dyDescent="0.3">
      <c r="B64" s="242"/>
      <c r="C64" s="79">
        <v>60</v>
      </c>
      <c r="D64" s="71"/>
      <c r="E64" s="72" t="str">
        <f t="shared" si="0"/>
        <v>0x3C</v>
      </c>
      <c r="F64" s="73"/>
      <c r="G64" s="74"/>
      <c r="H64" s="75"/>
      <c r="I64" s="76"/>
      <c r="J64" s="90"/>
      <c r="K64" s="78"/>
      <c r="L64" s="60"/>
      <c r="M64" s="79">
        <v>60</v>
      </c>
      <c r="N64" s="71"/>
      <c r="O64" s="72" t="str">
        <f t="shared" si="1"/>
        <v>0x3C</v>
      </c>
      <c r="P64" s="73"/>
      <c r="Q64" s="74"/>
      <c r="R64" s="75"/>
      <c r="S64" s="76"/>
      <c r="T64" s="258"/>
      <c r="U64" s="78"/>
      <c r="V64" s="244"/>
    </row>
    <row r="65" spans="2:22" ht="16.5" customHeight="1" x14ac:dyDescent="0.3">
      <c r="B65" s="242"/>
      <c r="C65" s="79">
        <v>61</v>
      </c>
      <c r="D65" s="71"/>
      <c r="E65" s="72" t="str">
        <f t="shared" si="0"/>
        <v>0x3D</v>
      </c>
      <c r="F65" s="73"/>
      <c r="G65" s="74"/>
      <c r="H65" s="75"/>
      <c r="I65" s="76"/>
      <c r="J65" s="90"/>
      <c r="K65" s="78"/>
      <c r="L65" s="60"/>
      <c r="M65" s="79">
        <v>61</v>
      </c>
      <c r="N65" s="71"/>
      <c r="O65" s="72" t="str">
        <f t="shared" si="1"/>
        <v>0x3D</v>
      </c>
      <c r="P65" s="73"/>
      <c r="Q65" s="74"/>
      <c r="R65" s="75"/>
      <c r="S65" s="76"/>
      <c r="T65" s="251"/>
      <c r="U65" s="78"/>
      <c r="V65" s="244"/>
    </row>
    <row r="66" spans="2:22" ht="16.5" customHeight="1" x14ac:dyDescent="0.3">
      <c r="B66" s="242"/>
      <c r="C66" s="79">
        <v>62</v>
      </c>
      <c r="D66" s="71"/>
      <c r="E66" s="72" t="str">
        <f t="shared" si="0"/>
        <v>0x3E</v>
      </c>
      <c r="F66" s="73"/>
      <c r="G66" s="74"/>
      <c r="H66" s="75"/>
      <c r="I66" s="76"/>
      <c r="J66" s="90"/>
      <c r="K66" s="78"/>
      <c r="L66" s="60"/>
      <c r="M66" s="79">
        <v>62</v>
      </c>
      <c r="N66" s="71"/>
      <c r="O66" s="72" t="str">
        <f t="shared" si="1"/>
        <v>0x3E</v>
      </c>
      <c r="P66" s="73"/>
      <c r="Q66" s="74"/>
      <c r="R66" s="75"/>
      <c r="S66" s="76"/>
      <c r="T66" s="251"/>
      <c r="U66" s="78"/>
      <c r="V66" s="254" t="s">
        <v>559</v>
      </c>
    </row>
    <row r="67" spans="2:22" ht="16.5" customHeight="1" thickBot="1" x14ac:dyDescent="0.35">
      <c r="B67" s="242"/>
      <c r="C67" s="79">
        <v>63</v>
      </c>
      <c r="D67" s="71"/>
      <c r="E67" s="91" t="str">
        <f t="shared" si="0"/>
        <v>0x3F</v>
      </c>
      <c r="F67" s="92"/>
      <c r="G67" s="93"/>
      <c r="H67" s="94"/>
      <c r="I67" s="95"/>
      <c r="J67" s="96"/>
      <c r="K67" s="97"/>
      <c r="L67" s="98"/>
      <c r="M67" s="79">
        <v>63</v>
      </c>
      <c r="N67" s="71"/>
      <c r="O67" s="91" t="str">
        <f t="shared" si="1"/>
        <v>0x3F</v>
      </c>
      <c r="P67" s="92"/>
      <c r="Q67" s="93"/>
      <c r="R67" s="94"/>
      <c r="S67" s="95"/>
      <c r="T67" s="261"/>
      <c r="U67" s="97"/>
      <c r="V67" s="254" t="s">
        <v>559</v>
      </c>
    </row>
    <row r="68" spans="2:22" ht="16.5" customHeight="1" thickTop="1" x14ac:dyDescent="0.3">
      <c r="B68" s="242"/>
      <c r="C68" s="103">
        <v>64</v>
      </c>
      <c r="D68" s="54"/>
      <c r="E68" s="72" t="str">
        <f t="shared" si="0"/>
        <v>0x40</v>
      </c>
      <c r="F68" s="73"/>
      <c r="G68" s="74"/>
      <c r="H68" s="75"/>
      <c r="I68" s="57"/>
      <c r="J68" s="58"/>
      <c r="K68" s="59"/>
      <c r="L68" s="102">
        <v>5</v>
      </c>
      <c r="M68" s="103">
        <v>64</v>
      </c>
      <c r="N68" s="54"/>
      <c r="O68" s="72" t="str">
        <f t="shared" si="1"/>
        <v>0x40</v>
      </c>
      <c r="P68" s="73"/>
      <c r="Q68" s="74"/>
      <c r="R68" s="75"/>
      <c r="S68" s="57"/>
      <c r="T68" s="210"/>
      <c r="U68" s="59"/>
      <c r="V68" s="244"/>
    </row>
    <row r="69" spans="2:22" ht="16.5" customHeight="1" x14ac:dyDescent="0.3">
      <c r="B69" s="242"/>
      <c r="C69" s="79">
        <v>65</v>
      </c>
      <c r="D69" s="71"/>
      <c r="E69" s="72" t="str">
        <f t="shared" si="0"/>
        <v>0x41</v>
      </c>
      <c r="F69" s="73"/>
      <c r="G69" s="74"/>
      <c r="H69" s="75"/>
      <c r="I69" s="76"/>
      <c r="J69" s="77"/>
      <c r="K69" s="78"/>
      <c r="L69" s="60"/>
      <c r="M69" s="79">
        <v>65</v>
      </c>
      <c r="N69" s="71"/>
      <c r="O69" s="72" t="str">
        <f t="shared" si="1"/>
        <v>0x41</v>
      </c>
      <c r="P69" s="73"/>
      <c r="Q69" s="74"/>
      <c r="R69" s="75"/>
      <c r="S69" s="76"/>
      <c r="T69" s="120"/>
      <c r="U69" s="78"/>
      <c r="V69" s="244"/>
    </row>
    <row r="70" spans="2:22" ht="16.5" customHeight="1" x14ac:dyDescent="0.3">
      <c r="B70" s="242"/>
      <c r="C70" s="79">
        <v>66</v>
      </c>
      <c r="D70" s="71"/>
      <c r="E70" s="72" t="str">
        <f t="shared" ref="E70:E99" si="2">CONCATENATE("0x", DEC2HEX(C70,2))</f>
        <v>0x42</v>
      </c>
      <c r="F70" s="73"/>
      <c r="G70" s="74"/>
      <c r="H70" s="75"/>
      <c r="I70" s="76"/>
      <c r="J70" s="77"/>
      <c r="K70" s="78"/>
      <c r="L70" s="60"/>
      <c r="M70" s="79">
        <v>66</v>
      </c>
      <c r="N70" s="71"/>
      <c r="O70" s="72" t="str">
        <f t="shared" ref="O70:O99" si="3">CONCATENATE("0x", DEC2HEX(M70,2))</f>
        <v>0x42</v>
      </c>
      <c r="P70" s="73"/>
      <c r="Q70" s="74"/>
      <c r="R70" s="75"/>
      <c r="S70" s="76"/>
      <c r="T70" s="120"/>
      <c r="U70" s="78"/>
      <c r="V70" s="244"/>
    </row>
    <row r="71" spans="2:22" ht="16.5" customHeight="1" x14ac:dyDescent="0.3">
      <c r="B71" s="242"/>
      <c r="C71" s="79">
        <v>67</v>
      </c>
      <c r="D71" s="71"/>
      <c r="E71" s="72" t="str">
        <f t="shared" si="2"/>
        <v>0x43</v>
      </c>
      <c r="F71" s="73"/>
      <c r="G71" s="74"/>
      <c r="H71" s="75"/>
      <c r="I71" s="76"/>
      <c r="J71" s="77"/>
      <c r="K71" s="78"/>
      <c r="L71" s="60"/>
      <c r="M71" s="79">
        <v>67</v>
      </c>
      <c r="N71" s="71"/>
      <c r="O71" s="72" t="str">
        <f t="shared" si="3"/>
        <v>0x43</v>
      </c>
      <c r="P71" s="73"/>
      <c r="Q71" s="74"/>
      <c r="R71" s="75"/>
      <c r="S71" s="76"/>
      <c r="T71" s="120"/>
      <c r="U71" s="78"/>
      <c r="V71" s="244"/>
    </row>
    <row r="72" spans="2:22" ht="16.5" customHeight="1" x14ac:dyDescent="0.3">
      <c r="B72" s="242"/>
      <c r="C72" s="79">
        <v>68</v>
      </c>
      <c r="D72" s="71"/>
      <c r="E72" s="72" t="str">
        <f t="shared" si="2"/>
        <v>0x44</v>
      </c>
      <c r="F72" s="73"/>
      <c r="G72" s="74"/>
      <c r="H72" s="75"/>
      <c r="I72" s="76"/>
      <c r="J72" s="77"/>
      <c r="K72" s="78"/>
      <c r="L72" s="60"/>
      <c r="M72" s="79">
        <v>68</v>
      </c>
      <c r="N72" s="71"/>
      <c r="O72" s="72" t="str">
        <f t="shared" si="3"/>
        <v>0x44</v>
      </c>
      <c r="P72" s="73"/>
      <c r="Q72" s="74"/>
      <c r="R72" s="75"/>
      <c r="S72" s="76"/>
      <c r="T72" s="120"/>
      <c r="U72" s="78"/>
      <c r="V72" s="244"/>
    </row>
    <row r="73" spans="2:22" ht="16.5" customHeight="1" x14ac:dyDescent="0.3">
      <c r="B73" s="242"/>
      <c r="C73" s="79">
        <v>69</v>
      </c>
      <c r="D73" s="71"/>
      <c r="E73" s="72" t="str">
        <f t="shared" si="2"/>
        <v>0x45</v>
      </c>
      <c r="F73" s="73"/>
      <c r="G73" s="74"/>
      <c r="H73" s="75"/>
      <c r="I73" s="76"/>
      <c r="J73" s="77"/>
      <c r="K73" s="78"/>
      <c r="L73" s="60"/>
      <c r="M73" s="79">
        <v>69</v>
      </c>
      <c r="N73" s="71"/>
      <c r="O73" s="72" t="str">
        <f t="shared" si="3"/>
        <v>0x45</v>
      </c>
      <c r="P73" s="73"/>
      <c r="Q73" s="74"/>
      <c r="R73" s="75"/>
      <c r="S73" s="76"/>
      <c r="T73" s="120"/>
      <c r="U73" s="78"/>
      <c r="V73" s="244"/>
    </row>
    <row r="74" spans="2:22" ht="16.5" customHeight="1" x14ac:dyDescent="0.3">
      <c r="B74" s="242"/>
      <c r="C74" s="79">
        <v>70</v>
      </c>
      <c r="D74" s="71"/>
      <c r="E74" s="72" t="str">
        <f t="shared" si="2"/>
        <v>0x46</v>
      </c>
      <c r="F74" s="73"/>
      <c r="G74" s="74"/>
      <c r="H74" s="75"/>
      <c r="I74" s="76"/>
      <c r="J74" s="77"/>
      <c r="K74" s="78"/>
      <c r="L74" s="60"/>
      <c r="M74" s="79">
        <v>70</v>
      </c>
      <c r="N74" s="71"/>
      <c r="O74" s="72" t="str">
        <f t="shared" si="3"/>
        <v>0x46</v>
      </c>
      <c r="P74" s="73"/>
      <c r="Q74" s="74"/>
      <c r="R74" s="75"/>
      <c r="S74" s="76"/>
      <c r="T74" s="258"/>
      <c r="U74" s="78"/>
      <c r="V74" s="254" t="s">
        <v>559</v>
      </c>
    </row>
    <row r="75" spans="2:22" ht="16.5" customHeight="1" x14ac:dyDescent="0.3">
      <c r="B75" s="242"/>
      <c r="C75" s="79">
        <v>71</v>
      </c>
      <c r="D75" s="71"/>
      <c r="E75" s="72" t="str">
        <f t="shared" si="2"/>
        <v>0x47</v>
      </c>
      <c r="F75" s="73"/>
      <c r="G75" s="74"/>
      <c r="H75" s="75"/>
      <c r="I75" s="76"/>
      <c r="J75" s="77"/>
      <c r="K75" s="78"/>
      <c r="L75" s="60"/>
      <c r="M75" s="79">
        <v>71</v>
      </c>
      <c r="N75" s="71"/>
      <c r="O75" s="72" t="str">
        <f t="shared" si="3"/>
        <v>0x47</v>
      </c>
      <c r="P75" s="73"/>
      <c r="Q75" s="74"/>
      <c r="R75" s="75"/>
      <c r="S75" s="76"/>
      <c r="T75" s="258"/>
      <c r="U75" s="78"/>
      <c r="V75" s="254" t="s">
        <v>559</v>
      </c>
    </row>
    <row r="76" spans="2:22" ht="16.5" customHeight="1" x14ac:dyDescent="0.3">
      <c r="B76" s="242"/>
      <c r="C76" s="79">
        <v>72</v>
      </c>
      <c r="D76" s="71"/>
      <c r="E76" s="72" t="str">
        <f t="shared" si="2"/>
        <v>0x48</v>
      </c>
      <c r="F76" s="73"/>
      <c r="G76" s="74"/>
      <c r="H76" s="75"/>
      <c r="I76" s="76"/>
      <c r="J76" s="77"/>
      <c r="K76" s="78"/>
      <c r="L76" s="60"/>
      <c r="M76" s="79">
        <v>72</v>
      </c>
      <c r="N76" s="71"/>
      <c r="O76" s="72" t="str">
        <f t="shared" si="3"/>
        <v>0x48</v>
      </c>
      <c r="P76" s="73"/>
      <c r="Q76" s="74"/>
      <c r="R76" s="75"/>
      <c r="S76" s="76"/>
      <c r="T76" s="258"/>
      <c r="U76" s="78"/>
      <c r="V76" s="254" t="s">
        <v>559</v>
      </c>
    </row>
    <row r="77" spans="2:22" ht="16.5" customHeight="1" x14ac:dyDescent="0.3">
      <c r="B77" s="242"/>
      <c r="C77" s="79">
        <v>73</v>
      </c>
      <c r="D77" s="71"/>
      <c r="E77" s="72" t="str">
        <f t="shared" si="2"/>
        <v>0x49</v>
      </c>
      <c r="F77" s="73"/>
      <c r="G77" s="74"/>
      <c r="H77" s="75"/>
      <c r="I77" s="76"/>
      <c r="J77" s="77"/>
      <c r="K77" s="78"/>
      <c r="L77" s="60"/>
      <c r="M77" s="79">
        <v>73</v>
      </c>
      <c r="N77" s="71"/>
      <c r="O77" s="72" t="str">
        <f t="shared" si="3"/>
        <v>0x49</v>
      </c>
      <c r="P77" s="73"/>
      <c r="Q77" s="74"/>
      <c r="R77" s="75"/>
      <c r="S77" s="76"/>
      <c r="T77" s="258"/>
      <c r="U77" s="78"/>
      <c r="V77" s="244"/>
    </row>
    <row r="78" spans="2:22" ht="16.5" customHeight="1" x14ac:dyDescent="0.3">
      <c r="B78" s="242"/>
      <c r="C78" s="79">
        <v>74</v>
      </c>
      <c r="D78" s="71"/>
      <c r="E78" s="72" t="str">
        <f t="shared" si="2"/>
        <v>0x4A</v>
      </c>
      <c r="F78" s="73"/>
      <c r="G78" s="74"/>
      <c r="H78" s="75"/>
      <c r="I78" s="76"/>
      <c r="J78" s="77"/>
      <c r="K78" s="78"/>
      <c r="L78" s="60"/>
      <c r="M78" s="79">
        <v>74</v>
      </c>
      <c r="N78" s="71"/>
      <c r="O78" s="72" t="str">
        <f t="shared" si="3"/>
        <v>0x4A</v>
      </c>
      <c r="P78" s="73"/>
      <c r="Q78" s="74"/>
      <c r="R78" s="75"/>
      <c r="S78" s="76"/>
      <c r="T78" s="258"/>
      <c r="U78" s="78"/>
      <c r="V78" s="244"/>
    </row>
    <row r="79" spans="2:22" ht="16.5" customHeight="1" x14ac:dyDescent="0.3">
      <c r="B79" s="242"/>
      <c r="C79" s="79">
        <v>75</v>
      </c>
      <c r="D79" s="71"/>
      <c r="E79" s="72" t="str">
        <f t="shared" si="2"/>
        <v>0x4B</v>
      </c>
      <c r="F79" s="73"/>
      <c r="G79" s="74"/>
      <c r="H79" s="75"/>
      <c r="I79" s="76"/>
      <c r="J79" s="77"/>
      <c r="K79" s="78"/>
      <c r="L79" s="60"/>
      <c r="M79" s="79">
        <v>75</v>
      </c>
      <c r="N79" s="71"/>
      <c r="O79" s="72" t="str">
        <f t="shared" si="3"/>
        <v>0x4B</v>
      </c>
      <c r="P79" s="73"/>
      <c r="Q79" s="74"/>
      <c r="R79" s="75"/>
      <c r="S79" s="76"/>
      <c r="T79" s="258"/>
      <c r="U79" s="78"/>
      <c r="V79" s="244"/>
    </row>
    <row r="80" spans="2:22" ht="16.5" customHeight="1" x14ac:dyDescent="0.3">
      <c r="B80" s="242"/>
      <c r="C80" s="79">
        <v>76</v>
      </c>
      <c r="D80" s="71"/>
      <c r="E80" s="72" t="str">
        <f t="shared" si="2"/>
        <v>0x4C</v>
      </c>
      <c r="F80" s="73"/>
      <c r="G80" s="74"/>
      <c r="H80" s="75"/>
      <c r="I80" s="76"/>
      <c r="J80" s="77"/>
      <c r="K80" s="78"/>
      <c r="L80" s="60"/>
      <c r="M80" s="79">
        <v>76</v>
      </c>
      <c r="N80" s="71"/>
      <c r="O80" s="72" t="str">
        <f t="shared" si="3"/>
        <v>0x4C</v>
      </c>
      <c r="P80" s="73"/>
      <c r="Q80" s="74"/>
      <c r="R80" s="75"/>
      <c r="S80" s="76"/>
      <c r="T80" s="258"/>
      <c r="U80" s="78"/>
      <c r="V80" s="244"/>
    </row>
    <row r="81" spans="2:22" ht="16.5" customHeight="1" x14ac:dyDescent="0.3">
      <c r="B81" s="242"/>
      <c r="C81" s="79">
        <v>77</v>
      </c>
      <c r="D81" s="71"/>
      <c r="E81" s="72" t="str">
        <f t="shared" si="2"/>
        <v>0x4D</v>
      </c>
      <c r="F81" s="73"/>
      <c r="G81" s="74"/>
      <c r="H81" s="75"/>
      <c r="I81" s="76"/>
      <c r="J81" s="77"/>
      <c r="K81" s="78"/>
      <c r="L81" s="60"/>
      <c r="M81" s="79">
        <v>77</v>
      </c>
      <c r="N81" s="71"/>
      <c r="O81" s="72" t="str">
        <f t="shared" si="3"/>
        <v>0x4D</v>
      </c>
      <c r="P81" s="73"/>
      <c r="Q81" s="74"/>
      <c r="R81" s="75"/>
      <c r="S81" s="76"/>
      <c r="T81" s="258"/>
      <c r="U81" s="78"/>
      <c r="V81" s="244"/>
    </row>
    <row r="82" spans="2:22" ht="16.5" customHeight="1" x14ac:dyDescent="0.3">
      <c r="B82" s="242"/>
      <c r="C82" s="79">
        <v>78</v>
      </c>
      <c r="D82" s="71"/>
      <c r="E82" s="72" t="str">
        <f t="shared" si="2"/>
        <v>0x4E</v>
      </c>
      <c r="F82" s="73"/>
      <c r="G82" s="74"/>
      <c r="H82" s="75"/>
      <c r="I82" s="76"/>
      <c r="J82" s="77"/>
      <c r="K82" s="78"/>
      <c r="L82" s="60"/>
      <c r="M82" s="79">
        <v>78</v>
      </c>
      <c r="N82" s="71"/>
      <c r="O82" s="72" t="str">
        <f t="shared" si="3"/>
        <v>0x4E</v>
      </c>
      <c r="P82" s="73"/>
      <c r="Q82" s="74"/>
      <c r="R82" s="75"/>
      <c r="S82" s="76"/>
      <c r="T82" s="258"/>
      <c r="U82" s="78"/>
      <c r="V82" s="254" t="s">
        <v>559</v>
      </c>
    </row>
    <row r="83" spans="2:22" ht="16.5" customHeight="1" thickBot="1" x14ac:dyDescent="0.35">
      <c r="B83" s="242"/>
      <c r="C83" s="79">
        <v>79</v>
      </c>
      <c r="D83" s="71"/>
      <c r="E83" s="91" t="str">
        <f t="shared" si="2"/>
        <v>0x4F</v>
      </c>
      <c r="F83" s="92"/>
      <c r="G83" s="93"/>
      <c r="H83" s="94"/>
      <c r="I83" s="95"/>
      <c r="J83" s="121"/>
      <c r="K83" s="97"/>
      <c r="L83" s="98"/>
      <c r="M83" s="79">
        <v>79</v>
      </c>
      <c r="N83" s="71"/>
      <c r="O83" s="91" t="str">
        <f t="shared" si="3"/>
        <v>0x4F</v>
      </c>
      <c r="P83" s="92"/>
      <c r="Q83" s="93"/>
      <c r="R83" s="94"/>
      <c r="S83" s="95"/>
      <c r="T83" s="262"/>
      <c r="U83" s="97"/>
      <c r="V83" s="254" t="s">
        <v>559</v>
      </c>
    </row>
    <row r="84" spans="2:22" ht="16.5" customHeight="1" thickTop="1" x14ac:dyDescent="0.3">
      <c r="B84" s="242"/>
      <c r="C84" s="103">
        <v>80</v>
      </c>
      <c r="D84" s="54"/>
      <c r="E84" s="72" t="str">
        <f t="shared" si="2"/>
        <v>0x50</v>
      </c>
      <c r="F84" s="123"/>
      <c r="G84" s="124"/>
      <c r="H84" s="125"/>
      <c r="I84" s="57"/>
      <c r="J84" s="58"/>
      <c r="K84" s="59"/>
      <c r="L84" s="102">
        <v>6</v>
      </c>
      <c r="M84" s="103">
        <v>80</v>
      </c>
      <c r="N84" s="54"/>
      <c r="O84" s="72" t="str">
        <f t="shared" si="3"/>
        <v>0x50</v>
      </c>
      <c r="P84" s="123"/>
      <c r="Q84" s="124"/>
      <c r="R84" s="125"/>
      <c r="S84" s="57"/>
      <c r="T84" s="263"/>
      <c r="U84" s="59"/>
      <c r="V84" s="244"/>
    </row>
    <row r="85" spans="2:22" ht="16.5" customHeight="1" x14ac:dyDescent="0.3">
      <c r="B85" s="242"/>
      <c r="C85" s="79">
        <v>81</v>
      </c>
      <c r="D85" s="71"/>
      <c r="E85" s="72" t="str">
        <f t="shared" si="2"/>
        <v>0x51</v>
      </c>
      <c r="F85" s="73"/>
      <c r="G85" s="74"/>
      <c r="H85" s="75"/>
      <c r="I85" s="76"/>
      <c r="J85" s="77"/>
      <c r="K85" s="78"/>
      <c r="L85" s="60"/>
      <c r="M85" s="79">
        <v>81</v>
      </c>
      <c r="N85" s="71"/>
      <c r="O85" s="72" t="str">
        <f t="shared" si="3"/>
        <v>0x51</v>
      </c>
      <c r="P85" s="73"/>
      <c r="Q85" s="74"/>
      <c r="R85" s="75"/>
      <c r="S85" s="76"/>
      <c r="T85" s="258"/>
      <c r="U85" s="78"/>
      <c r="V85" s="244"/>
    </row>
    <row r="86" spans="2:22" ht="16.5" customHeight="1" x14ac:dyDescent="0.3">
      <c r="B86" s="242"/>
      <c r="C86" s="79">
        <v>82</v>
      </c>
      <c r="D86" s="71"/>
      <c r="E86" s="72" t="str">
        <f t="shared" si="2"/>
        <v>0x52</v>
      </c>
      <c r="F86" s="73"/>
      <c r="G86" s="74"/>
      <c r="H86" s="75"/>
      <c r="I86" s="76"/>
      <c r="J86" s="77"/>
      <c r="K86" s="78"/>
      <c r="L86" s="60"/>
      <c r="M86" s="79">
        <v>82</v>
      </c>
      <c r="N86" s="71"/>
      <c r="O86" s="72" t="str">
        <f t="shared" si="3"/>
        <v>0x52</v>
      </c>
      <c r="P86" s="73"/>
      <c r="Q86" s="74"/>
      <c r="R86" s="75"/>
      <c r="S86" s="76"/>
      <c r="T86" s="258"/>
      <c r="U86" s="78"/>
      <c r="V86" s="244"/>
    </row>
    <row r="87" spans="2:22" ht="16.5" customHeight="1" x14ac:dyDescent="0.3">
      <c r="B87" s="242"/>
      <c r="C87" s="79">
        <v>83</v>
      </c>
      <c r="D87" s="71"/>
      <c r="E87" s="72" t="str">
        <f t="shared" si="2"/>
        <v>0x53</v>
      </c>
      <c r="F87" s="73"/>
      <c r="G87" s="74"/>
      <c r="H87" s="75"/>
      <c r="I87" s="76"/>
      <c r="J87" s="77"/>
      <c r="K87" s="78"/>
      <c r="L87" s="60"/>
      <c r="M87" s="79">
        <v>83</v>
      </c>
      <c r="N87" s="71"/>
      <c r="O87" s="72" t="str">
        <f t="shared" si="3"/>
        <v>0x53</v>
      </c>
      <c r="P87" s="73"/>
      <c r="Q87" s="74"/>
      <c r="R87" s="75"/>
      <c r="S87" s="76"/>
      <c r="T87" s="258"/>
      <c r="U87" s="78"/>
      <c r="V87" s="244"/>
    </row>
    <row r="88" spans="2:22" ht="16.5" customHeight="1" x14ac:dyDescent="0.3">
      <c r="B88" s="242"/>
      <c r="C88" s="79">
        <v>84</v>
      </c>
      <c r="D88" s="71"/>
      <c r="E88" s="72" t="str">
        <f t="shared" si="2"/>
        <v>0x54</v>
      </c>
      <c r="F88" s="73"/>
      <c r="G88" s="74"/>
      <c r="H88" s="75"/>
      <c r="I88" s="76"/>
      <c r="J88" s="77"/>
      <c r="K88" s="78"/>
      <c r="L88" s="60"/>
      <c r="M88" s="79">
        <v>84</v>
      </c>
      <c r="N88" s="71"/>
      <c r="O88" s="72" t="str">
        <f t="shared" si="3"/>
        <v>0x54</v>
      </c>
      <c r="P88" s="73"/>
      <c r="Q88" s="74"/>
      <c r="R88" s="75"/>
      <c r="S88" s="76"/>
      <c r="T88" s="258"/>
      <c r="U88" s="78"/>
      <c r="V88" s="244"/>
    </row>
    <row r="89" spans="2:22" ht="16.5" customHeight="1" x14ac:dyDescent="0.3">
      <c r="B89" s="242"/>
      <c r="C89" s="79">
        <v>85</v>
      </c>
      <c r="D89" s="71"/>
      <c r="E89" s="72" t="str">
        <f t="shared" si="2"/>
        <v>0x55</v>
      </c>
      <c r="F89" s="73"/>
      <c r="G89" s="74"/>
      <c r="H89" s="75"/>
      <c r="I89" s="76"/>
      <c r="J89" s="77"/>
      <c r="K89" s="78"/>
      <c r="L89" s="60"/>
      <c r="M89" s="79">
        <v>85</v>
      </c>
      <c r="N89" s="71"/>
      <c r="O89" s="72" t="str">
        <f t="shared" si="3"/>
        <v>0x55</v>
      </c>
      <c r="P89" s="73"/>
      <c r="Q89" s="74"/>
      <c r="R89" s="75"/>
      <c r="S89" s="76"/>
      <c r="T89" s="258"/>
      <c r="U89" s="78"/>
      <c r="V89" s="244"/>
    </row>
    <row r="90" spans="2:22" ht="16.5" customHeight="1" x14ac:dyDescent="0.3">
      <c r="B90" s="242"/>
      <c r="C90" s="79">
        <v>86</v>
      </c>
      <c r="D90" s="71"/>
      <c r="E90" s="72" t="str">
        <f t="shared" si="2"/>
        <v>0x56</v>
      </c>
      <c r="F90" s="73"/>
      <c r="G90" s="74"/>
      <c r="H90" s="75"/>
      <c r="I90" s="76"/>
      <c r="J90" s="77"/>
      <c r="K90" s="78"/>
      <c r="L90" s="60"/>
      <c r="M90" s="79">
        <v>86</v>
      </c>
      <c r="N90" s="71"/>
      <c r="O90" s="72" t="str">
        <f t="shared" si="3"/>
        <v>0x56</v>
      </c>
      <c r="P90" s="73"/>
      <c r="Q90" s="74"/>
      <c r="R90" s="75"/>
      <c r="S90" s="76"/>
      <c r="T90" s="258"/>
      <c r="U90" s="78"/>
      <c r="V90" s="244"/>
    </row>
    <row r="91" spans="2:22" ht="16.5" customHeight="1" x14ac:dyDescent="0.3">
      <c r="B91" s="242"/>
      <c r="C91" s="79">
        <v>87</v>
      </c>
      <c r="D91" s="71"/>
      <c r="E91" s="72" t="str">
        <f t="shared" si="2"/>
        <v>0x57</v>
      </c>
      <c r="F91" s="73"/>
      <c r="G91" s="74"/>
      <c r="H91" s="75"/>
      <c r="I91" s="76"/>
      <c r="J91" s="77"/>
      <c r="K91" s="78"/>
      <c r="L91" s="60"/>
      <c r="M91" s="79">
        <v>87</v>
      </c>
      <c r="N91" s="71"/>
      <c r="O91" s="72" t="str">
        <f t="shared" si="3"/>
        <v>0x57</v>
      </c>
      <c r="P91" s="73"/>
      <c r="Q91" s="74"/>
      <c r="R91" s="75"/>
      <c r="S91" s="76"/>
      <c r="T91" s="258"/>
      <c r="U91" s="78"/>
      <c r="V91" s="244"/>
    </row>
    <row r="92" spans="2:22" ht="16.5" customHeight="1" x14ac:dyDescent="0.3">
      <c r="B92" s="242"/>
      <c r="C92" s="79">
        <v>88</v>
      </c>
      <c r="D92" s="71"/>
      <c r="E92" s="72" t="str">
        <f t="shared" si="2"/>
        <v>0x58</v>
      </c>
      <c r="F92" s="73"/>
      <c r="G92" s="74"/>
      <c r="H92" s="75"/>
      <c r="I92" s="76"/>
      <c r="J92" s="77"/>
      <c r="K92" s="78"/>
      <c r="L92" s="60"/>
      <c r="M92" s="79">
        <v>88</v>
      </c>
      <c r="N92" s="71"/>
      <c r="O92" s="72" t="str">
        <f t="shared" si="3"/>
        <v>0x58</v>
      </c>
      <c r="P92" s="73"/>
      <c r="Q92" s="74"/>
      <c r="R92" s="75"/>
      <c r="S92" s="76"/>
      <c r="T92" s="258"/>
      <c r="U92" s="78"/>
      <c r="V92" s="244"/>
    </row>
    <row r="93" spans="2:22" ht="16.5" customHeight="1" x14ac:dyDescent="0.3">
      <c r="B93" s="242"/>
      <c r="C93" s="79">
        <v>89</v>
      </c>
      <c r="D93" s="71"/>
      <c r="E93" s="72" t="str">
        <f t="shared" si="2"/>
        <v>0x59</v>
      </c>
      <c r="F93" s="73"/>
      <c r="G93" s="74"/>
      <c r="H93" s="75"/>
      <c r="I93" s="76"/>
      <c r="J93" s="77"/>
      <c r="K93" s="78"/>
      <c r="L93" s="60"/>
      <c r="M93" s="79">
        <v>89</v>
      </c>
      <c r="N93" s="71"/>
      <c r="O93" s="72" t="str">
        <f t="shared" si="3"/>
        <v>0x59</v>
      </c>
      <c r="P93" s="73"/>
      <c r="Q93" s="74"/>
      <c r="R93" s="75"/>
      <c r="S93" s="76"/>
      <c r="T93" s="258"/>
      <c r="U93" s="78"/>
      <c r="V93" s="244"/>
    </row>
    <row r="94" spans="2:22" ht="16.5" customHeight="1" x14ac:dyDescent="0.3">
      <c r="B94" s="242"/>
      <c r="C94" s="79">
        <v>90</v>
      </c>
      <c r="D94" s="71"/>
      <c r="E94" s="72" t="str">
        <f t="shared" si="2"/>
        <v>0x5A</v>
      </c>
      <c r="F94" s="73"/>
      <c r="G94" s="74"/>
      <c r="H94" s="75"/>
      <c r="I94" s="76"/>
      <c r="J94" s="77"/>
      <c r="K94" s="78"/>
      <c r="L94" s="60"/>
      <c r="M94" s="79">
        <v>90</v>
      </c>
      <c r="N94" s="71"/>
      <c r="O94" s="72" t="str">
        <f t="shared" si="3"/>
        <v>0x5A</v>
      </c>
      <c r="P94" s="73"/>
      <c r="Q94" s="74"/>
      <c r="R94" s="75"/>
      <c r="S94" s="76"/>
      <c r="T94" s="258"/>
      <c r="U94" s="78"/>
      <c r="V94" s="244"/>
    </row>
    <row r="95" spans="2:22" x14ac:dyDescent="0.3">
      <c r="B95" s="242"/>
      <c r="C95" s="79">
        <v>91</v>
      </c>
      <c r="D95" s="71"/>
      <c r="E95" s="72" t="str">
        <f t="shared" si="2"/>
        <v>0x5B</v>
      </c>
      <c r="F95" s="73"/>
      <c r="G95" s="74"/>
      <c r="H95" s="75"/>
      <c r="I95" s="76"/>
      <c r="J95" s="77"/>
      <c r="K95" s="78"/>
      <c r="L95" s="60"/>
      <c r="M95" s="79">
        <v>91</v>
      </c>
      <c r="N95" s="71"/>
      <c r="O95" s="72" t="str">
        <f t="shared" si="3"/>
        <v>0x5B</v>
      </c>
      <c r="P95" s="73"/>
      <c r="Q95" s="74"/>
      <c r="R95" s="75"/>
      <c r="S95" s="76"/>
      <c r="T95" s="258"/>
      <c r="U95" s="78"/>
      <c r="V95" s="244"/>
    </row>
    <row r="96" spans="2:22" x14ac:dyDescent="0.3">
      <c r="B96" s="242"/>
      <c r="C96" s="79">
        <v>92</v>
      </c>
      <c r="D96" s="71"/>
      <c r="E96" s="72" t="str">
        <f t="shared" si="2"/>
        <v>0x5C</v>
      </c>
      <c r="F96" s="73"/>
      <c r="G96" s="74"/>
      <c r="H96" s="75"/>
      <c r="I96" s="76"/>
      <c r="J96" s="77"/>
      <c r="K96" s="78"/>
      <c r="L96" s="60"/>
      <c r="M96" s="79">
        <v>92</v>
      </c>
      <c r="N96" s="71"/>
      <c r="O96" s="72" t="str">
        <f t="shared" si="3"/>
        <v>0x5C</v>
      </c>
      <c r="P96" s="73"/>
      <c r="Q96" s="74"/>
      <c r="R96" s="75"/>
      <c r="S96" s="76"/>
      <c r="T96" s="258"/>
      <c r="U96" s="78"/>
      <c r="V96" s="244"/>
    </row>
    <row r="97" spans="2:22" x14ac:dyDescent="0.3">
      <c r="B97" s="242"/>
      <c r="C97" s="79">
        <v>93</v>
      </c>
      <c r="D97" s="71"/>
      <c r="E97" s="72" t="str">
        <f t="shared" si="2"/>
        <v>0x5D</v>
      </c>
      <c r="F97" s="73"/>
      <c r="G97" s="74"/>
      <c r="H97" s="75"/>
      <c r="I97" s="76"/>
      <c r="J97" s="77"/>
      <c r="K97" s="78"/>
      <c r="L97" s="60"/>
      <c r="M97" s="79">
        <v>93</v>
      </c>
      <c r="N97" s="71"/>
      <c r="O97" s="72" t="str">
        <f t="shared" si="3"/>
        <v>0x5D</v>
      </c>
      <c r="P97" s="73"/>
      <c r="Q97" s="74"/>
      <c r="R97" s="75"/>
      <c r="S97" s="76"/>
      <c r="T97" s="258"/>
      <c r="U97" s="78"/>
      <c r="V97" s="244"/>
    </row>
    <row r="98" spans="2:22" x14ac:dyDescent="0.3">
      <c r="B98" s="242"/>
      <c r="C98" s="79">
        <v>94</v>
      </c>
      <c r="D98" s="71"/>
      <c r="E98" s="72" t="str">
        <f t="shared" si="2"/>
        <v>0x5E</v>
      </c>
      <c r="F98" s="73"/>
      <c r="G98" s="74"/>
      <c r="H98" s="75"/>
      <c r="I98" s="76"/>
      <c r="J98" s="77"/>
      <c r="K98" s="78"/>
      <c r="L98" s="60"/>
      <c r="M98" s="79">
        <v>94</v>
      </c>
      <c r="N98" s="71"/>
      <c r="O98" s="72" t="str">
        <f t="shared" si="3"/>
        <v>0x5E</v>
      </c>
      <c r="P98" s="73"/>
      <c r="Q98" s="74"/>
      <c r="R98" s="75"/>
      <c r="S98" s="76"/>
      <c r="T98" s="90"/>
      <c r="U98" s="78"/>
      <c r="V98" s="244"/>
    </row>
    <row r="99" spans="2:22" ht="17.5" thickBot="1" x14ac:dyDescent="0.35">
      <c r="B99" s="242"/>
      <c r="C99" s="134">
        <v>95</v>
      </c>
      <c r="D99" s="133"/>
      <c r="E99" s="91" t="str">
        <f t="shared" si="2"/>
        <v>0x5F</v>
      </c>
      <c r="F99" s="92"/>
      <c r="G99" s="93"/>
      <c r="H99" s="94"/>
      <c r="I99" s="95"/>
      <c r="J99" s="121"/>
      <c r="K99" s="97"/>
      <c r="L99" s="98"/>
      <c r="M99" s="134">
        <v>95</v>
      </c>
      <c r="N99" s="133"/>
      <c r="O99" s="91" t="str">
        <f t="shared" si="3"/>
        <v>0x5F</v>
      </c>
      <c r="P99" s="92"/>
      <c r="Q99" s="93"/>
      <c r="R99" s="94"/>
      <c r="S99" s="95"/>
      <c r="T99" s="121"/>
      <c r="U99" s="97"/>
      <c r="V99" s="244"/>
    </row>
    <row r="100" spans="2:22" ht="17.5" thickTop="1" x14ac:dyDescent="0.45"/>
    <row r="101" spans="2:22" ht="17.5" thickBot="1" x14ac:dyDescent="0.5"/>
    <row r="102" spans="2:22" ht="26.25" customHeight="1" thickTop="1" thickBot="1" x14ac:dyDescent="0.5">
      <c r="C102" s="136" t="s">
        <v>569</v>
      </c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8"/>
    </row>
    <row r="103" spans="2:22" ht="17.25" customHeight="1" thickTop="1" x14ac:dyDescent="0.45">
      <c r="B103" s="139" t="s">
        <v>196</v>
      </c>
      <c r="C103" s="264" t="s">
        <v>197</v>
      </c>
      <c r="D103" s="265"/>
      <c r="E103" s="266"/>
      <c r="F103" s="267" t="s">
        <v>272</v>
      </c>
      <c r="G103" s="268"/>
      <c r="H103" s="267" t="s">
        <v>273</v>
      </c>
      <c r="I103" s="268"/>
      <c r="J103" s="266" t="s">
        <v>198</v>
      </c>
      <c r="K103" s="269" t="s">
        <v>199</v>
      </c>
      <c r="L103" s="270" t="s">
        <v>570</v>
      </c>
      <c r="M103" s="264" t="s">
        <v>201</v>
      </c>
      <c r="N103" s="265"/>
      <c r="O103" s="266"/>
      <c r="P103" s="267" t="s">
        <v>272</v>
      </c>
      <c r="Q103" s="268"/>
      <c r="R103" s="267" t="s">
        <v>273</v>
      </c>
      <c r="S103" s="268"/>
      <c r="T103" s="266" t="s">
        <v>198</v>
      </c>
      <c r="U103" s="269" t="s">
        <v>199</v>
      </c>
      <c r="V103" s="23" t="s">
        <v>196</v>
      </c>
    </row>
    <row r="104" spans="2:22" ht="17.5" thickBot="1" x14ac:dyDescent="0.35">
      <c r="B104" s="148"/>
      <c r="C104" s="271" t="s">
        <v>274</v>
      </c>
      <c r="D104" s="271" t="s">
        <v>571</v>
      </c>
      <c r="E104" s="272"/>
      <c r="F104" s="273"/>
      <c r="G104" s="274"/>
      <c r="H104" s="273"/>
      <c r="I104" s="274"/>
      <c r="J104" s="272"/>
      <c r="K104" s="275"/>
      <c r="L104" s="276" t="s">
        <v>572</v>
      </c>
      <c r="M104" s="271" t="s">
        <v>274</v>
      </c>
      <c r="N104" s="277" t="s">
        <v>275</v>
      </c>
      <c r="O104" s="272"/>
      <c r="P104" s="273"/>
      <c r="Q104" s="274"/>
      <c r="R104" s="273"/>
      <c r="S104" s="274"/>
      <c r="T104" s="272"/>
      <c r="U104" s="275"/>
      <c r="V104" s="35"/>
    </row>
    <row r="105" spans="2:22" ht="17.5" thickTop="1" x14ac:dyDescent="0.3">
      <c r="B105" s="278" t="s">
        <v>573</v>
      </c>
      <c r="C105" s="158">
        <v>0</v>
      </c>
      <c r="D105" s="159">
        <v>256</v>
      </c>
      <c r="E105" s="55" t="str">
        <f>CONCATENATE("0x", DEC2HEX(C105,2))</f>
        <v>0x00</v>
      </c>
      <c r="F105" s="160"/>
      <c r="G105" s="161"/>
      <c r="H105" s="160"/>
      <c r="I105" s="161"/>
      <c r="J105" s="279" t="s">
        <v>574</v>
      </c>
      <c r="K105" s="164"/>
      <c r="L105" s="102">
        <v>1</v>
      </c>
      <c r="M105" s="158">
        <v>0</v>
      </c>
      <c r="N105" s="159">
        <v>256</v>
      </c>
      <c r="O105" s="55" t="str">
        <f>CONCATENATE("0x", DEC2HEX(M105,2))</f>
        <v>0x00</v>
      </c>
      <c r="P105" s="160"/>
      <c r="Q105" s="160"/>
      <c r="R105" s="160"/>
      <c r="S105" s="160"/>
      <c r="T105" s="280" t="s">
        <v>575</v>
      </c>
      <c r="U105" s="164"/>
      <c r="V105" s="281" t="s">
        <v>576</v>
      </c>
    </row>
    <row r="106" spans="2:22" x14ac:dyDescent="0.3">
      <c r="B106" s="282"/>
      <c r="C106" s="166">
        <v>1</v>
      </c>
      <c r="D106" s="167">
        <v>257</v>
      </c>
      <c r="E106" s="72" t="str">
        <f>CONCATENATE("0x", DEC2HEX(C106,2))</f>
        <v>0x01</v>
      </c>
      <c r="F106" s="168"/>
      <c r="G106" s="169"/>
      <c r="H106" s="168"/>
      <c r="I106" s="169"/>
      <c r="J106" s="279" t="s">
        <v>574</v>
      </c>
      <c r="K106" s="170"/>
      <c r="L106" s="60"/>
      <c r="M106" s="166">
        <v>1</v>
      </c>
      <c r="N106" s="167">
        <v>257</v>
      </c>
      <c r="O106" s="72" t="str">
        <f>CONCATENATE("0x", DEC2HEX(M106,2))</f>
        <v>0x01</v>
      </c>
      <c r="P106" s="168"/>
      <c r="Q106" s="168"/>
      <c r="R106" s="168"/>
      <c r="S106" s="168"/>
      <c r="T106" s="279" t="s">
        <v>575</v>
      </c>
      <c r="U106" s="170"/>
      <c r="V106" s="283"/>
    </row>
    <row r="107" spans="2:22" x14ac:dyDescent="0.3">
      <c r="B107" s="282"/>
      <c r="C107" s="166">
        <v>2</v>
      </c>
      <c r="D107" s="167">
        <v>258</v>
      </c>
      <c r="E107" s="72" t="str">
        <f t="shared" ref="E107:E170" si="4">CONCATENATE("0x", DEC2HEX(C107,2))</f>
        <v>0x02</v>
      </c>
      <c r="F107" s="168"/>
      <c r="G107" s="169"/>
      <c r="H107" s="168"/>
      <c r="I107" s="169"/>
      <c r="J107" s="279" t="s">
        <v>574</v>
      </c>
      <c r="K107" s="170"/>
      <c r="L107" s="60"/>
      <c r="M107" s="166">
        <v>2</v>
      </c>
      <c r="N107" s="167">
        <v>258</v>
      </c>
      <c r="O107" s="72" t="str">
        <f t="shared" ref="O107:O170" si="5">CONCATENATE("0x", DEC2HEX(M107,2))</f>
        <v>0x02</v>
      </c>
      <c r="P107" s="168"/>
      <c r="Q107" s="168"/>
      <c r="R107" s="168"/>
      <c r="S107" s="168"/>
      <c r="T107" s="279" t="s">
        <v>575</v>
      </c>
      <c r="U107" s="170"/>
      <c r="V107" s="283"/>
    </row>
    <row r="108" spans="2:22" x14ac:dyDescent="0.3">
      <c r="B108" s="282"/>
      <c r="C108" s="166">
        <v>3</v>
      </c>
      <c r="D108" s="167">
        <v>259</v>
      </c>
      <c r="E108" s="72" t="str">
        <f t="shared" si="4"/>
        <v>0x03</v>
      </c>
      <c r="F108" s="168"/>
      <c r="G108" s="169"/>
      <c r="H108" s="168"/>
      <c r="I108" s="169"/>
      <c r="J108" s="279" t="s">
        <v>574</v>
      </c>
      <c r="K108" s="170"/>
      <c r="L108" s="60"/>
      <c r="M108" s="166">
        <v>3</v>
      </c>
      <c r="N108" s="167">
        <v>259</v>
      </c>
      <c r="O108" s="72" t="str">
        <f t="shared" si="5"/>
        <v>0x03</v>
      </c>
      <c r="P108" s="168"/>
      <c r="Q108" s="168"/>
      <c r="R108" s="168"/>
      <c r="S108" s="168"/>
      <c r="T108" s="279" t="s">
        <v>575</v>
      </c>
      <c r="U108" s="170"/>
      <c r="V108" s="283"/>
    </row>
    <row r="109" spans="2:22" x14ac:dyDescent="0.3">
      <c r="B109" s="282"/>
      <c r="C109" s="166">
        <v>4</v>
      </c>
      <c r="D109" s="167">
        <v>260</v>
      </c>
      <c r="E109" s="72" t="str">
        <f t="shared" si="4"/>
        <v>0x04</v>
      </c>
      <c r="F109" s="168"/>
      <c r="G109" s="169"/>
      <c r="H109" s="168"/>
      <c r="I109" s="169"/>
      <c r="J109" s="279" t="s">
        <v>574</v>
      </c>
      <c r="K109" s="170"/>
      <c r="L109" s="60"/>
      <c r="M109" s="166">
        <v>4</v>
      </c>
      <c r="N109" s="167">
        <v>260</v>
      </c>
      <c r="O109" s="72" t="str">
        <f t="shared" si="5"/>
        <v>0x04</v>
      </c>
      <c r="P109" s="168"/>
      <c r="Q109" s="168"/>
      <c r="R109" s="168"/>
      <c r="S109" s="168"/>
      <c r="T109" s="279" t="s">
        <v>575</v>
      </c>
      <c r="U109" s="170"/>
      <c r="V109" s="283"/>
    </row>
    <row r="110" spans="2:22" x14ac:dyDescent="0.3">
      <c r="B110" s="282"/>
      <c r="C110" s="166">
        <v>5</v>
      </c>
      <c r="D110" s="167">
        <v>261</v>
      </c>
      <c r="E110" s="72" t="str">
        <f t="shared" si="4"/>
        <v>0x05</v>
      </c>
      <c r="F110" s="168"/>
      <c r="G110" s="169"/>
      <c r="H110" s="168"/>
      <c r="I110" s="169"/>
      <c r="J110" s="279" t="s">
        <v>574</v>
      </c>
      <c r="K110" s="170"/>
      <c r="L110" s="60"/>
      <c r="M110" s="166">
        <v>5</v>
      </c>
      <c r="N110" s="167">
        <v>261</v>
      </c>
      <c r="O110" s="72" t="str">
        <f t="shared" si="5"/>
        <v>0x05</v>
      </c>
      <c r="P110" s="168"/>
      <c r="Q110" s="168"/>
      <c r="R110" s="168"/>
      <c r="S110" s="168"/>
      <c r="T110" s="279" t="s">
        <v>575</v>
      </c>
      <c r="U110" s="170"/>
      <c r="V110" s="283"/>
    </row>
    <row r="111" spans="2:22" x14ac:dyDescent="0.3">
      <c r="B111" s="282"/>
      <c r="C111" s="166">
        <v>6</v>
      </c>
      <c r="D111" s="167">
        <v>262</v>
      </c>
      <c r="E111" s="72" t="str">
        <f t="shared" si="4"/>
        <v>0x06</v>
      </c>
      <c r="F111" s="168"/>
      <c r="G111" s="169"/>
      <c r="H111" s="168"/>
      <c r="I111" s="169"/>
      <c r="J111" s="279" t="s">
        <v>574</v>
      </c>
      <c r="K111" s="170"/>
      <c r="L111" s="60"/>
      <c r="M111" s="166">
        <v>6</v>
      </c>
      <c r="N111" s="167">
        <v>262</v>
      </c>
      <c r="O111" s="72" t="str">
        <f t="shared" si="5"/>
        <v>0x06</v>
      </c>
      <c r="P111" s="168"/>
      <c r="Q111" s="168"/>
      <c r="R111" s="168"/>
      <c r="S111" s="168"/>
      <c r="T111" s="279" t="s">
        <v>575</v>
      </c>
      <c r="U111" s="170"/>
      <c r="V111" s="283"/>
    </row>
    <row r="112" spans="2:22" x14ac:dyDescent="0.3">
      <c r="B112" s="282"/>
      <c r="C112" s="166">
        <v>7</v>
      </c>
      <c r="D112" s="167">
        <v>263</v>
      </c>
      <c r="E112" s="72" t="str">
        <f t="shared" si="4"/>
        <v>0x07</v>
      </c>
      <c r="F112" s="168"/>
      <c r="G112" s="169"/>
      <c r="H112" s="168"/>
      <c r="I112" s="169"/>
      <c r="J112" s="279" t="s">
        <v>574</v>
      </c>
      <c r="K112" s="170"/>
      <c r="L112" s="60"/>
      <c r="M112" s="166">
        <v>7</v>
      </c>
      <c r="N112" s="167">
        <v>263</v>
      </c>
      <c r="O112" s="72" t="str">
        <f t="shared" si="5"/>
        <v>0x07</v>
      </c>
      <c r="P112" s="168"/>
      <c r="Q112" s="168"/>
      <c r="R112" s="168"/>
      <c r="S112" s="168"/>
      <c r="T112" s="279" t="s">
        <v>575</v>
      </c>
      <c r="U112" s="170"/>
      <c r="V112" s="283"/>
    </row>
    <row r="113" spans="2:22" x14ac:dyDescent="0.3">
      <c r="B113" s="282"/>
      <c r="C113" s="166">
        <v>8</v>
      </c>
      <c r="D113" s="167">
        <v>264</v>
      </c>
      <c r="E113" s="72" t="str">
        <f t="shared" si="4"/>
        <v>0x08</v>
      </c>
      <c r="F113" s="168"/>
      <c r="G113" s="169"/>
      <c r="H113" s="168"/>
      <c r="I113" s="169"/>
      <c r="J113" s="279" t="s">
        <v>574</v>
      </c>
      <c r="K113" s="170"/>
      <c r="L113" s="60"/>
      <c r="M113" s="166">
        <v>8</v>
      </c>
      <c r="N113" s="167">
        <v>264</v>
      </c>
      <c r="O113" s="72" t="str">
        <f t="shared" si="5"/>
        <v>0x08</v>
      </c>
      <c r="P113" s="168"/>
      <c r="Q113" s="168"/>
      <c r="R113" s="168"/>
      <c r="S113" s="168"/>
      <c r="T113" s="279" t="s">
        <v>575</v>
      </c>
      <c r="U113" s="170"/>
      <c r="V113" s="283"/>
    </row>
    <row r="114" spans="2:22" x14ac:dyDescent="0.3">
      <c r="B114" s="282"/>
      <c r="C114" s="166">
        <v>9</v>
      </c>
      <c r="D114" s="167">
        <v>265</v>
      </c>
      <c r="E114" s="72" t="str">
        <f t="shared" si="4"/>
        <v>0x09</v>
      </c>
      <c r="F114" s="168"/>
      <c r="G114" s="169"/>
      <c r="H114" s="168"/>
      <c r="I114" s="169"/>
      <c r="J114" s="279" t="s">
        <v>574</v>
      </c>
      <c r="K114" s="170"/>
      <c r="L114" s="60"/>
      <c r="M114" s="166">
        <v>9</v>
      </c>
      <c r="N114" s="167">
        <v>265</v>
      </c>
      <c r="O114" s="72" t="str">
        <f t="shared" si="5"/>
        <v>0x09</v>
      </c>
      <c r="P114" s="168"/>
      <c r="Q114" s="168"/>
      <c r="R114" s="168"/>
      <c r="S114" s="168"/>
      <c r="T114" s="279" t="s">
        <v>575</v>
      </c>
      <c r="U114" s="170"/>
      <c r="V114" s="283"/>
    </row>
    <row r="115" spans="2:22" x14ac:dyDescent="0.3">
      <c r="B115" s="282"/>
      <c r="C115" s="166">
        <v>10</v>
      </c>
      <c r="D115" s="167">
        <v>266</v>
      </c>
      <c r="E115" s="72" t="str">
        <f t="shared" si="4"/>
        <v>0x0A</v>
      </c>
      <c r="F115" s="168"/>
      <c r="G115" s="169"/>
      <c r="H115" s="168"/>
      <c r="I115" s="169"/>
      <c r="J115" s="279" t="s">
        <v>574</v>
      </c>
      <c r="K115" s="170"/>
      <c r="L115" s="60"/>
      <c r="M115" s="166">
        <v>10</v>
      </c>
      <c r="N115" s="167">
        <v>266</v>
      </c>
      <c r="O115" s="72" t="str">
        <f t="shared" si="5"/>
        <v>0x0A</v>
      </c>
      <c r="P115" s="168"/>
      <c r="Q115" s="168"/>
      <c r="R115" s="168"/>
      <c r="S115" s="168"/>
      <c r="T115" s="279" t="s">
        <v>575</v>
      </c>
      <c r="U115" s="170"/>
      <c r="V115" s="283"/>
    </row>
    <row r="116" spans="2:22" x14ac:dyDescent="0.3">
      <c r="B116" s="282"/>
      <c r="C116" s="166">
        <v>11</v>
      </c>
      <c r="D116" s="167">
        <v>267</v>
      </c>
      <c r="E116" s="72" t="str">
        <f t="shared" si="4"/>
        <v>0x0B</v>
      </c>
      <c r="F116" s="168"/>
      <c r="G116" s="169"/>
      <c r="H116" s="168"/>
      <c r="I116" s="169"/>
      <c r="J116" s="279" t="s">
        <v>574</v>
      </c>
      <c r="K116" s="170"/>
      <c r="L116" s="60"/>
      <c r="M116" s="166">
        <v>11</v>
      </c>
      <c r="N116" s="167">
        <v>267</v>
      </c>
      <c r="O116" s="72" t="str">
        <f t="shared" si="5"/>
        <v>0x0B</v>
      </c>
      <c r="P116" s="168"/>
      <c r="Q116" s="168"/>
      <c r="R116" s="168"/>
      <c r="S116" s="168"/>
      <c r="T116" s="279" t="s">
        <v>575</v>
      </c>
      <c r="U116" s="170"/>
      <c r="V116" s="283"/>
    </row>
    <row r="117" spans="2:22" x14ac:dyDescent="0.3">
      <c r="B117" s="282"/>
      <c r="C117" s="166">
        <v>12</v>
      </c>
      <c r="D117" s="167">
        <v>268</v>
      </c>
      <c r="E117" s="72" t="str">
        <f t="shared" si="4"/>
        <v>0x0C</v>
      </c>
      <c r="F117" s="168"/>
      <c r="G117" s="169"/>
      <c r="H117" s="168"/>
      <c r="I117" s="169"/>
      <c r="J117" s="279" t="s">
        <v>574</v>
      </c>
      <c r="K117" s="170"/>
      <c r="L117" s="60"/>
      <c r="M117" s="166">
        <v>12</v>
      </c>
      <c r="N117" s="167">
        <v>268</v>
      </c>
      <c r="O117" s="72" t="str">
        <f t="shared" si="5"/>
        <v>0x0C</v>
      </c>
      <c r="P117" s="168"/>
      <c r="Q117" s="168"/>
      <c r="R117" s="168"/>
      <c r="S117" s="168"/>
      <c r="T117" s="279" t="s">
        <v>575</v>
      </c>
      <c r="U117" s="170"/>
      <c r="V117" s="283"/>
    </row>
    <row r="118" spans="2:22" x14ac:dyDescent="0.3">
      <c r="B118" s="282"/>
      <c r="C118" s="166">
        <v>13</v>
      </c>
      <c r="D118" s="167">
        <v>269</v>
      </c>
      <c r="E118" s="72" t="str">
        <f t="shared" si="4"/>
        <v>0x0D</v>
      </c>
      <c r="F118" s="168"/>
      <c r="G118" s="169"/>
      <c r="H118" s="168"/>
      <c r="I118" s="169"/>
      <c r="J118" s="279" t="s">
        <v>574</v>
      </c>
      <c r="K118" s="170"/>
      <c r="L118" s="60"/>
      <c r="M118" s="166">
        <v>13</v>
      </c>
      <c r="N118" s="167">
        <v>269</v>
      </c>
      <c r="O118" s="72" t="str">
        <f t="shared" si="5"/>
        <v>0x0D</v>
      </c>
      <c r="P118" s="168"/>
      <c r="Q118" s="168"/>
      <c r="R118" s="168"/>
      <c r="S118" s="168"/>
      <c r="T118" s="279" t="s">
        <v>575</v>
      </c>
      <c r="U118" s="170"/>
      <c r="V118" s="283"/>
    </row>
    <row r="119" spans="2:22" x14ac:dyDescent="0.3">
      <c r="B119" s="282"/>
      <c r="C119" s="166">
        <v>14</v>
      </c>
      <c r="D119" s="167">
        <v>270</v>
      </c>
      <c r="E119" s="72" t="str">
        <f t="shared" si="4"/>
        <v>0x0E</v>
      </c>
      <c r="F119" s="168"/>
      <c r="G119" s="169"/>
      <c r="H119" s="168"/>
      <c r="I119" s="169"/>
      <c r="J119" s="279" t="s">
        <v>574</v>
      </c>
      <c r="K119" s="170"/>
      <c r="L119" s="60"/>
      <c r="M119" s="166">
        <v>14</v>
      </c>
      <c r="N119" s="167">
        <v>270</v>
      </c>
      <c r="O119" s="72" t="str">
        <f t="shared" si="5"/>
        <v>0x0E</v>
      </c>
      <c r="P119" s="168"/>
      <c r="Q119" s="168"/>
      <c r="R119" s="168"/>
      <c r="S119" s="168"/>
      <c r="T119" s="279" t="s">
        <v>575</v>
      </c>
      <c r="U119" s="176"/>
      <c r="V119" s="283"/>
    </row>
    <row r="120" spans="2:22" ht="17.5" thickBot="1" x14ac:dyDescent="0.35">
      <c r="B120" s="282"/>
      <c r="C120" s="178">
        <v>15</v>
      </c>
      <c r="D120" s="179">
        <v>271</v>
      </c>
      <c r="E120" s="91" t="str">
        <f t="shared" si="4"/>
        <v>0x0F</v>
      </c>
      <c r="F120" s="180"/>
      <c r="G120" s="181"/>
      <c r="H120" s="180"/>
      <c r="I120" s="181"/>
      <c r="J120" s="284" t="s">
        <v>574</v>
      </c>
      <c r="K120" s="190"/>
      <c r="L120" s="98"/>
      <c r="M120" s="178">
        <v>15</v>
      </c>
      <c r="N120" s="179">
        <v>271</v>
      </c>
      <c r="O120" s="91" t="str">
        <f t="shared" si="5"/>
        <v>0x0F</v>
      </c>
      <c r="P120" s="180"/>
      <c r="Q120" s="180"/>
      <c r="R120" s="180"/>
      <c r="S120" s="180"/>
      <c r="T120" s="284" t="s">
        <v>575</v>
      </c>
      <c r="U120" s="184"/>
      <c r="V120" s="283"/>
    </row>
    <row r="121" spans="2:22" ht="17.5" thickTop="1" x14ac:dyDescent="0.3">
      <c r="B121" s="282"/>
      <c r="C121" s="185">
        <v>16</v>
      </c>
      <c r="D121" s="186">
        <v>272</v>
      </c>
      <c r="E121" s="63" t="str">
        <f t="shared" si="4"/>
        <v>0x10</v>
      </c>
      <c r="F121" s="160"/>
      <c r="G121" s="161"/>
      <c r="H121" s="160"/>
      <c r="I121" s="161"/>
      <c r="J121" s="280" t="s">
        <v>574</v>
      </c>
      <c r="K121" s="164"/>
      <c r="L121" s="102">
        <v>2</v>
      </c>
      <c r="M121" s="185">
        <v>16</v>
      </c>
      <c r="N121" s="186">
        <v>272</v>
      </c>
      <c r="O121" s="63" t="str">
        <f t="shared" si="5"/>
        <v>0x10</v>
      </c>
      <c r="P121" s="160"/>
      <c r="Q121" s="160"/>
      <c r="R121" s="160"/>
      <c r="S121" s="160"/>
      <c r="T121" s="280" t="s">
        <v>575</v>
      </c>
      <c r="U121" s="164"/>
      <c r="V121" s="283"/>
    </row>
    <row r="122" spans="2:22" x14ac:dyDescent="0.3">
      <c r="B122" s="282"/>
      <c r="C122" s="166">
        <v>17</v>
      </c>
      <c r="D122" s="167">
        <v>273</v>
      </c>
      <c r="E122" s="72" t="str">
        <f t="shared" si="4"/>
        <v>0x11</v>
      </c>
      <c r="F122" s="168"/>
      <c r="G122" s="169"/>
      <c r="H122" s="168"/>
      <c r="I122" s="169"/>
      <c r="J122" s="279" t="s">
        <v>574</v>
      </c>
      <c r="K122" s="170"/>
      <c r="L122" s="60"/>
      <c r="M122" s="166">
        <v>17</v>
      </c>
      <c r="N122" s="167">
        <v>273</v>
      </c>
      <c r="O122" s="72" t="str">
        <f t="shared" si="5"/>
        <v>0x11</v>
      </c>
      <c r="P122" s="168"/>
      <c r="Q122" s="168"/>
      <c r="R122" s="168"/>
      <c r="S122" s="168"/>
      <c r="T122" s="279" t="s">
        <v>575</v>
      </c>
      <c r="U122" s="170"/>
      <c r="V122" s="283"/>
    </row>
    <row r="123" spans="2:22" x14ac:dyDescent="0.3">
      <c r="B123" s="282"/>
      <c r="C123" s="166">
        <v>18</v>
      </c>
      <c r="D123" s="167">
        <v>274</v>
      </c>
      <c r="E123" s="72" t="str">
        <f t="shared" si="4"/>
        <v>0x12</v>
      </c>
      <c r="F123" s="168"/>
      <c r="G123" s="169"/>
      <c r="H123" s="168"/>
      <c r="I123" s="169"/>
      <c r="J123" s="279" t="s">
        <v>574</v>
      </c>
      <c r="K123" s="170"/>
      <c r="L123" s="60"/>
      <c r="M123" s="166">
        <v>18</v>
      </c>
      <c r="N123" s="167">
        <v>274</v>
      </c>
      <c r="O123" s="72" t="str">
        <f t="shared" si="5"/>
        <v>0x12</v>
      </c>
      <c r="P123" s="168"/>
      <c r="Q123" s="168"/>
      <c r="R123" s="168"/>
      <c r="S123" s="168"/>
      <c r="T123" s="279" t="s">
        <v>575</v>
      </c>
      <c r="U123" s="170"/>
      <c r="V123" s="283"/>
    </row>
    <row r="124" spans="2:22" x14ac:dyDescent="0.3">
      <c r="B124" s="282"/>
      <c r="C124" s="166">
        <v>19</v>
      </c>
      <c r="D124" s="167">
        <v>275</v>
      </c>
      <c r="E124" s="72" t="str">
        <f t="shared" si="4"/>
        <v>0x13</v>
      </c>
      <c r="F124" s="168"/>
      <c r="G124" s="169"/>
      <c r="H124" s="168"/>
      <c r="I124" s="169"/>
      <c r="J124" s="279" t="s">
        <v>574</v>
      </c>
      <c r="K124" s="170"/>
      <c r="L124" s="60"/>
      <c r="M124" s="166">
        <v>19</v>
      </c>
      <c r="N124" s="167">
        <v>275</v>
      </c>
      <c r="O124" s="72" t="str">
        <f t="shared" si="5"/>
        <v>0x13</v>
      </c>
      <c r="P124" s="168"/>
      <c r="Q124" s="168"/>
      <c r="R124" s="168"/>
      <c r="S124" s="168"/>
      <c r="T124" s="279" t="s">
        <v>575</v>
      </c>
      <c r="U124" s="170"/>
      <c r="V124" s="283"/>
    </row>
    <row r="125" spans="2:22" x14ac:dyDescent="0.3">
      <c r="B125" s="282"/>
      <c r="C125" s="166">
        <v>20</v>
      </c>
      <c r="D125" s="167">
        <v>276</v>
      </c>
      <c r="E125" s="72" t="str">
        <f t="shared" si="4"/>
        <v>0x14</v>
      </c>
      <c r="F125" s="168"/>
      <c r="G125" s="169"/>
      <c r="H125" s="168"/>
      <c r="I125" s="169"/>
      <c r="J125" s="279" t="s">
        <v>574</v>
      </c>
      <c r="K125" s="170"/>
      <c r="L125" s="60"/>
      <c r="M125" s="166">
        <v>20</v>
      </c>
      <c r="N125" s="167">
        <v>276</v>
      </c>
      <c r="O125" s="72" t="str">
        <f t="shared" si="5"/>
        <v>0x14</v>
      </c>
      <c r="P125" s="168"/>
      <c r="Q125" s="168"/>
      <c r="R125" s="168"/>
      <c r="S125" s="168"/>
      <c r="T125" s="279" t="s">
        <v>575</v>
      </c>
      <c r="U125" s="170"/>
      <c r="V125" s="283"/>
    </row>
    <row r="126" spans="2:22" x14ac:dyDescent="0.3">
      <c r="B126" s="282"/>
      <c r="C126" s="166">
        <v>21</v>
      </c>
      <c r="D126" s="167">
        <v>277</v>
      </c>
      <c r="E126" s="72" t="str">
        <f t="shared" si="4"/>
        <v>0x15</v>
      </c>
      <c r="F126" s="168"/>
      <c r="G126" s="169"/>
      <c r="H126" s="168"/>
      <c r="I126" s="169"/>
      <c r="J126" s="279" t="s">
        <v>574</v>
      </c>
      <c r="K126" s="170"/>
      <c r="L126" s="60"/>
      <c r="M126" s="166">
        <v>21</v>
      </c>
      <c r="N126" s="167">
        <v>277</v>
      </c>
      <c r="O126" s="72" t="str">
        <f t="shared" si="5"/>
        <v>0x15</v>
      </c>
      <c r="P126" s="168"/>
      <c r="Q126" s="168"/>
      <c r="R126" s="168"/>
      <c r="S126" s="168"/>
      <c r="T126" s="279" t="s">
        <v>575</v>
      </c>
      <c r="U126" s="170"/>
      <c r="V126" s="283"/>
    </row>
    <row r="127" spans="2:22" x14ac:dyDescent="0.3">
      <c r="B127" s="282"/>
      <c r="C127" s="166">
        <v>22</v>
      </c>
      <c r="D127" s="167">
        <v>278</v>
      </c>
      <c r="E127" s="72" t="str">
        <f t="shared" si="4"/>
        <v>0x16</v>
      </c>
      <c r="F127" s="168"/>
      <c r="G127" s="169"/>
      <c r="H127" s="168"/>
      <c r="I127" s="169"/>
      <c r="J127" s="279" t="s">
        <v>574</v>
      </c>
      <c r="K127" s="170"/>
      <c r="L127" s="60"/>
      <c r="M127" s="166">
        <v>22</v>
      </c>
      <c r="N127" s="167">
        <v>278</v>
      </c>
      <c r="O127" s="72" t="str">
        <f t="shared" si="5"/>
        <v>0x16</v>
      </c>
      <c r="P127" s="168"/>
      <c r="Q127" s="168"/>
      <c r="R127" s="168"/>
      <c r="S127" s="168"/>
      <c r="T127" s="279" t="s">
        <v>575</v>
      </c>
      <c r="U127" s="170"/>
      <c r="V127" s="283"/>
    </row>
    <row r="128" spans="2:22" x14ac:dyDescent="0.3">
      <c r="B128" s="282"/>
      <c r="C128" s="166">
        <v>23</v>
      </c>
      <c r="D128" s="167">
        <v>279</v>
      </c>
      <c r="E128" s="72" t="str">
        <f t="shared" si="4"/>
        <v>0x17</v>
      </c>
      <c r="F128" s="168"/>
      <c r="G128" s="169"/>
      <c r="H128" s="168"/>
      <c r="I128" s="169"/>
      <c r="J128" s="279" t="s">
        <v>574</v>
      </c>
      <c r="K128" s="170"/>
      <c r="L128" s="60"/>
      <c r="M128" s="166">
        <v>23</v>
      </c>
      <c r="N128" s="167">
        <v>279</v>
      </c>
      <c r="O128" s="72" t="str">
        <f t="shared" si="5"/>
        <v>0x17</v>
      </c>
      <c r="P128" s="168"/>
      <c r="Q128" s="168"/>
      <c r="R128" s="168"/>
      <c r="S128" s="168"/>
      <c r="T128" s="279" t="s">
        <v>575</v>
      </c>
      <c r="U128" s="170"/>
      <c r="V128" s="283"/>
    </row>
    <row r="129" spans="2:22" x14ac:dyDescent="0.3">
      <c r="B129" s="282"/>
      <c r="C129" s="166">
        <v>24</v>
      </c>
      <c r="D129" s="167">
        <v>280</v>
      </c>
      <c r="E129" s="72" t="str">
        <f t="shared" si="4"/>
        <v>0x18</v>
      </c>
      <c r="F129" s="168"/>
      <c r="G129" s="169"/>
      <c r="H129" s="168"/>
      <c r="I129" s="169"/>
      <c r="J129" s="279" t="s">
        <v>574</v>
      </c>
      <c r="K129" s="170"/>
      <c r="L129" s="60"/>
      <c r="M129" s="166">
        <v>24</v>
      </c>
      <c r="N129" s="167">
        <v>280</v>
      </c>
      <c r="O129" s="72" t="str">
        <f t="shared" si="5"/>
        <v>0x18</v>
      </c>
      <c r="P129" s="168"/>
      <c r="Q129" s="168"/>
      <c r="R129" s="168"/>
      <c r="S129" s="168"/>
      <c r="T129" s="279" t="s">
        <v>575</v>
      </c>
      <c r="U129" s="170"/>
      <c r="V129" s="283"/>
    </row>
    <row r="130" spans="2:22" x14ac:dyDescent="0.3">
      <c r="B130" s="282"/>
      <c r="C130" s="166">
        <v>25</v>
      </c>
      <c r="D130" s="167">
        <v>281</v>
      </c>
      <c r="E130" s="72" t="str">
        <f t="shared" si="4"/>
        <v>0x19</v>
      </c>
      <c r="F130" s="168"/>
      <c r="G130" s="169"/>
      <c r="H130" s="168"/>
      <c r="I130" s="169"/>
      <c r="J130" s="279" t="s">
        <v>574</v>
      </c>
      <c r="K130" s="170"/>
      <c r="L130" s="60"/>
      <c r="M130" s="166">
        <v>25</v>
      </c>
      <c r="N130" s="167">
        <v>281</v>
      </c>
      <c r="O130" s="72" t="str">
        <f t="shared" si="5"/>
        <v>0x19</v>
      </c>
      <c r="P130" s="168"/>
      <c r="Q130" s="168"/>
      <c r="R130" s="168"/>
      <c r="S130" s="168"/>
      <c r="T130" s="279" t="s">
        <v>575</v>
      </c>
      <c r="U130" s="170"/>
      <c r="V130" s="283"/>
    </row>
    <row r="131" spans="2:22" x14ac:dyDescent="0.3">
      <c r="B131" s="282"/>
      <c r="C131" s="166">
        <v>26</v>
      </c>
      <c r="D131" s="167">
        <v>282</v>
      </c>
      <c r="E131" s="72" t="str">
        <f t="shared" si="4"/>
        <v>0x1A</v>
      </c>
      <c r="F131" s="168"/>
      <c r="G131" s="169"/>
      <c r="H131" s="168"/>
      <c r="I131" s="169"/>
      <c r="J131" s="279" t="s">
        <v>574</v>
      </c>
      <c r="K131" s="170"/>
      <c r="L131" s="60"/>
      <c r="M131" s="166">
        <v>26</v>
      </c>
      <c r="N131" s="167">
        <v>282</v>
      </c>
      <c r="O131" s="72" t="str">
        <f t="shared" si="5"/>
        <v>0x1A</v>
      </c>
      <c r="P131" s="168"/>
      <c r="Q131" s="168"/>
      <c r="R131" s="168"/>
      <c r="S131" s="168"/>
      <c r="T131" s="279" t="s">
        <v>575</v>
      </c>
      <c r="U131" s="170"/>
      <c r="V131" s="283"/>
    </row>
    <row r="132" spans="2:22" x14ac:dyDescent="0.3">
      <c r="B132" s="282"/>
      <c r="C132" s="166">
        <v>27</v>
      </c>
      <c r="D132" s="167">
        <v>283</v>
      </c>
      <c r="E132" s="72" t="str">
        <f t="shared" si="4"/>
        <v>0x1B</v>
      </c>
      <c r="F132" s="168"/>
      <c r="G132" s="169"/>
      <c r="H132" s="168"/>
      <c r="I132" s="169"/>
      <c r="J132" s="279" t="s">
        <v>574</v>
      </c>
      <c r="K132" s="170"/>
      <c r="L132" s="60"/>
      <c r="M132" s="166">
        <v>27</v>
      </c>
      <c r="N132" s="167">
        <v>283</v>
      </c>
      <c r="O132" s="72" t="str">
        <f t="shared" si="5"/>
        <v>0x1B</v>
      </c>
      <c r="P132" s="168"/>
      <c r="Q132" s="168"/>
      <c r="R132" s="168"/>
      <c r="S132" s="168"/>
      <c r="T132" s="279" t="s">
        <v>575</v>
      </c>
      <c r="U132" s="170"/>
      <c r="V132" s="283"/>
    </row>
    <row r="133" spans="2:22" x14ac:dyDescent="0.3">
      <c r="B133" s="282"/>
      <c r="C133" s="166">
        <v>28</v>
      </c>
      <c r="D133" s="167">
        <v>284</v>
      </c>
      <c r="E133" s="72" t="str">
        <f t="shared" si="4"/>
        <v>0x1C</v>
      </c>
      <c r="F133" s="168"/>
      <c r="G133" s="169"/>
      <c r="H133" s="168"/>
      <c r="I133" s="169"/>
      <c r="J133" s="279" t="s">
        <v>574</v>
      </c>
      <c r="K133" s="170"/>
      <c r="L133" s="60"/>
      <c r="M133" s="166">
        <v>28</v>
      </c>
      <c r="N133" s="167">
        <v>284</v>
      </c>
      <c r="O133" s="72" t="str">
        <f t="shared" si="5"/>
        <v>0x1C</v>
      </c>
      <c r="P133" s="168"/>
      <c r="Q133" s="168"/>
      <c r="R133" s="168"/>
      <c r="S133" s="168"/>
      <c r="T133" s="279" t="s">
        <v>575</v>
      </c>
      <c r="U133" s="170"/>
      <c r="V133" s="283"/>
    </row>
    <row r="134" spans="2:22" x14ac:dyDescent="0.3">
      <c r="B134" s="282"/>
      <c r="C134" s="166">
        <v>29</v>
      </c>
      <c r="D134" s="167">
        <v>285</v>
      </c>
      <c r="E134" s="72" t="str">
        <f t="shared" si="4"/>
        <v>0x1D</v>
      </c>
      <c r="F134" s="168"/>
      <c r="G134" s="169"/>
      <c r="H134" s="168"/>
      <c r="I134" s="169"/>
      <c r="J134" s="279" t="s">
        <v>574</v>
      </c>
      <c r="K134" s="170"/>
      <c r="L134" s="60"/>
      <c r="M134" s="166">
        <v>29</v>
      </c>
      <c r="N134" s="167">
        <v>285</v>
      </c>
      <c r="O134" s="72" t="str">
        <f t="shared" si="5"/>
        <v>0x1D</v>
      </c>
      <c r="P134" s="168"/>
      <c r="Q134" s="168"/>
      <c r="R134" s="168"/>
      <c r="S134" s="168"/>
      <c r="T134" s="279" t="s">
        <v>575</v>
      </c>
      <c r="U134" s="170"/>
      <c r="V134" s="283"/>
    </row>
    <row r="135" spans="2:22" x14ac:dyDescent="0.3">
      <c r="B135" s="282"/>
      <c r="C135" s="166">
        <v>30</v>
      </c>
      <c r="D135" s="167">
        <v>286</v>
      </c>
      <c r="E135" s="72" t="str">
        <f t="shared" si="4"/>
        <v>0x1E</v>
      </c>
      <c r="F135" s="168"/>
      <c r="G135" s="169"/>
      <c r="H135" s="168"/>
      <c r="I135" s="169"/>
      <c r="J135" s="279" t="s">
        <v>574</v>
      </c>
      <c r="K135" s="170"/>
      <c r="L135" s="60"/>
      <c r="M135" s="166">
        <v>30</v>
      </c>
      <c r="N135" s="167">
        <v>286</v>
      </c>
      <c r="O135" s="72" t="str">
        <f t="shared" si="5"/>
        <v>0x1E</v>
      </c>
      <c r="P135" s="168"/>
      <c r="Q135" s="168"/>
      <c r="R135" s="168"/>
      <c r="S135" s="168"/>
      <c r="T135" s="279" t="s">
        <v>575</v>
      </c>
      <c r="U135" s="176"/>
      <c r="V135" s="283"/>
    </row>
    <row r="136" spans="2:22" ht="17.5" thickBot="1" x14ac:dyDescent="0.35">
      <c r="B136" s="282"/>
      <c r="C136" s="178">
        <v>31</v>
      </c>
      <c r="D136" s="179">
        <v>287</v>
      </c>
      <c r="E136" s="91" t="str">
        <f t="shared" si="4"/>
        <v>0x1F</v>
      </c>
      <c r="F136" s="180"/>
      <c r="G136" s="181"/>
      <c r="H136" s="180"/>
      <c r="I136" s="181"/>
      <c r="J136" s="284" t="s">
        <v>574</v>
      </c>
      <c r="K136" s="190"/>
      <c r="L136" s="98"/>
      <c r="M136" s="178">
        <v>31</v>
      </c>
      <c r="N136" s="179">
        <v>287</v>
      </c>
      <c r="O136" s="91" t="str">
        <f t="shared" si="5"/>
        <v>0x1F</v>
      </c>
      <c r="P136" s="180"/>
      <c r="Q136" s="180"/>
      <c r="R136" s="180"/>
      <c r="S136" s="180"/>
      <c r="T136" s="284" t="s">
        <v>575</v>
      </c>
      <c r="U136" s="184"/>
      <c r="V136" s="283"/>
    </row>
    <row r="137" spans="2:22" ht="17.25" customHeight="1" thickTop="1" x14ac:dyDescent="0.3">
      <c r="B137" s="282"/>
      <c r="C137" s="185">
        <v>32</v>
      </c>
      <c r="D137" s="186">
        <v>288</v>
      </c>
      <c r="E137" s="72" t="str">
        <f t="shared" si="4"/>
        <v>0x20</v>
      </c>
      <c r="F137" s="160"/>
      <c r="G137" s="161"/>
      <c r="H137" s="160"/>
      <c r="I137" s="161"/>
      <c r="J137" s="280" t="s">
        <v>574</v>
      </c>
      <c r="K137" s="164"/>
      <c r="L137" s="102">
        <v>3</v>
      </c>
      <c r="M137" s="185">
        <v>32</v>
      </c>
      <c r="N137" s="186">
        <v>288</v>
      </c>
      <c r="O137" s="72" t="str">
        <f t="shared" si="5"/>
        <v>0x20</v>
      </c>
      <c r="P137" s="160"/>
      <c r="Q137" s="160"/>
      <c r="R137" s="160"/>
      <c r="S137" s="160"/>
      <c r="T137" s="280" t="s">
        <v>575</v>
      </c>
      <c r="U137" s="164"/>
      <c r="V137" s="283"/>
    </row>
    <row r="138" spans="2:22" ht="16.5" customHeight="1" x14ac:dyDescent="0.3">
      <c r="B138" s="282"/>
      <c r="C138" s="166">
        <v>33</v>
      </c>
      <c r="D138" s="167">
        <v>289</v>
      </c>
      <c r="E138" s="72" t="str">
        <f t="shared" si="4"/>
        <v>0x21</v>
      </c>
      <c r="F138" s="168"/>
      <c r="G138" s="169"/>
      <c r="H138" s="168"/>
      <c r="I138" s="169"/>
      <c r="J138" s="279" t="s">
        <v>574</v>
      </c>
      <c r="K138" s="170"/>
      <c r="L138" s="60"/>
      <c r="M138" s="166">
        <v>33</v>
      </c>
      <c r="N138" s="167">
        <v>289</v>
      </c>
      <c r="O138" s="72" t="str">
        <f t="shared" si="5"/>
        <v>0x21</v>
      </c>
      <c r="P138" s="168"/>
      <c r="Q138" s="168"/>
      <c r="R138" s="168"/>
      <c r="S138" s="168"/>
      <c r="T138" s="279" t="s">
        <v>575</v>
      </c>
      <c r="U138" s="170"/>
      <c r="V138" s="283"/>
    </row>
    <row r="139" spans="2:22" ht="16.5" customHeight="1" x14ac:dyDescent="0.3">
      <c r="B139" s="282"/>
      <c r="C139" s="166">
        <v>34</v>
      </c>
      <c r="D139" s="167">
        <v>290</v>
      </c>
      <c r="E139" s="72" t="str">
        <f t="shared" si="4"/>
        <v>0x22</v>
      </c>
      <c r="F139" s="168"/>
      <c r="G139" s="169"/>
      <c r="H139" s="168"/>
      <c r="I139" s="169"/>
      <c r="J139" s="279" t="s">
        <v>574</v>
      </c>
      <c r="K139" s="170"/>
      <c r="L139" s="60"/>
      <c r="M139" s="166">
        <v>34</v>
      </c>
      <c r="N139" s="167">
        <v>290</v>
      </c>
      <c r="O139" s="72" t="str">
        <f t="shared" si="5"/>
        <v>0x22</v>
      </c>
      <c r="P139" s="168"/>
      <c r="Q139" s="168"/>
      <c r="R139" s="168"/>
      <c r="S139" s="168"/>
      <c r="T139" s="279" t="s">
        <v>575</v>
      </c>
      <c r="U139" s="170"/>
      <c r="V139" s="283"/>
    </row>
    <row r="140" spans="2:22" ht="16.5" customHeight="1" x14ac:dyDescent="0.3">
      <c r="B140" s="282"/>
      <c r="C140" s="166">
        <v>35</v>
      </c>
      <c r="D140" s="167">
        <v>291</v>
      </c>
      <c r="E140" s="72" t="str">
        <f t="shared" si="4"/>
        <v>0x23</v>
      </c>
      <c r="F140" s="168"/>
      <c r="G140" s="169"/>
      <c r="H140" s="168"/>
      <c r="I140" s="169"/>
      <c r="J140" s="279" t="s">
        <v>574</v>
      </c>
      <c r="K140" s="170"/>
      <c r="L140" s="60"/>
      <c r="M140" s="166">
        <v>35</v>
      </c>
      <c r="N140" s="167">
        <v>291</v>
      </c>
      <c r="O140" s="72" t="str">
        <f t="shared" si="5"/>
        <v>0x23</v>
      </c>
      <c r="P140" s="168"/>
      <c r="Q140" s="168"/>
      <c r="R140" s="168"/>
      <c r="S140" s="168"/>
      <c r="T140" s="279" t="s">
        <v>575</v>
      </c>
      <c r="U140" s="170"/>
      <c r="V140" s="283"/>
    </row>
    <row r="141" spans="2:22" ht="16.5" customHeight="1" x14ac:dyDescent="0.3">
      <c r="B141" s="282"/>
      <c r="C141" s="166">
        <v>36</v>
      </c>
      <c r="D141" s="167">
        <v>292</v>
      </c>
      <c r="E141" s="72" t="str">
        <f t="shared" si="4"/>
        <v>0x24</v>
      </c>
      <c r="F141" s="168"/>
      <c r="G141" s="169"/>
      <c r="H141" s="168"/>
      <c r="I141" s="169"/>
      <c r="J141" s="279" t="s">
        <v>574</v>
      </c>
      <c r="K141" s="170"/>
      <c r="L141" s="60"/>
      <c r="M141" s="166">
        <v>36</v>
      </c>
      <c r="N141" s="167">
        <v>292</v>
      </c>
      <c r="O141" s="72" t="str">
        <f t="shared" si="5"/>
        <v>0x24</v>
      </c>
      <c r="P141" s="168"/>
      <c r="Q141" s="168"/>
      <c r="R141" s="168"/>
      <c r="S141" s="168"/>
      <c r="T141" s="279" t="s">
        <v>575</v>
      </c>
      <c r="U141" s="170"/>
      <c r="V141" s="283"/>
    </row>
    <row r="142" spans="2:22" ht="16.5" customHeight="1" x14ac:dyDescent="0.3">
      <c r="B142" s="282"/>
      <c r="C142" s="166">
        <v>37</v>
      </c>
      <c r="D142" s="167">
        <v>293</v>
      </c>
      <c r="E142" s="72" t="str">
        <f t="shared" si="4"/>
        <v>0x25</v>
      </c>
      <c r="F142" s="168"/>
      <c r="G142" s="169"/>
      <c r="H142" s="168"/>
      <c r="I142" s="169"/>
      <c r="J142" s="279" t="s">
        <v>574</v>
      </c>
      <c r="K142" s="170"/>
      <c r="L142" s="60"/>
      <c r="M142" s="166">
        <v>37</v>
      </c>
      <c r="N142" s="167">
        <v>293</v>
      </c>
      <c r="O142" s="72" t="str">
        <f t="shared" si="5"/>
        <v>0x25</v>
      </c>
      <c r="P142" s="168"/>
      <c r="Q142" s="168"/>
      <c r="R142" s="168"/>
      <c r="S142" s="168"/>
      <c r="T142" s="279" t="s">
        <v>575</v>
      </c>
      <c r="U142" s="170"/>
      <c r="V142" s="283"/>
    </row>
    <row r="143" spans="2:22" ht="16.5" customHeight="1" x14ac:dyDescent="0.3">
      <c r="B143" s="282"/>
      <c r="C143" s="166">
        <v>38</v>
      </c>
      <c r="D143" s="167">
        <v>294</v>
      </c>
      <c r="E143" s="72" t="str">
        <f t="shared" si="4"/>
        <v>0x26</v>
      </c>
      <c r="F143" s="168"/>
      <c r="G143" s="169"/>
      <c r="H143" s="168"/>
      <c r="I143" s="169"/>
      <c r="J143" s="279" t="s">
        <v>574</v>
      </c>
      <c r="K143" s="170"/>
      <c r="L143" s="60"/>
      <c r="M143" s="166">
        <v>38</v>
      </c>
      <c r="N143" s="167">
        <v>294</v>
      </c>
      <c r="O143" s="72" t="str">
        <f t="shared" si="5"/>
        <v>0x26</v>
      </c>
      <c r="P143" s="168"/>
      <c r="Q143" s="168"/>
      <c r="R143" s="168"/>
      <c r="S143" s="168"/>
      <c r="T143" s="279" t="s">
        <v>575</v>
      </c>
      <c r="U143" s="170"/>
      <c r="V143" s="283"/>
    </row>
    <row r="144" spans="2:22" ht="16.5" customHeight="1" x14ac:dyDescent="0.3">
      <c r="B144" s="282"/>
      <c r="C144" s="166">
        <v>39</v>
      </c>
      <c r="D144" s="167">
        <v>295</v>
      </c>
      <c r="E144" s="72" t="str">
        <f t="shared" si="4"/>
        <v>0x27</v>
      </c>
      <c r="F144" s="168"/>
      <c r="G144" s="169"/>
      <c r="H144" s="168"/>
      <c r="I144" s="169"/>
      <c r="J144" s="279" t="s">
        <v>574</v>
      </c>
      <c r="K144" s="170"/>
      <c r="L144" s="60"/>
      <c r="M144" s="166">
        <v>39</v>
      </c>
      <c r="N144" s="167">
        <v>295</v>
      </c>
      <c r="O144" s="72" t="str">
        <f t="shared" si="5"/>
        <v>0x27</v>
      </c>
      <c r="P144" s="168"/>
      <c r="Q144" s="168"/>
      <c r="R144" s="168"/>
      <c r="S144" s="168"/>
      <c r="T144" s="279" t="s">
        <v>575</v>
      </c>
      <c r="U144" s="170"/>
      <c r="V144" s="283"/>
    </row>
    <row r="145" spans="2:22" ht="16.5" customHeight="1" x14ac:dyDescent="0.3">
      <c r="B145" s="282"/>
      <c r="C145" s="166">
        <v>40</v>
      </c>
      <c r="D145" s="167">
        <v>296</v>
      </c>
      <c r="E145" s="72" t="str">
        <f t="shared" si="4"/>
        <v>0x28</v>
      </c>
      <c r="F145" s="168"/>
      <c r="G145" s="169"/>
      <c r="H145" s="168"/>
      <c r="I145" s="169"/>
      <c r="J145" s="279" t="s">
        <v>574</v>
      </c>
      <c r="K145" s="170"/>
      <c r="L145" s="60"/>
      <c r="M145" s="166">
        <v>40</v>
      </c>
      <c r="N145" s="167">
        <v>296</v>
      </c>
      <c r="O145" s="72" t="str">
        <f t="shared" si="5"/>
        <v>0x28</v>
      </c>
      <c r="P145" s="168"/>
      <c r="Q145" s="168"/>
      <c r="R145" s="168"/>
      <c r="S145" s="168"/>
      <c r="T145" s="279" t="s">
        <v>575</v>
      </c>
      <c r="U145" s="170"/>
      <c r="V145" s="283"/>
    </row>
    <row r="146" spans="2:22" ht="16.5" customHeight="1" x14ac:dyDescent="0.3">
      <c r="B146" s="282"/>
      <c r="C146" s="166">
        <v>41</v>
      </c>
      <c r="D146" s="167">
        <v>297</v>
      </c>
      <c r="E146" s="72" t="str">
        <f t="shared" si="4"/>
        <v>0x29</v>
      </c>
      <c r="F146" s="168"/>
      <c r="G146" s="169"/>
      <c r="H146" s="168"/>
      <c r="I146" s="169"/>
      <c r="J146" s="279" t="s">
        <v>574</v>
      </c>
      <c r="K146" s="170"/>
      <c r="L146" s="60"/>
      <c r="M146" s="166">
        <v>41</v>
      </c>
      <c r="N146" s="167">
        <v>297</v>
      </c>
      <c r="O146" s="72" t="str">
        <f t="shared" si="5"/>
        <v>0x29</v>
      </c>
      <c r="P146" s="168"/>
      <c r="Q146" s="168"/>
      <c r="R146" s="168"/>
      <c r="S146" s="168"/>
      <c r="T146" s="279" t="s">
        <v>575</v>
      </c>
      <c r="U146" s="170"/>
      <c r="V146" s="283"/>
    </row>
    <row r="147" spans="2:22" ht="16.5" customHeight="1" x14ac:dyDescent="0.3">
      <c r="B147" s="282"/>
      <c r="C147" s="166">
        <v>42</v>
      </c>
      <c r="D147" s="167">
        <v>298</v>
      </c>
      <c r="E147" s="72" t="str">
        <f t="shared" si="4"/>
        <v>0x2A</v>
      </c>
      <c r="F147" s="168"/>
      <c r="G147" s="169"/>
      <c r="H147" s="168"/>
      <c r="I147" s="169"/>
      <c r="J147" s="279" t="s">
        <v>574</v>
      </c>
      <c r="K147" s="170"/>
      <c r="L147" s="60"/>
      <c r="M147" s="166">
        <v>42</v>
      </c>
      <c r="N147" s="167">
        <v>298</v>
      </c>
      <c r="O147" s="72" t="str">
        <f t="shared" si="5"/>
        <v>0x2A</v>
      </c>
      <c r="P147" s="168"/>
      <c r="Q147" s="168"/>
      <c r="R147" s="168"/>
      <c r="S147" s="168"/>
      <c r="T147" s="279" t="s">
        <v>575</v>
      </c>
      <c r="U147" s="170"/>
      <c r="V147" s="283"/>
    </row>
    <row r="148" spans="2:22" ht="16.5" customHeight="1" x14ac:dyDescent="0.3">
      <c r="B148" s="282"/>
      <c r="C148" s="166">
        <v>43</v>
      </c>
      <c r="D148" s="167">
        <v>299</v>
      </c>
      <c r="E148" s="72" t="str">
        <f t="shared" si="4"/>
        <v>0x2B</v>
      </c>
      <c r="F148" s="168"/>
      <c r="G148" s="169"/>
      <c r="H148" s="168"/>
      <c r="I148" s="169"/>
      <c r="J148" s="279" t="s">
        <v>574</v>
      </c>
      <c r="K148" s="170"/>
      <c r="L148" s="60"/>
      <c r="M148" s="166">
        <v>43</v>
      </c>
      <c r="N148" s="167">
        <v>299</v>
      </c>
      <c r="O148" s="72" t="str">
        <f t="shared" si="5"/>
        <v>0x2B</v>
      </c>
      <c r="P148" s="168"/>
      <c r="Q148" s="168"/>
      <c r="R148" s="168"/>
      <c r="S148" s="168"/>
      <c r="T148" s="279" t="s">
        <v>575</v>
      </c>
      <c r="U148" s="170"/>
      <c r="V148" s="283"/>
    </row>
    <row r="149" spans="2:22" ht="16.5" customHeight="1" x14ac:dyDescent="0.3">
      <c r="B149" s="282"/>
      <c r="C149" s="166">
        <v>44</v>
      </c>
      <c r="D149" s="167">
        <v>300</v>
      </c>
      <c r="E149" s="72" t="str">
        <f t="shared" si="4"/>
        <v>0x2C</v>
      </c>
      <c r="F149" s="168"/>
      <c r="G149" s="169"/>
      <c r="H149" s="168"/>
      <c r="I149" s="169"/>
      <c r="J149" s="279" t="s">
        <v>574</v>
      </c>
      <c r="K149" s="170"/>
      <c r="L149" s="60"/>
      <c r="M149" s="166">
        <v>44</v>
      </c>
      <c r="N149" s="167">
        <v>300</v>
      </c>
      <c r="O149" s="72" t="str">
        <f t="shared" si="5"/>
        <v>0x2C</v>
      </c>
      <c r="P149" s="168"/>
      <c r="Q149" s="168"/>
      <c r="R149" s="168"/>
      <c r="S149" s="168"/>
      <c r="T149" s="279" t="s">
        <v>575</v>
      </c>
      <c r="U149" s="170"/>
      <c r="V149" s="283"/>
    </row>
    <row r="150" spans="2:22" ht="16.5" customHeight="1" x14ac:dyDescent="0.3">
      <c r="B150" s="282"/>
      <c r="C150" s="166">
        <v>45</v>
      </c>
      <c r="D150" s="167">
        <v>301</v>
      </c>
      <c r="E150" s="72" t="str">
        <f t="shared" si="4"/>
        <v>0x2D</v>
      </c>
      <c r="F150" s="168"/>
      <c r="G150" s="169"/>
      <c r="H150" s="168"/>
      <c r="I150" s="169"/>
      <c r="J150" s="279" t="s">
        <v>574</v>
      </c>
      <c r="K150" s="170"/>
      <c r="L150" s="60"/>
      <c r="M150" s="166">
        <v>45</v>
      </c>
      <c r="N150" s="167">
        <v>301</v>
      </c>
      <c r="O150" s="72" t="str">
        <f t="shared" si="5"/>
        <v>0x2D</v>
      </c>
      <c r="P150" s="168"/>
      <c r="Q150" s="168"/>
      <c r="R150" s="168"/>
      <c r="S150" s="168"/>
      <c r="T150" s="279" t="s">
        <v>575</v>
      </c>
      <c r="U150" s="170"/>
      <c r="V150" s="283"/>
    </row>
    <row r="151" spans="2:22" ht="16.5" customHeight="1" x14ac:dyDescent="0.3">
      <c r="B151" s="282"/>
      <c r="C151" s="166">
        <v>46</v>
      </c>
      <c r="D151" s="167">
        <v>302</v>
      </c>
      <c r="E151" s="72" t="str">
        <f t="shared" si="4"/>
        <v>0x2E</v>
      </c>
      <c r="F151" s="168"/>
      <c r="G151" s="169"/>
      <c r="H151" s="168"/>
      <c r="I151" s="169"/>
      <c r="J151" s="279" t="s">
        <v>574</v>
      </c>
      <c r="K151" s="170"/>
      <c r="L151" s="60"/>
      <c r="M151" s="166">
        <v>46</v>
      </c>
      <c r="N151" s="167">
        <v>302</v>
      </c>
      <c r="O151" s="72" t="str">
        <f t="shared" si="5"/>
        <v>0x2E</v>
      </c>
      <c r="P151" s="168"/>
      <c r="Q151" s="168"/>
      <c r="R151" s="168"/>
      <c r="S151" s="168"/>
      <c r="T151" s="279" t="s">
        <v>575</v>
      </c>
      <c r="U151" s="176"/>
      <c r="V151" s="283"/>
    </row>
    <row r="152" spans="2:22" ht="17.25" customHeight="1" thickBot="1" x14ac:dyDescent="0.35">
      <c r="B152" s="282"/>
      <c r="C152" s="178">
        <v>47</v>
      </c>
      <c r="D152" s="179">
        <v>303</v>
      </c>
      <c r="E152" s="91" t="str">
        <f t="shared" si="4"/>
        <v>0x2F</v>
      </c>
      <c r="F152" s="180"/>
      <c r="G152" s="181"/>
      <c r="H152" s="180"/>
      <c r="I152" s="181"/>
      <c r="J152" s="284" t="s">
        <v>574</v>
      </c>
      <c r="K152" s="190"/>
      <c r="L152" s="98"/>
      <c r="M152" s="178">
        <v>47</v>
      </c>
      <c r="N152" s="179">
        <v>303</v>
      </c>
      <c r="O152" s="91" t="str">
        <f t="shared" si="5"/>
        <v>0x2F</v>
      </c>
      <c r="P152" s="180"/>
      <c r="Q152" s="180"/>
      <c r="R152" s="180"/>
      <c r="S152" s="180"/>
      <c r="T152" s="284" t="s">
        <v>575</v>
      </c>
      <c r="U152" s="184"/>
      <c r="V152" s="283"/>
    </row>
    <row r="153" spans="2:22" ht="17.25" customHeight="1" thickTop="1" x14ac:dyDescent="0.3">
      <c r="B153" s="282"/>
      <c r="C153" s="185">
        <v>48</v>
      </c>
      <c r="D153" s="186">
        <v>304</v>
      </c>
      <c r="E153" s="72" t="str">
        <f t="shared" si="4"/>
        <v>0x30</v>
      </c>
      <c r="F153" s="160"/>
      <c r="G153" s="161"/>
      <c r="H153" s="160"/>
      <c r="I153" s="161"/>
      <c r="J153" s="280" t="s">
        <v>574</v>
      </c>
      <c r="K153" s="164"/>
      <c r="L153" s="102">
        <v>4</v>
      </c>
      <c r="M153" s="185">
        <v>48</v>
      </c>
      <c r="N153" s="186">
        <v>304</v>
      </c>
      <c r="O153" s="72" t="str">
        <f t="shared" si="5"/>
        <v>0x30</v>
      </c>
      <c r="P153" s="160"/>
      <c r="Q153" s="160"/>
      <c r="R153" s="160"/>
      <c r="S153" s="160"/>
      <c r="T153" s="280" t="s">
        <v>575</v>
      </c>
      <c r="U153" s="164"/>
      <c r="V153" s="283"/>
    </row>
    <row r="154" spans="2:22" ht="16.5" customHeight="1" x14ac:dyDescent="0.3">
      <c r="B154" s="282"/>
      <c r="C154" s="166">
        <v>49</v>
      </c>
      <c r="D154" s="167">
        <v>305</v>
      </c>
      <c r="E154" s="72" t="str">
        <f t="shared" si="4"/>
        <v>0x31</v>
      </c>
      <c r="F154" s="168"/>
      <c r="G154" s="169"/>
      <c r="H154" s="168"/>
      <c r="I154" s="169"/>
      <c r="J154" s="279" t="s">
        <v>574</v>
      </c>
      <c r="K154" s="170"/>
      <c r="L154" s="60"/>
      <c r="M154" s="166">
        <v>49</v>
      </c>
      <c r="N154" s="167">
        <v>305</v>
      </c>
      <c r="O154" s="72" t="str">
        <f t="shared" si="5"/>
        <v>0x31</v>
      </c>
      <c r="P154" s="168"/>
      <c r="Q154" s="168"/>
      <c r="R154" s="168"/>
      <c r="S154" s="168"/>
      <c r="T154" s="279" t="s">
        <v>575</v>
      </c>
      <c r="U154" s="170"/>
      <c r="V154" s="283"/>
    </row>
    <row r="155" spans="2:22" ht="16.5" customHeight="1" x14ac:dyDescent="0.3">
      <c r="B155" s="282"/>
      <c r="C155" s="166">
        <v>50</v>
      </c>
      <c r="D155" s="167">
        <v>306</v>
      </c>
      <c r="E155" s="72" t="str">
        <f t="shared" si="4"/>
        <v>0x32</v>
      </c>
      <c r="F155" s="168"/>
      <c r="G155" s="169"/>
      <c r="H155" s="168"/>
      <c r="I155" s="169"/>
      <c r="J155" s="279" t="s">
        <v>574</v>
      </c>
      <c r="K155" s="170"/>
      <c r="L155" s="60"/>
      <c r="M155" s="166">
        <v>50</v>
      </c>
      <c r="N155" s="167">
        <v>306</v>
      </c>
      <c r="O155" s="72" t="str">
        <f t="shared" si="5"/>
        <v>0x32</v>
      </c>
      <c r="P155" s="168"/>
      <c r="Q155" s="168"/>
      <c r="R155" s="168"/>
      <c r="S155" s="168"/>
      <c r="T155" s="279" t="s">
        <v>575</v>
      </c>
      <c r="U155" s="170"/>
      <c r="V155" s="283"/>
    </row>
    <row r="156" spans="2:22" ht="16.5" customHeight="1" x14ac:dyDescent="0.3">
      <c r="B156" s="282"/>
      <c r="C156" s="166">
        <v>51</v>
      </c>
      <c r="D156" s="167">
        <v>307</v>
      </c>
      <c r="E156" s="72" t="str">
        <f t="shared" si="4"/>
        <v>0x33</v>
      </c>
      <c r="F156" s="168"/>
      <c r="G156" s="169"/>
      <c r="H156" s="168"/>
      <c r="I156" s="169"/>
      <c r="J156" s="279" t="s">
        <v>574</v>
      </c>
      <c r="K156" s="170"/>
      <c r="L156" s="60"/>
      <c r="M156" s="166">
        <v>51</v>
      </c>
      <c r="N156" s="167">
        <v>307</v>
      </c>
      <c r="O156" s="72" t="str">
        <f t="shared" si="5"/>
        <v>0x33</v>
      </c>
      <c r="P156" s="168"/>
      <c r="Q156" s="168"/>
      <c r="R156" s="168"/>
      <c r="S156" s="168"/>
      <c r="T156" s="279" t="s">
        <v>575</v>
      </c>
      <c r="U156" s="170"/>
      <c r="V156" s="283"/>
    </row>
    <row r="157" spans="2:22" ht="16.5" customHeight="1" x14ac:dyDescent="0.3">
      <c r="B157" s="282"/>
      <c r="C157" s="166">
        <v>52</v>
      </c>
      <c r="D157" s="167">
        <v>308</v>
      </c>
      <c r="E157" s="72" t="str">
        <f t="shared" si="4"/>
        <v>0x34</v>
      </c>
      <c r="F157" s="168"/>
      <c r="G157" s="169"/>
      <c r="H157" s="168"/>
      <c r="I157" s="169"/>
      <c r="J157" s="279" t="s">
        <v>574</v>
      </c>
      <c r="K157" s="170"/>
      <c r="L157" s="60"/>
      <c r="M157" s="166">
        <v>52</v>
      </c>
      <c r="N157" s="167">
        <v>308</v>
      </c>
      <c r="O157" s="72" t="str">
        <f t="shared" si="5"/>
        <v>0x34</v>
      </c>
      <c r="P157" s="168"/>
      <c r="Q157" s="168"/>
      <c r="R157" s="168"/>
      <c r="S157" s="168"/>
      <c r="T157" s="279" t="s">
        <v>575</v>
      </c>
      <c r="U157" s="170"/>
      <c r="V157" s="283"/>
    </row>
    <row r="158" spans="2:22" ht="16.5" customHeight="1" x14ac:dyDescent="0.3">
      <c r="B158" s="282"/>
      <c r="C158" s="166">
        <v>53</v>
      </c>
      <c r="D158" s="167">
        <v>309</v>
      </c>
      <c r="E158" s="72" t="str">
        <f t="shared" si="4"/>
        <v>0x35</v>
      </c>
      <c r="F158" s="168"/>
      <c r="G158" s="169"/>
      <c r="H158" s="168"/>
      <c r="I158" s="169"/>
      <c r="J158" s="279" t="s">
        <v>574</v>
      </c>
      <c r="K158" s="170"/>
      <c r="L158" s="60"/>
      <c r="M158" s="166">
        <v>53</v>
      </c>
      <c r="N158" s="167">
        <v>309</v>
      </c>
      <c r="O158" s="72" t="str">
        <f t="shared" si="5"/>
        <v>0x35</v>
      </c>
      <c r="P158" s="168"/>
      <c r="Q158" s="168"/>
      <c r="R158" s="168"/>
      <c r="S158" s="168"/>
      <c r="T158" s="279" t="s">
        <v>575</v>
      </c>
      <c r="U158" s="170"/>
      <c r="V158" s="283"/>
    </row>
    <row r="159" spans="2:22" ht="16.5" customHeight="1" x14ac:dyDescent="0.3">
      <c r="B159" s="282"/>
      <c r="C159" s="166">
        <v>54</v>
      </c>
      <c r="D159" s="167">
        <v>310</v>
      </c>
      <c r="E159" s="72" t="str">
        <f t="shared" si="4"/>
        <v>0x36</v>
      </c>
      <c r="F159" s="168"/>
      <c r="G159" s="169"/>
      <c r="H159" s="168"/>
      <c r="I159" s="169"/>
      <c r="J159" s="279" t="s">
        <v>574</v>
      </c>
      <c r="K159" s="170"/>
      <c r="L159" s="60"/>
      <c r="M159" s="166">
        <v>54</v>
      </c>
      <c r="N159" s="167">
        <v>310</v>
      </c>
      <c r="O159" s="72" t="str">
        <f t="shared" si="5"/>
        <v>0x36</v>
      </c>
      <c r="P159" s="168"/>
      <c r="Q159" s="168"/>
      <c r="R159" s="168"/>
      <c r="S159" s="168"/>
      <c r="T159" s="279" t="s">
        <v>575</v>
      </c>
      <c r="U159" s="170"/>
      <c r="V159" s="283"/>
    </row>
    <row r="160" spans="2:22" ht="16.5" customHeight="1" x14ac:dyDescent="0.3">
      <c r="B160" s="282"/>
      <c r="C160" s="166">
        <v>55</v>
      </c>
      <c r="D160" s="167">
        <v>311</v>
      </c>
      <c r="E160" s="72" t="str">
        <f t="shared" si="4"/>
        <v>0x37</v>
      </c>
      <c r="F160" s="168"/>
      <c r="G160" s="169"/>
      <c r="H160" s="168"/>
      <c r="I160" s="169"/>
      <c r="J160" s="279" t="s">
        <v>574</v>
      </c>
      <c r="K160" s="170"/>
      <c r="L160" s="60"/>
      <c r="M160" s="166">
        <v>55</v>
      </c>
      <c r="N160" s="167">
        <v>311</v>
      </c>
      <c r="O160" s="72" t="str">
        <f t="shared" si="5"/>
        <v>0x37</v>
      </c>
      <c r="P160" s="168"/>
      <c r="Q160" s="168"/>
      <c r="R160" s="168"/>
      <c r="S160" s="168"/>
      <c r="T160" s="279" t="s">
        <v>575</v>
      </c>
      <c r="U160" s="170"/>
      <c r="V160" s="283"/>
    </row>
    <row r="161" spans="2:22" ht="16.5" customHeight="1" x14ac:dyDescent="0.3">
      <c r="B161" s="282"/>
      <c r="C161" s="166">
        <v>56</v>
      </c>
      <c r="D161" s="167">
        <v>312</v>
      </c>
      <c r="E161" s="72" t="str">
        <f t="shared" si="4"/>
        <v>0x38</v>
      </c>
      <c r="F161" s="168"/>
      <c r="G161" s="169"/>
      <c r="H161" s="168"/>
      <c r="I161" s="169"/>
      <c r="J161" s="279" t="s">
        <v>574</v>
      </c>
      <c r="K161" s="170"/>
      <c r="L161" s="60"/>
      <c r="M161" s="166">
        <v>56</v>
      </c>
      <c r="N161" s="167">
        <v>312</v>
      </c>
      <c r="O161" s="72" t="str">
        <f t="shared" si="5"/>
        <v>0x38</v>
      </c>
      <c r="P161" s="168"/>
      <c r="Q161" s="168"/>
      <c r="R161" s="168"/>
      <c r="S161" s="168"/>
      <c r="T161" s="279" t="s">
        <v>575</v>
      </c>
      <c r="U161" s="170"/>
      <c r="V161" s="283"/>
    </row>
    <row r="162" spans="2:22" ht="16.5" customHeight="1" x14ac:dyDescent="0.3">
      <c r="B162" s="282"/>
      <c r="C162" s="166">
        <v>57</v>
      </c>
      <c r="D162" s="167">
        <v>313</v>
      </c>
      <c r="E162" s="72" t="str">
        <f t="shared" si="4"/>
        <v>0x39</v>
      </c>
      <c r="F162" s="168"/>
      <c r="G162" s="169"/>
      <c r="H162" s="168"/>
      <c r="I162" s="169"/>
      <c r="J162" s="279" t="s">
        <v>574</v>
      </c>
      <c r="K162" s="170"/>
      <c r="L162" s="60"/>
      <c r="M162" s="166">
        <v>57</v>
      </c>
      <c r="N162" s="167">
        <v>313</v>
      </c>
      <c r="O162" s="72" t="str">
        <f t="shared" si="5"/>
        <v>0x39</v>
      </c>
      <c r="P162" s="168"/>
      <c r="Q162" s="168"/>
      <c r="R162" s="168"/>
      <c r="S162" s="168"/>
      <c r="T162" s="279" t="s">
        <v>575</v>
      </c>
      <c r="U162" s="170"/>
      <c r="V162" s="283"/>
    </row>
    <row r="163" spans="2:22" ht="16.5" customHeight="1" x14ac:dyDescent="0.3">
      <c r="B163" s="282"/>
      <c r="C163" s="166">
        <v>58</v>
      </c>
      <c r="D163" s="167">
        <v>314</v>
      </c>
      <c r="E163" s="72" t="str">
        <f t="shared" si="4"/>
        <v>0x3A</v>
      </c>
      <c r="F163" s="168"/>
      <c r="G163" s="169"/>
      <c r="H163" s="168"/>
      <c r="I163" s="169"/>
      <c r="J163" s="110" t="s">
        <v>574</v>
      </c>
      <c r="K163" s="285" t="s">
        <v>577</v>
      </c>
      <c r="L163" s="60"/>
      <c r="M163" s="166">
        <v>58</v>
      </c>
      <c r="N163" s="167">
        <v>314</v>
      </c>
      <c r="O163" s="72" t="str">
        <f t="shared" si="5"/>
        <v>0x3A</v>
      </c>
      <c r="P163" s="168"/>
      <c r="Q163" s="168"/>
      <c r="R163" s="168"/>
      <c r="S163" s="168"/>
      <c r="T163" s="110" t="s">
        <v>575</v>
      </c>
      <c r="U163" s="285" t="s">
        <v>577</v>
      </c>
      <c r="V163" s="283"/>
    </row>
    <row r="164" spans="2:22" ht="16.5" customHeight="1" x14ac:dyDescent="0.3">
      <c r="B164" s="282"/>
      <c r="C164" s="166">
        <v>59</v>
      </c>
      <c r="D164" s="167">
        <v>315</v>
      </c>
      <c r="E164" s="72" t="str">
        <f t="shared" si="4"/>
        <v>0x3B</v>
      </c>
      <c r="F164" s="168"/>
      <c r="G164" s="169"/>
      <c r="H164" s="168"/>
      <c r="I164" s="169"/>
      <c r="J164" s="110" t="s">
        <v>574</v>
      </c>
      <c r="K164" s="285" t="s">
        <v>577</v>
      </c>
      <c r="L164" s="60"/>
      <c r="M164" s="166">
        <v>59</v>
      </c>
      <c r="N164" s="167">
        <v>315</v>
      </c>
      <c r="O164" s="72" t="str">
        <f t="shared" si="5"/>
        <v>0x3B</v>
      </c>
      <c r="P164" s="168"/>
      <c r="Q164" s="168"/>
      <c r="R164" s="168"/>
      <c r="S164" s="168"/>
      <c r="T164" s="110" t="s">
        <v>575</v>
      </c>
      <c r="U164" s="285" t="s">
        <v>577</v>
      </c>
      <c r="V164" s="283"/>
    </row>
    <row r="165" spans="2:22" ht="16.5" customHeight="1" x14ac:dyDescent="0.3">
      <c r="B165" s="282"/>
      <c r="C165" s="166">
        <v>60</v>
      </c>
      <c r="D165" s="167">
        <v>316</v>
      </c>
      <c r="E165" s="72" t="str">
        <f t="shared" si="4"/>
        <v>0x3C</v>
      </c>
      <c r="F165" s="168"/>
      <c r="G165" s="169"/>
      <c r="H165" s="168"/>
      <c r="I165" s="169"/>
      <c r="J165" s="110" t="s">
        <v>574</v>
      </c>
      <c r="K165" s="285" t="s">
        <v>577</v>
      </c>
      <c r="L165" s="60"/>
      <c r="M165" s="166">
        <v>60</v>
      </c>
      <c r="N165" s="167">
        <v>316</v>
      </c>
      <c r="O165" s="72" t="str">
        <f t="shared" si="5"/>
        <v>0x3C</v>
      </c>
      <c r="P165" s="168"/>
      <c r="Q165" s="168"/>
      <c r="R165" s="168"/>
      <c r="S165" s="168"/>
      <c r="T165" s="110" t="s">
        <v>575</v>
      </c>
      <c r="U165" s="285" t="s">
        <v>577</v>
      </c>
      <c r="V165" s="283"/>
    </row>
    <row r="166" spans="2:22" ht="16.5" customHeight="1" x14ac:dyDescent="0.3">
      <c r="B166" s="282"/>
      <c r="C166" s="166">
        <v>61</v>
      </c>
      <c r="D166" s="167">
        <v>317</v>
      </c>
      <c r="E166" s="72" t="str">
        <f t="shared" si="4"/>
        <v>0x3D</v>
      </c>
      <c r="F166" s="168"/>
      <c r="G166" s="169"/>
      <c r="H166" s="168"/>
      <c r="I166" s="169"/>
      <c r="J166" s="110" t="s">
        <v>574</v>
      </c>
      <c r="K166" s="285" t="s">
        <v>577</v>
      </c>
      <c r="L166" s="60"/>
      <c r="M166" s="166">
        <v>61</v>
      </c>
      <c r="N166" s="167">
        <v>317</v>
      </c>
      <c r="O166" s="72" t="str">
        <f t="shared" si="5"/>
        <v>0x3D</v>
      </c>
      <c r="P166" s="168"/>
      <c r="Q166" s="168"/>
      <c r="R166" s="168"/>
      <c r="S166" s="168"/>
      <c r="T166" s="110" t="s">
        <v>575</v>
      </c>
      <c r="U166" s="285" t="s">
        <v>577</v>
      </c>
      <c r="V166" s="283"/>
    </row>
    <row r="167" spans="2:22" ht="16.5" customHeight="1" x14ac:dyDescent="0.3">
      <c r="B167" s="282"/>
      <c r="C167" s="166">
        <v>62</v>
      </c>
      <c r="D167" s="167">
        <v>318</v>
      </c>
      <c r="E167" s="72" t="str">
        <f t="shared" si="4"/>
        <v>0x3E</v>
      </c>
      <c r="F167" s="168"/>
      <c r="G167" s="169"/>
      <c r="H167" s="168"/>
      <c r="I167" s="169"/>
      <c r="J167" s="110" t="s">
        <v>574</v>
      </c>
      <c r="K167" s="285" t="s">
        <v>577</v>
      </c>
      <c r="L167" s="60"/>
      <c r="M167" s="166">
        <v>62</v>
      </c>
      <c r="N167" s="167">
        <v>318</v>
      </c>
      <c r="O167" s="72" t="str">
        <f t="shared" si="5"/>
        <v>0x3E</v>
      </c>
      <c r="P167" s="168"/>
      <c r="Q167" s="168"/>
      <c r="R167" s="168"/>
      <c r="S167" s="168"/>
      <c r="T167" s="110" t="s">
        <v>575</v>
      </c>
      <c r="U167" s="285" t="s">
        <v>577</v>
      </c>
      <c r="V167" s="283"/>
    </row>
    <row r="168" spans="2:22" ht="17.25" customHeight="1" thickBot="1" x14ac:dyDescent="0.35">
      <c r="B168" s="282"/>
      <c r="C168" s="178">
        <v>63</v>
      </c>
      <c r="D168" s="179">
        <v>319</v>
      </c>
      <c r="E168" s="91" t="str">
        <f t="shared" si="4"/>
        <v>0x3F</v>
      </c>
      <c r="F168" s="180"/>
      <c r="G168" s="181"/>
      <c r="H168" s="180"/>
      <c r="I168" s="181"/>
      <c r="J168" s="112" t="s">
        <v>574</v>
      </c>
      <c r="K168" s="285" t="s">
        <v>577</v>
      </c>
      <c r="L168" s="98"/>
      <c r="M168" s="178">
        <v>63</v>
      </c>
      <c r="N168" s="179">
        <v>319</v>
      </c>
      <c r="O168" s="91" t="str">
        <f t="shared" si="5"/>
        <v>0x3F</v>
      </c>
      <c r="P168" s="180"/>
      <c r="Q168" s="180"/>
      <c r="R168" s="180"/>
      <c r="S168" s="180"/>
      <c r="T168" s="112" t="s">
        <v>575</v>
      </c>
      <c r="U168" s="285" t="s">
        <v>577</v>
      </c>
      <c r="V168" s="283"/>
    </row>
    <row r="169" spans="2:22" ht="17.25" customHeight="1" thickTop="1" x14ac:dyDescent="0.3">
      <c r="B169" s="286" t="s">
        <v>578</v>
      </c>
      <c r="C169" s="185">
        <v>64</v>
      </c>
      <c r="D169" s="186">
        <v>320</v>
      </c>
      <c r="E169" s="72" t="str">
        <f t="shared" si="4"/>
        <v>0x40</v>
      </c>
      <c r="F169" s="160"/>
      <c r="G169" s="161"/>
      <c r="H169" s="160"/>
      <c r="I169" s="161"/>
      <c r="J169" s="287" t="s">
        <v>579</v>
      </c>
      <c r="K169" s="164"/>
      <c r="L169" s="102">
        <v>5</v>
      </c>
      <c r="M169" s="185">
        <v>64</v>
      </c>
      <c r="N169" s="186">
        <v>320</v>
      </c>
      <c r="O169" s="72" t="str">
        <f t="shared" si="5"/>
        <v>0x40</v>
      </c>
      <c r="P169" s="160"/>
      <c r="Q169" s="160"/>
      <c r="R169" s="160"/>
      <c r="S169" s="160"/>
      <c r="T169" s="287" t="s">
        <v>580</v>
      </c>
      <c r="U169" s="288" t="s">
        <v>581</v>
      </c>
      <c r="V169" s="289" t="s">
        <v>582</v>
      </c>
    </row>
    <row r="170" spans="2:22" ht="16.5" customHeight="1" thickBot="1" x14ac:dyDescent="0.35">
      <c r="B170" s="290"/>
      <c r="C170" s="166">
        <v>65</v>
      </c>
      <c r="D170" s="167">
        <v>321</v>
      </c>
      <c r="E170" s="72" t="str">
        <f t="shared" si="4"/>
        <v>0x41</v>
      </c>
      <c r="F170" s="168"/>
      <c r="G170" s="169"/>
      <c r="H170" s="168"/>
      <c r="I170" s="169"/>
      <c r="J170" s="109" t="s">
        <v>583</v>
      </c>
      <c r="K170" s="170"/>
      <c r="L170" s="60"/>
      <c r="M170" s="166">
        <v>65</v>
      </c>
      <c r="N170" s="167">
        <v>321</v>
      </c>
      <c r="O170" s="72" t="str">
        <f t="shared" si="5"/>
        <v>0x41</v>
      </c>
      <c r="P170" s="168"/>
      <c r="Q170" s="168"/>
      <c r="R170" s="168"/>
      <c r="S170" s="168"/>
      <c r="T170" s="109" t="s">
        <v>580</v>
      </c>
      <c r="U170" s="170"/>
      <c r="V170" s="291"/>
    </row>
    <row r="171" spans="2:22" ht="16.5" customHeight="1" thickTop="1" x14ac:dyDescent="0.3">
      <c r="B171" s="290"/>
      <c r="C171" s="166">
        <v>66</v>
      </c>
      <c r="D171" s="167">
        <v>322</v>
      </c>
      <c r="E171" s="72" t="str">
        <f t="shared" ref="E171:E234" si="6">CONCATENATE("0x", DEC2HEX(C171,2))</f>
        <v>0x42</v>
      </c>
      <c r="F171" s="168"/>
      <c r="G171" s="169"/>
      <c r="H171" s="168"/>
      <c r="I171" s="169"/>
      <c r="J171" s="109" t="s">
        <v>584</v>
      </c>
      <c r="K171" s="170"/>
      <c r="L171" s="60"/>
      <c r="M171" s="166">
        <v>66</v>
      </c>
      <c r="N171" s="167">
        <v>322</v>
      </c>
      <c r="O171" s="72" t="str">
        <f t="shared" ref="O171:O234" si="7">CONCATENATE("0x", DEC2HEX(M171,2))</f>
        <v>0x42</v>
      </c>
      <c r="P171" s="168"/>
      <c r="Q171" s="168"/>
      <c r="R171" s="168"/>
      <c r="S171" s="168"/>
      <c r="T171" s="109" t="s">
        <v>585</v>
      </c>
      <c r="U171" s="288" t="s">
        <v>581</v>
      </c>
      <c r="V171" s="291"/>
    </row>
    <row r="172" spans="2:22" ht="16.5" customHeight="1" thickBot="1" x14ac:dyDescent="0.35">
      <c r="B172" s="290"/>
      <c r="C172" s="166">
        <v>67</v>
      </c>
      <c r="D172" s="167">
        <v>323</v>
      </c>
      <c r="E172" s="72" t="str">
        <f t="shared" si="6"/>
        <v>0x43</v>
      </c>
      <c r="F172" s="168"/>
      <c r="G172" s="169"/>
      <c r="H172" s="168"/>
      <c r="I172" s="169"/>
      <c r="J172" s="109" t="s">
        <v>586</v>
      </c>
      <c r="K172" s="170"/>
      <c r="L172" s="60"/>
      <c r="M172" s="166">
        <v>67</v>
      </c>
      <c r="N172" s="167">
        <v>323</v>
      </c>
      <c r="O172" s="72" t="str">
        <f t="shared" si="7"/>
        <v>0x43</v>
      </c>
      <c r="P172" s="168"/>
      <c r="Q172" s="168"/>
      <c r="R172" s="168"/>
      <c r="S172" s="168"/>
      <c r="T172" s="109" t="s">
        <v>585</v>
      </c>
      <c r="U172" s="170"/>
      <c r="V172" s="291"/>
    </row>
    <row r="173" spans="2:22" ht="16.5" customHeight="1" thickTop="1" x14ac:dyDescent="0.3">
      <c r="B173" s="290"/>
      <c r="C173" s="166">
        <v>68</v>
      </c>
      <c r="D173" s="167">
        <v>324</v>
      </c>
      <c r="E173" s="72" t="str">
        <f t="shared" si="6"/>
        <v>0x44</v>
      </c>
      <c r="F173" s="168"/>
      <c r="G173" s="169"/>
      <c r="H173" s="168"/>
      <c r="I173" s="169"/>
      <c r="J173" s="109" t="s">
        <v>587</v>
      </c>
      <c r="K173" s="170"/>
      <c r="L173" s="60"/>
      <c r="M173" s="166">
        <v>68</v>
      </c>
      <c r="N173" s="167">
        <v>324</v>
      </c>
      <c r="O173" s="72" t="str">
        <f t="shared" si="7"/>
        <v>0x44</v>
      </c>
      <c r="P173" s="168"/>
      <c r="Q173" s="168"/>
      <c r="R173" s="168"/>
      <c r="S173" s="168"/>
      <c r="T173" s="109" t="s">
        <v>588</v>
      </c>
      <c r="U173" s="288" t="s">
        <v>581</v>
      </c>
      <c r="V173" s="291"/>
    </row>
    <row r="174" spans="2:22" ht="16.5" customHeight="1" x14ac:dyDescent="0.3">
      <c r="B174" s="290"/>
      <c r="C174" s="166">
        <v>69</v>
      </c>
      <c r="D174" s="167">
        <v>325</v>
      </c>
      <c r="E174" s="72" t="str">
        <f t="shared" si="6"/>
        <v>0x45</v>
      </c>
      <c r="F174" s="168"/>
      <c r="G174" s="169"/>
      <c r="H174" s="168"/>
      <c r="I174" s="169"/>
      <c r="J174" s="109" t="s">
        <v>589</v>
      </c>
      <c r="K174" s="170"/>
      <c r="L174" s="60"/>
      <c r="M174" s="166">
        <v>69</v>
      </c>
      <c r="N174" s="167">
        <v>325</v>
      </c>
      <c r="O174" s="72" t="str">
        <f t="shared" si="7"/>
        <v>0x45</v>
      </c>
      <c r="P174" s="168"/>
      <c r="Q174" s="168"/>
      <c r="R174" s="168"/>
      <c r="S174" s="168"/>
      <c r="T174" s="109" t="s">
        <v>588</v>
      </c>
      <c r="U174" s="170"/>
      <c r="V174" s="292"/>
    </row>
    <row r="175" spans="2:22" ht="16.5" customHeight="1" x14ac:dyDescent="0.3">
      <c r="B175" s="290"/>
      <c r="C175" s="166">
        <v>70</v>
      </c>
      <c r="D175" s="167">
        <v>326</v>
      </c>
      <c r="E175" s="72" t="str">
        <f t="shared" si="6"/>
        <v>0x46</v>
      </c>
      <c r="F175" s="168"/>
      <c r="G175" s="169"/>
      <c r="H175" s="168"/>
      <c r="I175" s="169"/>
      <c r="J175" s="109" t="s">
        <v>590</v>
      </c>
      <c r="K175" s="170"/>
      <c r="L175" s="60"/>
      <c r="M175" s="166">
        <v>70</v>
      </c>
      <c r="N175" s="167">
        <v>326</v>
      </c>
      <c r="O175" s="72" t="str">
        <f t="shared" si="7"/>
        <v>0x46</v>
      </c>
      <c r="P175" s="168"/>
      <c r="Q175" s="168"/>
      <c r="R175" s="168"/>
      <c r="S175" s="168"/>
      <c r="T175" s="109" t="s">
        <v>591</v>
      </c>
      <c r="U175" s="170"/>
      <c r="V175" s="293" t="s">
        <v>592</v>
      </c>
    </row>
    <row r="176" spans="2:22" ht="16.5" customHeight="1" x14ac:dyDescent="0.3">
      <c r="C176" s="166">
        <v>71</v>
      </c>
      <c r="D176" s="167">
        <v>327</v>
      </c>
      <c r="E176" s="72" t="str">
        <f t="shared" si="6"/>
        <v>0x47</v>
      </c>
      <c r="F176" s="168"/>
      <c r="G176" s="169"/>
      <c r="H176" s="168"/>
      <c r="I176" s="169"/>
      <c r="J176" s="109"/>
      <c r="K176" s="170"/>
      <c r="L176" s="60"/>
      <c r="M176" s="166">
        <v>71</v>
      </c>
      <c r="N176" s="167">
        <v>327</v>
      </c>
      <c r="O176" s="72" t="str">
        <f t="shared" si="7"/>
        <v>0x47</v>
      </c>
      <c r="P176" s="168"/>
      <c r="Q176" s="168"/>
      <c r="R176" s="168"/>
      <c r="S176" s="168"/>
      <c r="T176" s="109" t="s">
        <v>593</v>
      </c>
      <c r="U176" s="170"/>
      <c r="V176" s="293" t="s">
        <v>594</v>
      </c>
    </row>
    <row r="177" spans="2:22" ht="16.5" customHeight="1" x14ac:dyDescent="0.3">
      <c r="C177" s="166">
        <v>72</v>
      </c>
      <c r="D177" s="167">
        <v>328</v>
      </c>
      <c r="E177" s="72" t="str">
        <f t="shared" si="6"/>
        <v>0x48</v>
      </c>
      <c r="F177" s="168"/>
      <c r="G177" s="169"/>
      <c r="H177" s="168"/>
      <c r="I177" s="169"/>
      <c r="J177" s="109"/>
      <c r="K177" s="170"/>
      <c r="L177" s="60"/>
      <c r="M177" s="166">
        <v>72</v>
      </c>
      <c r="N177" s="167">
        <v>328</v>
      </c>
      <c r="O177" s="72" t="str">
        <f t="shared" si="7"/>
        <v>0x48</v>
      </c>
      <c r="P177" s="168"/>
      <c r="Q177" s="168"/>
      <c r="R177" s="168"/>
      <c r="S177" s="168"/>
      <c r="T177" s="110" t="s">
        <v>595</v>
      </c>
      <c r="U177" s="170"/>
      <c r="V177" s="294" t="s">
        <v>596</v>
      </c>
    </row>
    <row r="178" spans="2:22" ht="16.5" customHeight="1" x14ac:dyDescent="0.3">
      <c r="C178" s="166">
        <v>73</v>
      </c>
      <c r="D178" s="167">
        <v>329</v>
      </c>
      <c r="E178" s="72" t="str">
        <f t="shared" si="6"/>
        <v>0x49</v>
      </c>
      <c r="F178" s="168"/>
      <c r="G178" s="169"/>
      <c r="H178" s="168"/>
      <c r="I178" s="169"/>
      <c r="J178" s="109"/>
      <c r="K178" s="170"/>
      <c r="L178" s="60"/>
      <c r="M178" s="166">
        <v>73</v>
      </c>
      <c r="N178" s="167">
        <v>329</v>
      </c>
      <c r="O178" s="72" t="str">
        <f t="shared" si="7"/>
        <v>0x49</v>
      </c>
      <c r="P178" s="168"/>
      <c r="Q178" s="168"/>
      <c r="R178" s="168"/>
      <c r="S178" s="168"/>
      <c r="T178" s="110" t="s">
        <v>597</v>
      </c>
      <c r="U178" s="170"/>
      <c r="V178" s="294" t="s">
        <v>596</v>
      </c>
    </row>
    <row r="179" spans="2:22" ht="16.5" customHeight="1" x14ac:dyDescent="0.3">
      <c r="C179" s="166">
        <v>74</v>
      </c>
      <c r="D179" s="167">
        <v>330</v>
      </c>
      <c r="E179" s="72" t="str">
        <f t="shared" si="6"/>
        <v>0x4A</v>
      </c>
      <c r="F179" s="168"/>
      <c r="G179" s="169"/>
      <c r="H179" s="168"/>
      <c r="I179" s="169"/>
      <c r="J179" s="109"/>
      <c r="K179" s="170"/>
      <c r="L179" s="60"/>
      <c r="M179" s="166">
        <v>74</v>
      </c>
      <c r="N179" s="167">
        <v>330</v>
      </c>
      <c r="O179" s="72" t="str">
        <f t="shared" si="7"/>
        <v>0x4A</v>
      </c>
      <c r="P179" s="168"/>
      <c r="Q179" s="168"/>
      <c r="R179" s="168"/>
      <c r="S179" s="168"/>
      <c r="T179" s="109" t="s">
        <v>598</v>
      </c>
      <c r="U179" s="170"/>
      <c r="V179" s="295" t="s">
        <v>599</v>
      </c>
    </row>
    <row r="180" spans="2:22" ht="16.5" customHeight="1" x14ac:dyDescent="0.3">
      <c r="C180" s="166">
        <v>75</v>
      </c>
      <c r="D180" s="167">
        <v>331</v>
      </c>
      <c r="E180" s="72" t="str">
        <f t="shared" si="6"/>
        <v>0x4B</v>
      </c>
      <c r="F180" s="168"/>
      <c r="G180" s="169"/>
      <c r="H180" s="168"/>
      <c r="I180" s="169"/>
      <c r="J180" s="109"/>
      <c r="K180" s="170"/>
      <c r="L180" s="60"/>
      <c r="M180" s="166">
        <v>75</v>
      </c>
      <c r="N180" s="167">
        <v>331</v>
      </c>
      <c r="O180" s="72" t="str">
        <f t="shared" si="7"/>
        <v>0x4B</v>
      </c>
      <c r="P180" s="168"/>
      <c r="Q180" s="168"/>
      <c r="R180" s="168"/>
      <c r="S180" s="168"/>
      <c r="T180" s="109" t="s">
        <v>600</v>
      </c>
      <c r="U180" s="170"/>
      <c r="V180" s="295" t="s">
        <v>601</v>
      </c>
    </row>
    <row r="181" spans="2:22" ht="16.5" customHeight="1" x14ac:dyDescent="0.3">
      <c r="C181" s="166">
        <v>76</v>
      </c>
      <c r="D181" s="167">
        <v>332</v>
      </c>
      <c r="E181" s="72" t="str">
        <f t="shared" si="6"/>
        <v>0x4C</v>
      </c>
      <c r="F181" s="168"/>
      <c r="G181" s="169"/>
      <c r="H181" s="168"/>
      <c r="I181" s="169"/>
      <c r="J181" s="109"/>
      <c r="K181" s="170"/>
      <c r="L181" s="60"/>
      <c r="M181" s="166">
        <v>76</v>
      </c>
      <c r="N181" s="167">
        <v>332</v>
      </c>
      <c r="O181" s="72" t="str">
        <f t="shared" si="7"/>
        <v>0x4C</v>
      </c>
      <c r="P181" s="168"/>
      <c r="Q181" s="168"/>
      <c r="R181" s="168"/>
      <c r="S181" s="168"/>
      <c r="T181" s="109" t="s">
        <v>602</v>
      </c>
      <c r="U181" s="170"/>
      <c r="V181" s="296" t="s">
        <v>582</v>
      </c>
    </row>
    <row r="182" spans="2:22" ht="16.5" customHeight="1" x14ac:dyDescent="0.3">
      <c r="C182" s="166">
        <v>77</v>
      </c>
      <c r="D182" s="167">
        <v>333</v>
      </c>
      <c r="E182" s="72" t="str">
        <f t="shared" si="6"/>
        <v>0x4D</v>
      </c>
      <c r="F182" s="168"/>
      <c r="G182" s="169"/>
      <c r="H182" s="168"/>
      <c r="I182" s="169"/>
      <c r="J182" s="109"/>
      <c r="K182" s="170"/>
      <c r="L182" s="60"/>
      <c r="M182" s="166">
        <v>77</v>
      </c>
      <c r="N182" s="167">
        <v>333</v>
      </c>
      <c r="O182" s="72" t="str">
        <f t="shared" si="7"/>
        <v>0x4D</v>
      </c>
      <c r="P182" s="168"/>
      <c r="Q182" s="168"/>
      <c r="R182" s="168"/>
      <c r="S182" s="168"/>
      <c r="T182" s="109"/>
      <c r="U182" s="170"/>
    </row>
    <row r="183" spans="2:22" ht="16.5" customHeight="1" x14ac:dyDescent="0.3">
      <c r="C183" s="166">
        <v>78</v>
      </c>
      <c r="D183" s="167">
        <v>334</v>
      </c>
      <c r="E183" s="72" t="str">
        <f t="shared" si="6"/>
        <v>0x4E</v>
      </c>
      <c r="F183" s="168"/>
      <c r="G183" s="169"/>
      <c r="H183" s="168"/>
      <c r="I183" s="169"/>
      <c r="J183" s="109"/>
      <c r="K183" s="170"/>
      <c r="L183" s="60"/>
      <c r="M183" s="166">
        <v>78</v>
      </c>
      <c r="N183" s="167">
        <v>334</v>
      </c>
      <c r="O183" s="72" t="str">
        <f t="shared" si="7"/>
        <v>0x4E</v>
      </c>
      <c r="P183" s="168"/>
      <c r="Q183" s="168"/>
      <c r="R183" s="168"/>
      <c r="S183" s="168"/>
      <c r="T183" s="109"/>
      <c r="U183" s="176"/>
    </row>
    <row r="184" spans="2:22" ht="17.25" customHeight="1" thickBot="1" x14ac:dyDescent="0.35">
      <c r="C184" s="178">
        <v>79</v>
      </c>
      <c r="D184" s="179">
        <v>335</v>
      </c>
      <c r="E184" s="91" t="str">
        <f t="shared" si="6"/>
        <v>0x4F</v>
      </c>
      <c r="F184" s="180"/>
      <c r="G184" s="181"/>
      <c r="H184" s="180"/>
      <c r="I184" s="181"/>
      <c r="J184" s="297"/>
      <c r="K184" s="190"/>
      <c r="L184" s="98"/>
      <c r="M184" s="178">
        <v>79</v>
      </c>
      <c r="N184" s="179">
        <v>335</v>
      </c>
      <c r="O184" s="91" t="str">
        <f t="shared" si="7"/>
        <v>0x4F</v>
      </c>
      <c r="P184" s="180"/>
      <c r="Q184" s="180"/>
      <c r="R184" s="180"/>
      <c r="S184" s="180"/>
      <c r="T184" s="297"/>
      <c r="U184" s="184"/>
    </row>
    <row r="185" spans="2:22" ht="17.25" customHeight="1" thickTop="1" x14ac:dyDescent="0.3">
      <c r="B185" s="298" t="s">
        <v>603</v>
      </c>
      <c r="C185" s="185">
        <v>80</v>
      </c>
      <c r="D185" s="186">
        <v>336</v>
      </c>
      <c r="E185" s="72" t="str">
        <f t="shared" si="6"/>
        <v>0x50</v>
      </c>
      <c r="F185" s="160"/>
      <c r="G185" s="161"/>
      <c r="H185" s="160"/>
      <c r="I185" s="161"/>
      <c r="J185" s="287" t="s">
        <v>604</v>
      </c>
      <c r="K185" s="164"/>
      <c r="L185" s="102">
        <v>6</v>
      </c>
      <c r="M185" s="185">
        <v>80</v>
      </c>
      <c r="N185" s="186">
        <v>336</v>
      </c>
      <c r="O185" s="72" t="str">
        <f t="shared" si="7"/>
        <v>0x50</v>
      </c>
      <c r="P185" s="160"/>
      <c r="Q185" s="160"/>
      <c r="R185" s="160"/>
      <c r="S185" s="160"/>
      <c r="T185" s="287" t="s">
        <v>605</v>
      </c>
      <c r="U185" s="288" t="s">
        <v>581</v>
      </c>
      <c r="V185" s="289" t="s">
        <v>582</v>
      </c>
    </row>
    <row r="186" spans="2:22" ht="16.5" customHeight="1" thickBot="1" x14ac:dyDescent="0.35">
      <c r="B186" s="299"/>
      <c r="C186" s="166">
        <v>81</v>
      </c>
      <c r="D186" s="167">
        <v>337</v>
      </c>
      <c r="E186" s="72" t="str">
        <f t="shared" si="6"/>
        <v>0x51</v>
      </c>
      <c r="F186" s="168"/>
      <c r="G186" s="169"/>
      <c r="H186" s="168"/>
      <c r="I186" s="169"/>
      <c r="J186" s="109" t="s">
        <v>604</v>
      </c>
      <c r="K186" s="170"/>
      <c r="L186" s="60"/>
      <c r="M186" s="166">
        <v>81</v>
      </c>
      <c r="N186" s="167">
        <v>337</v>
      </c>
      <c r="O186" s="72" t="str">
        <f t="shared" si="7"/>
        <v>0x51</v>
      </c>
      <c r="P186" s="168"/>
      <c r="Q186" s="168"/>
      <c r="R186" s="168"/>
      <c r="S186" s="168"/>
      <c r="T186" s="109" t="s">
        <v>605</v>
      </c>
      <c r="U186" s="170"/>
      <c r="V186" s="291"/>
    </row>
    <row r="187" spans="2:22" ht="16.5" customHeight="1" thickTop="1" x14ac:dyDescent="0.3">
      <c r="B187" s="299"/>
      <c r="C187" s="166">
        <v>82</v>
      </c>
      <c r="D187" s="167">
        <v>338</v>
      </c>
      <c r="E187" s="72" t="str">
        <f t="shared" si="6"/>
        <v>0x52</v>
      </c>
      <c r="F187" s="168"/>
      <c r="G187" s="169"/>
      <c r="H187" s="168"/>
      <c r="I187" s="169"/>
      <c r="J187" s="109" t="s">
        <v>606</v>
      </c>
      <c r="K187" s="170"/>
      <c r="L187" s="60"/>
      <c r="M187" s="166">
        <v>82</v>
      </c>
      <c r="N187" s="167">
        <v>338</v>
      </c>
      <c r="O187" s="72" t="str">
        <f t="shared" si="7"/>
        <v>0x52</v>
      </c>
      <c r="P187" s="168"/>
      <c r="Q187" s="168"/>
      <c r="R187" s="168"/>
      <c r="S187" s="168"/>
      <c r="T187" s="109" t="s">
        <v>607</v>
      </c>
      <c r="U187" s="288" t="s">
        <v>581</v>
      </c>
      <c r="V187" s="291"/>
    </row>
    <row r="188" spans="2:22" ht="16.5" customHeight="1" thickBot="1" x14ac:dyDescent="0.35">
      <c r="B188" s="300"/>
      <c r="C188" s="166">
        <v>83</v>
      </c>
      <c r="D188" s="167">
        <v>339</v>
      </c>
      <c r="E188" s="72" t="str">
        <f t="shared" si="6"/>
        <v>0x53</v>
      </c>
      <c r="F188" s="168"/>
      <c r="G188" s="169"/>
      <c r="H188" s="168"/>
      <c r="I188" s="169"/>
      <c r="J188" s="109" t="s">
        <v>606</v>
      </c>
      <c r="K188" s="170"/>
      <c r="L188" s="60"/>
      <c r="M188" s="166">
        <v>83</v>
      </c>
      <c r="N188" s="167">
        <v>339</v>
      </c>
      <c r="O188" s="72" t="str">
        <f t="shared" si="7"/>
        <v>0x53</v>
      </c>
      <c r="P188" s="168"/>
      <c r="Q188" s="168"/>
      <c r="R188" s="168"/>
      <c r="S188" s="168"/>
      <c r="T188" s="109" t="s">
        <v>607</v>
      </c>
      <c r="U188" s="170"/>
      <c r="V188" s="291"/>
    </row>
    <row r="189" spans="2:22" ht="16.5" customHeight="1" thickTop="1" x14ac:dyDescent="0.3">
      <c r="C189" s="166">
        <v>84</v>
      </c>
      <c r="D189" s="167">
        <v>340</v>
      </c>
      <c r="E189" s="72" t="str">
        <f t="shared" si="6"/>
        <v>0x54</v>
      </c>
      <c r="F189" s="168"/>
      <c r="G189" s="169"/>
      <c r="H189" s="168"/>
      <c r="I189" s="169"/>
      <c r="J189" s="109"/>
      <c r="K189" s="170"/>
      <c r="L189" s="60"/>
      <c r="M189" s="166">
        <v>84</v>
      </c>
      <c r="N189" s="167">
        <v>340</v>
      </c>
      <c r="O189" s="72" t="str">
        <f t="shared" si="7"/>
        <v>0x54</v>
      </c>
      <c r="P189" s="168"/>
      <c r="Q189" s="168"/>
      <c r="R189" s="168"/>
      <c r="S189" s="168"/>
      <c r="T189" s="109" t="s">
        <v>608</v>
      </c>
      <c r="U189" s="288" t="s">
        <v>581</v>
      </c>
      <c r="V189" s="291"/>
    </row>
    <row r="190" spans="2:22" ht="16.5" customHeight="1" x14ac:dyDescent="0.3">
      <c r="C190" s="166">
        <v>85</v>
      </c>
      <c r="D190" s="167">
        <v>341</v>
      </c>
      <c r="E190" s="72" t="str">
        <f t="shared" si="6"/>
        <v>0x55</v>
      </c>
      <c r="F190" s="168"/>
      <c r="G190" s="169"/>
      <c r="H190" s="168"/>
      <c r="I190" s="169"/>
      <c r="J190" s="109"/>
      <c r="K190" s="170"/>
      <c r="L190" s="60"/>
      <c r="M190" s="166">
        <v>85</v>
      </c>
      <c r="N190" s="167">
        <v>341</v>
      </c>
      <c r="O190" s="72" t="str">
        <f t="shared" si="7"/>
        <v>0x55</v>
      </c>
      <c r="P190" s="168"/>
      <c r="Q190" s="168"/>
      <c r="R190" s="168"/>
      <c r="S190" s="168"/>
      <c r="T190" s="109" t="s">
        <v>608</v>
      </c>
      <c r="U190" s="170"/>
      <c r="V190" s="292"/>
    </row>
    <row r="191" spans="2:22" ht="16.5" customHeight="1" x14ac:dyDescent="0.3">
      <c r="C191" s="166">
        <v>86</v>
      </c>
      <c r="D191" s="167">
        <v>342</v>
      </c>
      <c r="E191" s="72" t="str">
        <f t="shared" si="6"/>
        <v>0x56</v>
      </c>
      <c r="F191" s="168"/>
      <c r="G191" s="169"/>
      <c r="H191" s="168"/>
      <c r="I191" s="169"/>
      <c r="J191" s="109"/>
      <c r="K191" s="170"/>
      <c r="L191" s="60"/>
      <c r="M191" s="166">
        <v>86</v>
      </c>
      <c r="N191" s="167">
        <v>342</v>
      </c>
      <c r="O191" s="72" t="str">
        <f t="shared" si="7"/>
        <v>0x56</v>
      </c>
      <c r="P191" s="168"/>
      <c r="Q191" s="168"/>
      <c r="R191" s="168"/>
      <c r="S191" s="168"/>
      <c r="T191" s="109" t="s">
        <v>609</v>
      </c>
      <c r="U191" s="170"/>
      <c r="V191" s="301" t="s">
        <v>592</v>
      </c>
    </row>
    <row r="192" spans="2:22" ht="16.5" customHeight="1" x14ac:dyDescent="0.3">
      <c r="C192" s="166">
        <v>87</v>
      </c>
      <c r="D192" s="167">
        <v>343</v>
      </c>
      <c r="E192" s="72" t="str">
        <f t="shared" si="6"/>
        <v>0x57</v>
      </c>
      <c r="F192" s="168"/>
      <c r="G192" s="169"/>
      <c r="H192" s="168"/>
      <c r="I192" s="169"/>
      <c r="J192" s="302"/>
      <c r="K192" s="170"/>
      <c r="L192" s="60"/>
      <c r="M192" s="166">
        <v>87</v>
      </c>
      <c r="N192" s="167">
        <v>343</v>
      </c>
      <c r="O192" s="72" t="str">
        <f t="shared" si="7"/>
        <v>0x57</v>
      </c>
      <c r="P192" s="168"/>
      <c r="Q192" s="168"/>
      <c r="R192" s="168"/>
      <c r="S192" s="168"/>
      <c r="T192" s="109" t="s">
        <v>610</v>
      </c>
      <c r="U192" s="170"/>
      <c r="V192" s="301" t="s">
        <v>594</v>
      </c>
    </row>
    <row r="193" spans="2:22" ht="16.5" customHeight="1" x14ac:dyDescent="0.3">
      <c r="B193" s="303" t="s">
        <v>611</v>
      </c>
      <c r="C193" s="166">
        <v>88</v>
      </c>
      <c r="D193" s="167">
        <v>344</v>
      </c>
      <c r="E193" s="72" t="str">
        <f t="shared" si="6"/>
        <v>0x58</v>
      </c>
      <c r="F193" s="168"/>
      <c r="G193" s="169"/>
      <c r="H193" s="168"/>
      <c r="I193" s="169"/>
      <c r="J193" s="115" t="s">
        <v>612</v>
      </c>
      <c r="K193" s="170"/>
      <c r="L193" s="60"/>
      <c r="M193" s="166">
        <v>88</v>
      </c>
      <c r="N193" s="167">
        <v>344</v>
      </c>
      <c r="O193" s="72" t="str">
        <f t="shared" si="7"/>
        <v>0x58</v>
      </c>
      <c r="P193" s="168"/>
      <c r="Q193" s="168"/>
      <c r="R193" s="168"/>
      <c r="S193" s="168"/>
      <c r="T193" s="304"/>
      <c r="U193" s="170"/>
    </row>
    <row r="194" spans="2:22" ht="16.5" customHeight="1" x14ac:dyDescent="0.3">
      <c r="B194" s="305"/>
      <c r="C194" s="166">
        <v>89</v>
      </c>
      <c r="D194" s="167">
        <v>345</v>
      </c>
      <c r="E194" s="72" t="str">
        <f t="shared" si="6"/>
        <v>0x59</v>
      </c>
      <c r="F194" s="168"/>
      <c r="G194" s="169"/>
      <c r="H194" s="168"/>
      <c r="I194" s="169"/>
      <c r="J194" s="115" t="s">
        <v>612</v>
      </c>
      <c r="K194" s="170"/>
      <c r="L194" s="60"/>
      <c r="M194" s="166">
        <v>89</v>
      </c>
      <c r="N194" s="167">
        <v>345</v>
      </c>
      <c r="O194" s="72" t="str">
        <f t="shared" si="7"/>
        <v>0x59</v>
      </c>
      <c r="P194" s="168"/>
      <c r="Q194" s="168"/>
      <c r="R194" s="168"/>
      <c r="S194" s="168"/>
      <c r="T194" s="304"/>
      <c r="U194" s="170"/>
    </row>
    <row r="195" spans="2:22" ht="16.5" customHeight="1" x14ac:dyDescent="0.3">
      <c r="B195" s="306" t="s">
        <v>613</v>
      </c>
      <c r="C195" s="166">
        <v>90</v>
      </c>
      <c r="D195" s="167">
        <v>346</v>
      </c>
      <c r="E195" s="72" t="str">
        <f t="shared" si="6"/>
        <v>0x5A</v>
      </c>
      <c r="F195" s="168"/>
      <c r="G195" s="169"/>
      <c r="H195" s="168"/>
      <c r="I195" s="169"/>
      <c r="J195" s="109" t="s">
        <v>614</v>
      </c>
      <c r="K195" s="285" t="s">
        <v>615</v>
      </c>
      <c r="L195" s="60"/>
      <c r="M195" s="166">
        <v>90</v>
      </c>
      <c r="N195" s="167">
        <v>346</v>
      </c>
      <c r="O195" s="72" t="str">
        <f t="shared" si="7"/>
        <v>0x5A</v>
      </c>
      <c r="P195" s="168"/>
      <c r="Q195" s="168"/>
      <c r="R195" s="168"/>
      <c r="S195" s="168"/>
      <c r="T195" s="109" t="s">
        <v>616</v>
      </c>
      <c r="U195" s="170"/>
      <c r="V195" s="295" t="s">
        <v>599</v>
      </c>
    </row>
    <row r="196" spans="2:22" x14ac:dyDescent="0.3">
      <c r="B196" s="307"/>
      <c r="C196" s="166">
        <v>91</v>
      </c>
      <c r="D196" s="167">
        <v>347</v>
      </c>
      <c r="E196" s="72" t="str">
        <f t="shared" si="6"/>
        <v>0x5B</v>
      </c>
      <c r="F196" s="168"/>
      <c r="G196" s="169"/>
      <c r="H196" s="168"/>
      <c r="I196" s="169"/>
      <c r="J196" s="109" t="s">
        <v>614</v>
      </c>
      <c r="K196" s="170"/>
      <c r="L196" s="60"/>
      <c r="M196" s="166">
        <v>91</v>
      </c>
      <c r="N196" s="167">
        <v>347</v>
      </c>
      <c r="O196" s="72" t="str">
        <f t="shared" si="7"/>
        <v>0x5B</v>
      </c>
      <c r="P196" s="168"/>
      <c r="Q196" s="168"/>
      <c r="R196" s="168"/>
      <c r="S196" s="168"/>
      <c r="T196" s="109" t="s">
        <v>617</v>
      </c>
      <c r="U196" s="170"/>
      <c r="V196" s="295" t="s">
        <v>601</v>
      </c>
    </row>
    <row r="197" spans="2:22" ht="16.5" customHeight="1" x14ac:dyDescent="0.3">
      <c r="B197" s="306" t="s">
        <v>618</v>
      </c>
      <c r="C197" s="166">
        <v>92</v>
      </c>
      <c r="D197" s="167">
        <v>348</v>
      </c>
      <c r="E197" s="72" t="str">
        <f t="shared" si="6"/>
        <v>0x5C</v>
      </c>
      <c r="F197" s="168"/>
      <c r="G197" s="169"/>
      <c r="H197" s="168"/>
      <c r="I197" s="169"/>
      <c r="J197" s="109" t="s">
        <v>619</v>
      </c>
      <c r="K197" s="170"/>
      <c r="L197" s="60"/>
      <c r="M197" s="166">
        <v>92</v>
      </c>
      <c r="N197" s="167">
        <v>348</v>
      </c>
      <c r="O197" s="72" t="str">
        <f t="shared" si="7"/>
        <v>0x5C</v>
      </c>
      <c r="P197" s="168"/>
      <c r="Q197" s="168"/>
      <c r="R197" s="168"/>
      <c r="S197" s="168"/>
      <c r="T197" s="109" t="s">
        <v>620</v>
      </c>
      <c r="U197" s="170"/>
      <c r="V197" s="296" t="s">
        <v>582</v>
      </c>
    </row>
    <row r="198" spans="2:22" ht="16.5" customHeight="1" x14ac:dyDescent="0.3">
      <c r="B198" s="307"/>
      <c r="C198" s="166">
        <v>93</v>
      </c>
      <c r="D198" s="167">
        <v>349</v>
      </c>
      <c r="E198" s="72" t="str">
        <f t="shared" si="6"/>
        <v>0x5D</v>
      </c>
      <c r="F198" s="168"/>
      <c r="G198" s="169"/>
      <c r="H198" s="168"/>
      <c r="I198" s="169"/>
      <c r="J198" s="109" t="s">
        <v>619</v>
      </c>
      <c r="K198" s="170"/>
      <c r="L198" s="60"/>
      <c r="M198" s="166">
        <v>93</v>
      </c>
      <c r="N198" s="167">
        <v>349</v>
      </c>
      <c r="O198" s="72" t="str">
        <f t="shared" si="7"/>
        <v>0x5D</v>
      </c>
      <c r="P198" s="168"/>
      <c r="Q198" s="168"/>
      <c r="R198" s="168"/>
      <c r="S198" s="168"/>
      <c r="T198" s="109"/>
      <c r="U198" s="170"/>
    </row>
    <row r="199" spans="2:22" ht="16.5" customHeight="1" x14ac:dyDescent="0.3">
      <c r="B199" s="171" t="s">
        <v>621</v>
      </c>
      <c r="C199" s="166">
        <v>94</v>
      </c>
      <c r="D199" s="167">
        <v>350</v>
      </c>
      <c r="E199" s="72" t="str">
        <f t="shared" si="6"/>
        <v>0x5E</v>
      </c>
      <c r="F199" s="168"/>
      <c r="G199" s="169"/>
      <c r="H199" s="168"/>
      <c r="I199" s="169"/>
      <c r="J199" s="109" t="s">
        <v>622</v>
      </c>
      <c r="K199" s="170"/>
      <c r="L199" s="60"/>
      <c r="M199" s="166">
        <v>94</v>
      </c>
      <c r="N199" s="167">
        <v>350</v>
      </c>
      <c r="O199" s="72" t="str">
        <f t="shared" si="7"/>
        <v>0x5E</v>
      </c>
      <c r="P199" s="168"/>
      <c r="Q199" s="168"/>
      <c r="R199" s="168"/>
      <c r="S199" s="168"/>
      <c r="T199" s="109"/>
      <c r="U199" s="176"/>
    </row>
    <row r="200" spans="2:22" ht="16.5" customHeight="1" thickBot="1" x14ac:dyDescent="0.35">
      <c r="B200" s="171" t="s">
        <v>621</v>
      </c>
      <c r="C200" s="178">
        <v>95</v>
      </c>
      <c r="D200" s="179">
        <v>351</v>
      </c>
      <c r="E200" s="91" t="str">
        <f t="shared" si="6"/>
        <v>0x5F</v>
      </c>
      <c r="F200" s="180"/>
      <c r="G200" s="181"/>
      <c r="H200" s="180"/>
      <c r="I200" s="181"/>
      <c r="J200" s="109" t="s">
        <v>623</v>
      </c>
      <c r="K200" s="190"/>
      <c r="L200" s="98"/>
      <c r="M200" s="178">
        <v>95</v>
      </c>
      <c r="N200" s="179">
        <v>351</v>
      </c>
      <c r="O200" s="91" t="str">
        <f t="shared" si="7"/>
        <v>0x5F</v>
      </c>
      <c r="P200" s="180"/>
      <c r="Q200" s="180"/>
      <c r="R200" s="180"/>
      <c r="S200" s="180"/>
      <c r="T200" s="297"/>
      <c r="U200" s="184"/>
    </row>
    <row r="201" spans="2:22" ht="17.25" customHeight="1" thickTop="1" x14ac:dyDescent="0.3">
      <c r="C201" s="185">
        <v>96</v>
      </c>
      <c r="D201" s="186">
        <v>352</v>
      </c>
      <c r="E201" s="72" t="str">
        <f t="shared" si="6"/>
        <v>0x60</v>
      </c>
      <c r="F201" s="160"/>
      <c r="G201" s="161"/>
      <c r="H201" s="160"/>
      <c r="I201" s="161"/>
      <c r="J201" s="263"/>
      <c r="K201" s="164"/>
      <c r="L201" s="102">
        <v>7</v>
      </c>
      <c r="M201" s="185">
        <v>96</v>
      </c>
      <c r="N201" s="186">
        <v>352</v>
      </c>
      <c r="O201" s="72" t="str">
        <f t="shared" si="7"/>
        <v>0x60</v>
      </c>
      <c r="P201" s="160"/>
      <c r="Q201" s="160"/>
      <c r="R201" s="160"/>
      <c r="S201" s="160"/>
      <c r="T201" s="287" t="s">
        <v>624</v>
      </c>
      <c r="U201" s="288" t="s">
        <v>581</v>
      </c>
      <c r="V201" s="289" t="s">
        <v>582</v>
      </c>
    </row>
    <row r="202" spans="2:22" ht="16.5" customHeight="1" thickBot="1" x14ac:dyDescent="0.35">
      <c r="C202" s="166">
        <v>97</v>
      </c>
      <c r="D202" s="167">
        <v>353</v>
      </c>
      <c r="E202" s="72" t="str">
        <f t="shared" si="6"/>
        <v>0x61</v>
      </c>
      <c r="F202" s="168"/>
      <c r="G202" s="169"/>
      <c r="H202" s="168"/>
      <c r="I202" s="169"/>
      <c r="J202" s="308"/>
      <c r="K202" s="170"/>
      <c r="L202" s="60"/>
      <c r="M202" s="166">
        <v>97</v>
      </c>
      <c r="N202" s="167">
        <v>353</v>
      </c>
      <c r="O202" s="72" t="str">
        <f t="shared" si="7"/>
        <v>0x61</v>
      </c>
      <c r="P202" s="168"/>
      <c r="Q202" s="168"/>
      <c r="R202" s="168"/>
      <c r="S202" s="168"/>
      <c r="T202" s="109" t="s">
        <v>624</v>
      </c>
      <c r="U202" s="170"/>
      <c r="V202" s="291"/>
    </row>
    <row r="203" spans="2:22" ht="16.5" customHeight="1" thickTop="1" x14ac:dyDescent="0.3">
      <c r="C203" s="166">
        <v>98</v>
      </c>
      <c r="D203" s="167">
        <v>354</v>
      </c>
      <c r="E203" s="72" t="str">
        <f t="shared" si="6"/>
        <v>0x62</v>
      </c>
      <c r="F203" s="168"/>
      <c r="G203" s="169"/>
      <c r="H203" s="168"/>
      <c r="I203" s="169"/>
      <c r="J203" s="308"/>
      <c r="K203" s="170"/>
      <c r="L203" s="60"/>
      <c r="M203" s="166">
        <v>98</v>
      </c>
      <c r="N203" s="167">
        <v>354</v>
      </c>
      <c r="O203" s="72" t="str">
        <f t="shared" si="7"/>
        <v>0x62</v>
      </c>
      <c r="P203" s="168"/>
      <c r="Q203" s="168"/>
      <c r="R203" s="168"/>
      <c r="S203" s="168"/>
      <c r="T203" s="109" t="s">
        <v>625</v>
      </c>
      <c r="U203" s="288" t="s">
        <v>581</v>
      </c>
      <c r="V203" s="291"/>
    </row>
    <row r="204" spans="2:22" ht="16.5" customHeight="1" thickBot="1" x14ac:dyDescent="0.35">
      <c r="C204" s="166">
        <v>99</v>
      </c>
      <c r="D204" s="167">
        <v>355</v>
      </c>
      <c r="E204" s="72" t="str">
        <f t="shared" si="6"/>
        <v>0x63</v>
      </c>
      <c r="F204" s="168"/>
      <c r="G204" s="169"/>
      <c r="H204" s="168"/>
      <c r="I204" s="169"/>
      <c r="J204" s="308"/>
      <c r="K204" s="170"/>
      <c r="L204" s="60"/>
      <c r="M204" s="166">
        <v>99</v>
      </c>
      <c r="N204" s="167">
        <v>355</v>
      </c>
      <c r="O204" s="72" t="str">
        <f t="shared" si="7"/>
        <v>0x63</v>
      </c>
      <c r="P204" s="168"/>
      <c r="Q204" s="168"/>
      <c r="R204" s="168"/>
      <c r="S204" s="168"/>
      <c r="T204" s="109" t="s">
        <v>625</v>
      </c>
      <c r="U204" s="170"/>
      <c r="V204" s="291"/>
    </row>
    <row r="205" spans="2:22" ht="16.5" customHeight="1" thickTop="1" x14ac:dyDescent="0.3">
      <c r="C205" s="166">
        <v>100</v>
      </c>
      <c r="D205" s="167">
        <v>356</v>
      </c>
      <c r="E205" s="72" t="str">
        <f t="shared" si="6"/>
        <v>0x64</v>
      </c>
      <c r="F205" s="168"/>
      <c r="G205" s="169"/>
      <c r="H205" s="168"/>
      <c r="I205" s="169"/>
      <c r="J205" s="308"/>
      <c r="K205" s="170"/>
      <c r="L205" s="60"/>
      <c r="M205" s="166">
        <v>100</v>
      </c>
      <c r="N205" s="167">
        <v>356</v>
      </c>
      <c r="O205" s="72" t="str">
        <f t="shared" si="7"/>
        <v>0x64</v>
      </c>
      <c r="P205" s="168"/>
      <c r="Q205" s="168"/>
      <c r="R205" s="168"/>
      <c r="S205" s="168"/>
      <c r="T205" s="109" t="s">
        <v>626</v>
      </c>
      <c r="U205" s="288" t="s">
        <v>581</v>
      </c>
      <c r="V205" s="291"/>
    </row>
    <row r="206" spans="2:22" ht="16.5" customHeight="1" x14ac:dyDescent="0.3">
      <c r="C206" s="166">
        <v>101</v>
      </c>
      <c r="D206" s="167">
        <v>357</v>
      </c>
      <c r="E206" s="72" t="str">
        <f t="shared" si="6"/>
        <v>0x65</v>
      </c>
      <c r="F206" s="168"/>
      <c r="G206" s="169"/>
      <c r="H206" s="168"/>
      <c r="I206" s="169"/>
      <c r="J206" s="308"/>
      <c r="K206" s="170"/>
      <c r="L206" s="60"/>
      <c r="M206" s="166">
        <v>101</v>
      </c>
      <c r="N206" s="167">
        <v>357</v>
      </c>
      <c r="O206" s="72" t="str">
        <f t="shared" si="7"/>
        <v>0x65</v>
      </c>
      <c r="P206" s="168"/>
      <c r="Q206" s="168"/>
      <c r="R206" s="168"/>
      <c r="S206" s="168"/>
      <c r="T206" s="109" t="s">
        <v>626</v>
      </c>
      <c r="U206" s="170"/>
      <c r="V206" s="292"/>
    </row>
    <row r="207" spans="2:22" ht="16.5" customHeight="1" x14ac:dyDescent="0.3">
      <c r="C207" s="166">
        <v>102</v>
      </c>
      <c r="D207" s="167">
        <v>358</v>
      </c>
      <c r="E207" s="72" t="str">
        <f t="shared" si="6"/>
        <v>0x66</v>
      </c>
      <c r="F207" s="168"/>
      <c r="G207" s="169"/>
      <c r="H207" s="168"/>
      <c r="I207" s="169"/>
      <c r="J207" s="308"/>
      <c r="K207" s="170"/>
      <c r="L207" s="60"/>
      <c r="M207" s="166">
        <v>102</v>
      </c>
      <c r="N207" s="167">
        <v>358</v>
      </c>
      <c r="O207" s="72" t="str">
        <f t="shared" si="7"/>
        <v>0x66</v>
      </c>
      <c r="P207" s="168"/>
      <c r="Q207" s="168"/>
      <c r="R207" s="168"/>
      <c r="S207" s="168"/>
      <c r="T207" s="109" t="s">
        <v>627</v>
      </c>
      <c r="U207" s="170"/>
      <c r="V207" s="301" t="s">
        <v>592</v>
      </c>
    </row>
    <row r="208" spans="2:22" ht="16.5" customHeight="1" x14ac:dyDescent="0.3">
      <c r="C208" s="166">
        <v>103</v>
      </c>
      <c r="D208" s="167">
        <v>359</v>
      </c>
      <c r="E208" s="72" t="str">
        <f t="shared" si="6"/>
        <v>0x67</v>
      </c>
      <c r="F208" s="168"/>
      <c r="G208" s="169"/>
      <c r="H208" s="168"/>
      <c r="I208" s="169"/>
      <c r="J208" s="308"/>
      <c r="K208" s="170"/>
      <c r="L208" s="60"/>
      <c r="M208" s="166">
        <v>103</v>
      </c>
      <c r="N208" s="167">
        <v>359</v>
      </c>
      <c r="O208" s="72" t="str">
        <f t="shared" si="7"/>
        <v>0x67</v>
      </c>
      <c r="P208" s="168"/>
      <c r="Q208" s="168"/>
      <c r="R208" s="168"/>
      <c r="S208" s="168"/>
      <c r="T208" s="109" t="s">
        <v>628</v>
      </c>
      <c r="U208" s="170"/>
      <c r="V208" s="301" t="s">
        <v>594</v>
      </c>
    </row>
    <row r="209" spans="2:22" ht="16.5" customHeight="1" x14ac:dyDescent="0.3">
      <c r="C209" s="166">
        <v>104</v>
      </c>
      <c r="D209" s="167">
        <v>360</v>
      </c>
      <c r="E209" s="72" t="str">
        <f t="shared" si="6"/>
        <v>0x68</v>
      </c>
      <c r="F209" s="168"/>
      <c r="G209" s="169"/>
      <c r="H209" s="168"/>
      <c r="I209" s="169"/>
      <c r="J209" s="308"/>
      <c r="K209" s="170"/>
      <c r="L209" s="60"/>
      <c r="M209" s="166">
        <v>104</v>
      </c>
      <c r="N209" s="167">
        <v>360</v>
      </c>
      <c r="O209" s="72" t="str">
        <f t="shared" si="7"/>
        <v>0x68</v>
      </c>
      <c r="P209" s="168"/>
      <c r="Q209" s="168"/>
      <c r="R209" s="168"/>
      <c r="S209" s="168"/>
      <c r="T209" s="304"/>
      <c r="U209" s="170"/>
    </row>
    <row r="210" spans="2:22" ht="16.5" customHeight="1" x14ac:dyDescent="0.3">
      <c r="C210" s="166">
        <v>105</v>
      </c>
      <c r="D210" s="167">
        <v>361</v>
      </c>
      <c r="E210" s="72" t="str">
        <f t="shared" si="6"/>
        <v>0x69</v>
      </c>
      <c r="F210" s="168"/>
      <c r="G210" s="169"/>
      <c r="H210" s="168"/>
      <c r="I210" s="169"/>
      <c r="J210" s="308"/>
      <c r="K210" s="170"/>
      <c r="L210" s="60"/>
      <c r="M210" s="166">
        <v>105</v>
      </c>
      <c r="N210" s="167">
        <v>361</v>
      </c>
      <c r="O210" s="72" t="str">
        <f t="shared" si="7"/>
        <v>0x69</v>
      </c>
      <c r="P210" s="168"/>
      <c r="Q210" s="168"/>
      <c r="R210" s="168"/>
      <c r="S210" s="168"/>
      <c r="T210" s="304"/>
      <c r="U210" s="170"/>
    </row>
    <row r="211" spans="2:22" ht="16.5" customHeight="1" x14ac:dyDescent="0.3">
      <c r="C211" s="166">
        <v>106</v>
      </c>
      <c r="D211" s="167">
        <v>362</v>
      </c>
      <c r="E211" s="72" t="str">
        <f t="shared" si="6"/>
        <v>0x6A</v>
      </c>
      <c r="F211" s="168"/>
      <c r="G211" s="169"/>
      <c r="H211" s="168"/>
      <c r="I211" s="169"/>
      <c r="J211" s="308"/>
      <c r="K211" s="170"/>
      <c r="L211" s="60"/>
      <c r="M211" s="166">
        <v>106</v>
      </c>
      <c r="N211" s="167">
        <v>362</v>
      </c>
      <c r="O211" s="72" t="str">
        <f t="shared" si="7"/>
        <v>0x6A</v>
      </c>
      <c r="P211" s="168"/>
      <c r="Q211" s="168"/>
      <c r="R211" s="168"/>
      <c r="S211" s="168"/>
      <c r="T211" s="109" t="s">
        <v>629</v>
      </c>
      <c r="U211" s="170"/>
      <c r="V211" s="295" t="s">
        <v>599</v>
      </c>
    </row>
    <row r="212" spans="2:22" ht="16.5" customHeight="1" x14ac:dyDescent="0.3">
      <c r="C212" s="166">
        <v>107</v>
      </c>
      <c r="D212" s="167">
        <v>363</v>
      </c>
      <c r="E212" s="72" t="str">
        <f t="shared" si="6"/>
        <v>0x6B</v>
      </c>
      <c r="F212" s="168"/>
      <c r="G212" s="169"/>
      <c r="H212" s="168"/>
      <c r="I212" s="169"/>
      <c r="J212" s="308"/>
      <c r="K212" s="170"/>
      <c r="L212" s="60"/>
      <c r="M212" s="166">
        <v>107</v>
      </c>
      <c r="N212" s="167">
        <v>363</v>
      </c>
      <c r="O212" s="72" t="str">
        <f t="shared" si="7"/>
        <v>0x6B</v>
      </c>
      <c r="P212" s="168"/>
      <c r="Q212" s="168"/>
      <c r="R212" s="168"/>
      <c r="S212" s="168"/>
      <c r="T212" s="109" t="s">
        <v>630</v>
      </c>
      <c r="U212" s="170"/>
      <c r="V212" s="295" t="s">
        <v>601</v>
      </c>
    </row>
    <row r="213" spans="2:22" ht="16.5" customHeight="1" x14ac:dyDescent="0.3">
      <c r="B213" s="171" t="s">
        <v>631</v>
      </c>
      <c r="C213" s="166">
        <v>108</v>
      </c>
      <c r="D213" s="167">
        <v>364</v>
      </c>
      <c r="E213" s="72" t="str">
        <f t="shared" si="6"/>
        <v>0x6C</v>
      </c>
      <c r="F213" s="168"/>
      <c r="G213" s="169"/>
      <c r="H213" s="168"/>
      <c r="I213" s="169"/>
      <c r="J213" s="109" t="s">
        <v>632</v>
      </c>
      <c r="K213" s="170"/>
      <c r="L213" s="60"/>
      <c r="M213" s="166">
        <v>108</v>
      </c>
      <c r="N213" s="167">
        <v>364</v>
      </c>
      <c r="O213" s="72" t="str">
        <f t="shared" si="7"/>
        <v>0x6C</v>
      </c>
      <c r="P213" s="168"/>
      <c r="Q213" s="168"/>
      <c r="R213" s="168"/>
      <c r="S213" s="168"/>
      <c r="T213" s="109" t="s">
        <v>633</v>
      </c>
      <c r="U213" s="170"/>
      <c r="V213" s="296" t="s">
        <v>582</v>
      </c>
    </row>
    <row r="214" spans="2:22" ht="16.5" customHeight="1" x14ac:dyDescent="0.3">
      <c r="B214" s="171" t="s">
        <v>631</v>
      </c>
      <c r="C214" s="166">
        <v>109</v>
      </c>
      <c r="D214" s="167">
        <v>365</v>
      </c>
      <c r="E214" s="72" t="str">
        <f t="shared" si="6"/>
        <v>0x6D</v>
      </c>
      <c r="F214" s="168"/>
      <c r="G214" s="169"/>
      <c r="H214" s="168"/>
      <c r="I214" s="169"/>
      <c r="J214" s="109" t="s">
        <v>634</v>
      </c>
      <c r="K214" s="170"/>
      <c r="L214" s="60"/>
      <c r="M214" s="166">
        <v>109</v>
      </c>
      <c r="N214" s="167">
        <v>365</v>
      </c>
      <c r="O214" s="72" t="str">
        <f t="shared" si="7"/>
        <v>0x6D</v>
      </c>
      <c r="P214" s="168"/>
      <c r="Q214" s="168"/>
      <c r="R214" s="168"/>
      <c r="S214" s="168"/>
      <c r="T214" s="109"/>
      <c r="U214" s="170"/>
    </row>
    <row r="215" spans="2:22" ht="16.5" customHeight="1" x14ac:dyDescent="0.3">
      <c r="B215" s="171" t="s">
        <v>631</v>
      </c>
      <c r="C215" s="166">
        <v>110</v>
      </c>
      <c r="D215" s="167">
        <v>366</v>
      </c>
      <c r="E215" s="72" t="str">
        <f t="shared" si="6"/>
        <v>0x6E</v>
      </c>
      <c r="F215" s="168"/>
      <c r="G215" s="169"/>
      <c r="H215" s="168"/>
      <c r="I215" s="169"/>
      <c r="J215" s="109" t="s">
        <v>635</v>
      </c>
      <c r="K215" s="170"/>
      <c r="L215" s="60"/>
      <c r="M215" s="166">
        <v>110</v>
      </c>
      <c r="N215" s="167">
        <v>366</v>
      </c>
      <c r="O215" s="72" t="str">
        <f t="shared" si="7"/>
        <v>0x6E</v>
      </c>
      <c r="P215" s="168"/>
      <c r="Q215" s="168"/>
      <c r="R215" s="168"/>
      <c r="S215" s="168"/>
      <c r="T215" s="109"/>
      <c r="U215" s="176"/>
    </row>
    <row r="216" spans="2:22" ht="16.5" customHeight="1" thickBot="1" x14ac:dyDescent="0.35">
      <c r="B216" s="171" t="s">
        <v>631</v>
      </c>
      <c r="C216" s="178">
        <v>111</v>
      </c>
      <c r="D216" s="179">
        <v>367</v>
      </c>
      <c r="E216" s="91" t="str">
        <f t="shared" si="6"/>
        <v>0x6F</v>
      </c>
      <c r="F216" s="180"/>
      <c r="G216" s="181"/>
      <c r="H216" s="180"/>
      <c r="I216" s="181"/>
      <c r="J216" s="297" t="s">
        <v>636</v>
      </c>
      <c r="K216" s="190"/>
      <c r="L216" s="98"/>
      <c r="M216" s="178">
        <v>111</v>
      </c>
      <c r="N216" s="179">
        <v>367</v>
      </c>
      <c r="O216" s="91" t="str">
        <f t="shared" si="7"/>
        <v>0x6F</v>
      </c>
      <c r="P216" s="180"/>
      <c r="Q216" s="180"/>
      <c r="R216" s="180"/>
      <c r="S216" s="180"/>
      <c r="T216" s="297"/>
      <c r="U216" s="184"/>
    </row>
    <row r="217" spans="2:22" ht="17.25" customHeight="1" thickTop="1" x14ac:dyDescent="0.3">
      <c r="C217" s="185">
        <v>112</v>
      </c>
      <c r="D217" s="186">
        <v>368</v>
      </c>
      <c r="E217" s="72" t="str">
        <f t="shared" si="6"/>
        <v>0x70</v>
      </c>
      <c r="F217" s="160"/>
      <c r="G217" s="161"/>
      <c r="H217" s="160"/>
      <c r="I217" s="161"/>
      <c r="J217" s="287"/>
      <c r="K217" s="164"/>
      <c r="L217" s="102">
        <v>8</v>
      </c>
      <c r="M217" s="185">
        <v>112</v>
      </c>
      <c r="N217" s="186">
        <v>368</v>
      </c>
      <c r="O217" s="72" t="str">
        <f t="shared" si="7"/>
        <v>0x70</v>
      </c>
      <c r="P217" s="160"/>
      <c r="Q217" s="160"/>
      <c r="R217" s="160"/>
      <c r="S217" s="160"/>
      <c r="T217" s="287" t="s">
        <v>637</v>
      </c>
      <c r="U217" s="288" t="s">
        <v>581</v>
      </c>
      <c r="V217" s="289" t="s">
        <v>582</v>
      </c>
    </row>
    <row r="218" spans="2:22" ht="16.5" customHeight="1" thickBot="1" x14ac:dyDescent="0.35">
      <c r="C218" s="166">
        <v>113</v>
      </c>
      <c r="D218" s="167">
        <v>369</v>
      </c>
      <c r="E218" s="72" t="str">
        <f t="shared" si="6"/>
        <v>0x71</v>
      </c>
      <c r="F218" s="168"/>
      <c r="G218" s="169"/>
      <c r="H218" s="168"/>
      <c r="I218" s="169"/>
      <c r="J218" s="109" t="s">
        <v>638</v>
      </c>
      <c r="K218" s="170"/>
      <c r="L218" s="60"/>
      <c r="M218" s="166">
        <v>113</v>
      </c>
      <c r="N218" s="167">
        <v>369</v>
      </c>
      <c r="O218" s="72" t="str">
        <f t="shared" si="7"/>
        <v>0x71</v>
      </c>
      <c r="P218" s="168"/>
      <c r="Q218" s="168"/>
      <c r="R218" s="168"/>
      <c r="S218" s="168"/>
      <c r="T218" s="109" t="s">
        <v>637</v>
      </c>
      <c r="U218" s="170"/>
      <c r="V218" s="291"/>
    </row>
    <row r="219" spans="2:22" ht="16.5" customHeight="1" thickTop="1" x14ac:dyDescent="0.3">
      <c r="C219" s="166">
        <v>114</v>
      </c>
      <c r="D219" s="167">
        <v>370</v>
      </c>
      <c r="E219" s="72" t="str">
        <f t="shared" si="6"/>
        <v>0x72</v>
      </c>
      <c r="F219" s="168"/>
      <c r="G219" s="169"/>
      <c r="H219" s="168"/>
      <c r="I219" s="169"/>
      <c r="J219" s="109" t="s">
        <v>639</v>
      </c>
      <c r="K219" s="170"/>
      <c r="L219" s="60"/>
      <c r="M219" s="166">
        <v>114</v>
      </c>
      <c r="N219" s="167">
        <v>370</v>
      </c>
      <c r="O219" s="72" t="str">
        <f t="shared" si="7"/>
        <v>0x72</v>
      </c>
      <c r="P219" s="168"/>
      <c r="Q219" s="168"/>
      <c r="R219" s="168"/>
      <c r="S219" s="168"/>
      <c r="T219" s="109" t="s">
        <v>640</v>
      </c>
      <c r="U219" s="288" t="s">
        <v>581</v>
      </c>
      <c r="V219" s="291"/>
    </row>
    <row r="220" spans="2:22" ht="16.5" customHeight="1" thickBot="1" x14ac:dyDescent="0.35">
      <c r="C220" s="166">
        <v>115</v>
      </c>
      <c r="D220" s="167">
        <v>371</v>
      </c>
      <c r="E220" s="72" t="str">
        <f t="shared" si="6"/>
        <v>0x73</v>
      </c>
      <c r="F220" s="168"/>
      <c r="G220" s="169"/>
      <c r="H220" s="168"/>
      <c r="I220" s="169"/>
      <c r="J220" s="109" t="s">
        <v>641</v>
      </c>
      <c r="K220" s="170"/>
      <c r="L220" s="60"/>
      <c r="M220" s="166">
        <v>115</v>
      </c>
      <c r="N220" s="167">
        <v>371</v>
      </c>
      <c r="O220" s="72" t="str">
        <f t="shared" si="7"/>
        <v>0x73</v>
      </c>
      <c r="P220" s="168"/>
      <c r="Q220" s="168"/>
      <c r="R220" s="168"/>
      <c r="S220" s="168"/>
      <c r="T220" s="109" t="s">
        <v>640</v>
      </c>
      <c r="U220" s="170"/>
      <c r="V220" s="291"/>
    </row>
    <row r="221" spans="2:22" ht="16.5" customHeight="1" thickTop="1" x14ac:dyDescent="0.3">
      <c r="C221" s="166">
        <v>116</v>
      </c>
      <c r="D221" s="167">
        <v>372</v>
      </c>
      <c r="E221" s="72" t="str">
        <f t="shared" si="6"/>
        <v>0x74</v>
      </c>
      <c r="F221" s="168"/>
      <c r="G221" s="169"/>
      <c r="H221" s="168"/>
      <c r="I221" s="169"/>
      <c r="J221" s="109" t="s">
        <v>642</v>
      </c>
      <c r="K221" s="170"/>
      <c r="L221" s="60"/>
      <c r="M221" s="166">
        <v>116</v>
      </c>
      <c r="N221" s="167">
        <v>372</v>
      </c>
      <c r="O221" s="72" t="str">
        <f t="shared" si="7"/>
        <v>0x74</v>
      </c>
      <c r="P221" s="168"/>
      <c r="Q221" s="168"/>
      <c r="R221" s="168"/>
      <c r="S221" s="168"/>
      <c r="T221" s="109" t="s">
        <v>643</v>
      </c>
      <c r="U221" s="288" t="s">
        <v>581</v>
      </c>
      <c r="V221" s="291"/>
    </row>
    <row r="222" spans="2:22" ht="16.5" customHeight="1" x14ac:dyDescent="0.3">
      <c r="C222" s="166">
        <v>117</v>
      </c>
      <c r="D222" s="167">
        <v>373</v>
      </c>
      <c r="E222" s="72" t="str">
        <f t="shared" si="6"/>
        <v>0x75</v>
      </c>
      <c r="F222" s="168"/>
      <c r="G222" s="169"/>
      <c r="H222" s="168"/>
      <c r="I222" s="169"/>
      <c r="J222" s="109"/>
      <c r="K222" s="170"/>
      <c r="L222" s="60"/>
      <c r="M222" s="166">
        <v>117</v>
      </c>
      <c r="N222" s="167">
        <v>373</v>
      </c>
      <c r="O222" s="72" t="str">
        <f t="shared" si="7"/>
        <v>0x75</v>
      </c>
      <c r="P222" s="168"/>
      <c r="Q222" s="168"/>
      <c r="R222" s="168"/>
      <c r="S222" s="168"/>
      <c r="T222" s="109" t="s">
        <v>643</v>
      </c>
      <c r="U222" s="170"/>
      <c r="V222" s="292"/>
    </row>
    <row r="223" spans="2:22" ht="16.5" customHeight="1" x14ac:dyDescent="0.3">
      <c r="C223" s="166">
        <v>118</v>
      </c>
      <c r="D223" s="167">
        <v>374</v>
      </c>
      <c r="E223" s="72" t="str">
        <f t="shared" si="6"/>
        <v>0x76</v>
      </c>
      <c r="F223" s="168"/>
      <c r="G223" s="169"/>
      <c r="H223" s="168"/>
      <c r="I223" s="169"/>
      <c r="J223" s="109"/>
      <c r="K223" s="170"/>
      <c r="L223" s="60"/>
      <c r="M223" s="166">
        <v>118</v>
      </c>
      <c r="N223" s="167">
        <v>374</v>
      </c>
      <c r="O223" s="72" t="str">
        <f t="shared" si="7"/>
        <v>0x76</v>
      </c>
      <c r="P223" s="168"/>
      <c r="Q223" s="168"/>
      <c r="R223" s="168"/>
      <c r="S223" s="168"/>
      <c r="T223" s="109" t="s">
        <v>644</v>
      </c>
      <c r="U223" s="170"/>
      <c r="V223" s="301" t="s">
        <v>592</v>
      </c>
    </row>
    <row r="224" spans="2:22" ht="16.5" customHeight="1" x14ac:dyDescent="0.3">
      <c r="C224" s="166">
        <v>119</v>
      </c>
      <c r="D224" s="167">
        <v>375</v>
      </c>
      <c r="E224" s="72" t="str">
        <f t="shared" si="6"/>
        <v>0x77</v>
      </c>
      <c r="F224" s="168"/>
      <c r="G224" s="169"/>
      <c r="H224" s="168"/>
      <c r="I224" s="169"/>
      <c r="J224" s="109"/>
      <c r="K224" s="170"/>
      <c r="L224" s="60"/>
      <c r="M224" s="166">
        <v>119</v>
      </c>
      <c r="N224" s="167">
        <v>375</v>
      </c>
      <c r="O224" s="72" t="str">
        <f t="shared" si="7"/>
        <v>0x77</v>
      </c>
      <c r="P224" s="168"/>
      <c r="Q224" s="168"/>
      <c r="R224" s="168"/>
      <c r="S224" s="168"/>
      <c r="T224" s="109" t="s">
        <v>645</v>
      </c>
      <c r="U224" s="170"/>
      <c r="V224" s="301" t="s">
        <v>594</v>
      </c>
    </row>
    <row r="225" spans="3:22" ht="16.5" customHeight="1" x14ac:dyDescent="0.3">
      <c r="C225" s="166">
        <v>120</v>
      </c>
      <c r="D225" s="167">
        <v>376</v>
      </c>
      <c r="E225" s="72" t="str">
        <f t="shared" si="6"/>
        <v>0x78</v>
      </c>
      <c r="F225" s="168"/>
      <c r="G225" s="169"/>
      <c r="H225" s="168"/>
      <c r="I225" s="169"/>
      <c r="J225" s="110" t="s">
        <v>646</v>
      </c>
      <c r="K225" s="170"/>
      <c r="L225" s="60"/>
      <c r="M225" s="166">
        <v>120</v>
      </c>
      <c r="N225" s="167">
        <v>376</v>
      </c>
      <c r="O225" s="72" t="str">
        <f t="shared" si="7"/>
        <v>0x78</v>
      </c>
      <c r="P225" s="168"/>
      <c r="Q225" s="168"/>
      <c r="R225" s="168"/>
      <c r="S225" s="168"/>
      <c r="T225" s="304"/>
      <c r="U225" s="170"/>
    </row>
    <row r="226" spans="3:22" ht="16.5" customHeight="1" x14ac:dyDescent="0.3">
      <c r="C226" s="166">
        <v>121</v>
      </c>
      <c r="D226" s="167">
        <v>377</v>
      </c>
      <c r="E226" s="72" t="str">
        <f t="shared" si="6"/>
        <v>0x79</v>
      </c>
      <c r="F226" s="168"/>
      <c r="G226" s="169"/>
      <c r="H226" s="168"/>
      <c r="I226" s="169"/>
      <c r="J226" s="110" t="s">
        <v>647</v>
      </c>
      <c r="K226" s="170"/>
      <c r="L226" s="60"/>
      <c r="M226" s="166">
        <v>121</v>
      </c>
      <c r="N226" s="167">
        <v>377</v>
      </c>
      <c r="O226" s="72" t="str">
        <f t="shared" si="7"/>
        <v>0x79</v>
      </c>
      <c r="P226" s="168"/>
      <c r="Q226" s="168"/>
      <c r="R226" s="168"/>
      <c r="S226" s="168"/>
      <c r="T226" s="304"/>
      <c r="U226" s="170"/>
    </row>
    <row r="227" spans="3:22" ht="16.5" customHeight="1" x14ac:dyDescent="0.3">
      <c r="C227" s="166">
        <v>122</v>
      </c>
      <c r="D227" s="167">
        <v>378</v>
      </c>
      <c r="E227" s="72" t="str">
        <f t="shared" si="6"/>
        <v>0x7A</v>
      </c>
      <c r="F227" s="168"/>
      <c r="G227" s="169"/>
      <c r="H227" s="168"/>
      <c r="I227" s="169"/>
      <c r="J227" s="110" t="s">
        <v>648</v>
      </c>
      <c r="K227" s="170"/>
      <c r="L227" s="60"/>
      <c r="M227" s="166">
        <v>122</v>
      </c>
      <c r="N227" s="167">
        <v>378</v>
      </c>
      <c r="O227" s="72" t="str">
        <f t="shared" si="7"/>
        <v>0x7A</v>
      </c>
      <c r="P227" s="168"/>
      <c r="Q227" s="168"/>
      <c r="R227" s="168"/>
      <c r="S227" s="168"/>
      <c r="T227" s="109" t="s">
        <v>649</v>
      </c>
      <c r="U227" s="170"/>
      <c r="V227" s="295" t="s">
        <v>599</v>
      </c>
    </row>
    <row r="228" spans="3:22" ht="16.5" customHeight="1" x14ac:dyDescent="0.3">
      <c r="C228" s="166">
        <v>123</v>
      </c>
      <c r="D228" s="167">
        <v>379</v>
      </c>
      <c r="E228" s="72" t="str">
        <f t="shared" si="6"/>
        <v>0x7B</v>
      </c>
      <c r="F228" s="168"/>
      <c r="G228" s="169"/>
      <c r="H228" s="168"/>
      <c r="I228" s="169"/>
      <c r="J228" s="110" t="s">
        <v>650</v>
      </c>
      <c r="K228" s="170"/>
      <c r="L228" s="60"/>
      <c r="M228" s="166">
        <v>123</v>
      </c>
      <c r="N228" s="167">
        <v>379</v>
      </c>
      <c r="O228" s="72" t="str">
        <f t="shared" si="7"/>
        <v>0x7B</v>
      </c>
      <c r="P228" s="168"/>
      <c r="Q228" s="168"/>
      <c r="R228" s="168"/>
      <c r="S228" s="168"/>
      <c r="T228" s="109" t="s">
        <v>651</v>
      </c>
      <c r="U228" s="170"/>
      <c r="V228" s="295" t="s">
        <v>601</v>
      </c>
    </row>
    <row r="229" spans="3:22" ht="16.5" customHeight="1" x14ac:dyDescent="0.3">
      <c r="C229" s="166">
        <v>124</v>
      </c>
      <c r="D229" s="167">
        <v>380</v>
      </c>
      <c r="E229" s="72" t="str">
        <f t="shared" si="6"/>
        <v>0x7C</v>
      </c>
      <c r="F229" s="168"/>
      <c r="G229" s="169"/>
      <c r="H229" s="168"/>
      <c r="I229" s="169"/>
      <c r="J229" s="109"/>
      <c r="K229" s="170"/>
      <c r="L229" s="60"/>
      <c r="M229" s="166">
        <v>124</v>
      </c>
      <c r="N229" s="167">
        <v>380</v>
      </c>
      <c r="O229" s="72" t="str">
        <f t="shared" si="7"/>
        <v>0x7C</v>
      </c>
      <c r="P229" s="168"/>
      <c r="Q229" s="168"/>
      <c r="R229" s="168"/>
      <c r="S229" s="168"/>
      <c r="T229" s="109" t="s">
        <v>652</v>
      </c>
      <c r="U229" s="170"/>
      <c r="V229" s="296" t="s">
        <v>582</v>
      </c>
    </row>
    <row r="230" spans="3:22" ht="16.5" customHeight="1" x14ac:dyDescent="0.3">
      <c r="C230" s="166">
        <v>125</v>
      </c>
      <c r="D230" s="167">
        <v>381</v>
      </c>
      <c r="E230" s="72" t="str">
        <f t="shared" si="6"/>
        <v>0x7D</v>
      </c>
      <c r="F230" s="168"/>
      <c r="G230" s="169"/>
      <c r="H230" s="168"/>
      <c r="I230" s="169"/>
      <c r="J230" s="109"/>
      <c r="K230" s="170"/>
      <c r="L230" s="60"/>
      <c r="M230" s="166">
        <v>125</v>
      </c>
      <c r="N230" s="167">
        <v>381</v>
      </c>
      <c r="O230" s="72" t="str">
        <f t="shared" si="7"/>
        <v>0x7D</v>
      </c>
      <c r="P230" s="168"/>
      <c r="Q230" s="168"/>
      <c r="R230" s="168"/>
      <c r="S230" s="168"/>
      <c r="T230" s="109"/>
      <c r="U230" s="170"/>
    </row>
    <row r="231" spans="3:22" ht="16.5" customHeight="1" x14ac:dyDescent="0.3">
      <c r="C231" s="166">
        <v>126</v>
      </c>
      <c r="D231" s="167">
        <v>382</v>
      </c>
      <c r="E231" s="72" t="str">
        <f t="shared" si="6"/>
        <v>0x7E</v>
      </c>
      <c r="F231" s="168"/>
      <c r="G231" s="169"/>
      <c r="H231" s="168"/>
      <c r="I231" s="169"/>
      <c r="J231" s="109"/>
      <c r="K231" s="170"/>
      <c r="L231" s="60"/>
      <c r="M231" s="166">
        <v>126</v>
      </c>
      <c r="N231" s="167">
        <v>382</v>
      </c>
      <c r="O231" s="72" t="str">
        <f t="shared" si="7"/>
        <v>0x7E</v>
      </c>
      <c r="P231" s="168"/>
      <c r="Q231" s="168"/>
      <c r="R231" s="168"/>
      <c r="S231" s="168"/>
      <c r="T231" s="109"/>
      <c r="U231" s="176"/>
    </row>
    <row r="232" spans="3:22" ht="17.25" customHeight="1" thickBot="1" x14ac:dyDescent="0.35">
      <c r="C232" s="178">
        <v>127</v>
      </c>
      <c r="D232" s="179">
        <v>383</v>
      </c>
      <c r="E232" s="91" t="str">
        <f t="shared" si="6"/>
        <v>0x7F</v>
      </c>
      <c r="F232" s="180"/>
      <c r="G232" s="181"/>
      <c r="H232" s="180"/>
      <c r="I232" s="181"/>
      <c r="J232" s="309"/>
      <c r="K232" s="190"/>
      <c r="L232" s="98"/>
      <c r="M232" s="178">
        <v>127</v>
      </c>
      <c r="N232" s="179">
        <v>383</v>
      </c>
      <c r="O232" s="91" t="str">
        <f t="shared" si="7"/>
        <v>0x7F</v>
      </c>
      <c r="P232" s="180"/>
      <c r="Q232" s="180"/>
      <c r="R232" s="180"/>
      <c r="S232" s="180"/>
      <c r="T232" s="297"/>
      <c r="U232" s="184"/>
    </row>
    <row r="233" spans="3:22" ht="17.25" customHeight="1" thickTop="1" x14ac:dyDescent="0.3">
      <c r="C233" s="185">
        <v>128</v>
      </c>
      <c r="D233" s="186">
        <v>384</v>
      </c>
      <c r="E233" s="72" t="str">
        <f t="shared" si="6"/>
        <v>0x80</v>
      </c>
      <c r="F233" s="160"/>
      <c r="G233" s="161"/>
      <c r="H233" s="160"/>
      <c r="I233" s="161"/>
      <c r="J233" s="310"/>
      <c r="K233" s="164"/>
      <c r="L233" s="102">
        <v>9</v>
      </c>
      <c r="M233" s="185">
        <v>128</v>
      </c>
      <c r="N233" s="186">
        <v>384</v>
      </c>
      <c r="O233" s="72" t="str">
        <f t="shared" si="7"/>
        <v>0x80</v>
      </c>
      <c r="P233" s="160"/>
      <c r="Q233" s="160"/>
      <c r="R233" s="160"/>
      <c r="S233" s="160"/>
      <c r="T233" s="109" t="s">
        <v>653</v>
      </c>
      <c r="U233" s="164"/>
    </row>
    <row r="234" spans="3:22" ht="16.5" customHeight="1" x14ac:dyDescent="0.3">
      <c r="C234" s="166">
        <v>129</v>
      </c>
      <c r="D234" s="167">
        <v>385</v>
      </c>
      <c r="E234" s="72" t="str">
        <f t="shared" si="6"/>
        <v>0x81</v>
      </c>
      <c r="F234" s="168"/>
      <c r="G234" s="169"/>
      <c r="H234" s="168"/>
      <c r="I234" s="169"/>
      <c r="J234" s="308"/>
      <c r="K234" s="170"/>
      <c r="L234" s="60"/>
      <c r="M234" s="166">
        <v>129</v>
      </c>
      <c r="N234" s="167">
        <v>385</v>
      </c>
      <c r="O234" s="72" t="str">
        <f t="shared" si="7"/>
        <v>0x81</v>
      </c>
      <c r="P234" s="168"/>
      <c r="Q234" s="168"/>
      <c r="R234" s="168"/>
      <c r="S234" s="168"/>
      <c r="T234" s="109" t="s">
        <v>654</v>
      </c>
      <c r="U234" s="170"/>
    </row>
    <row r="235" spans="3:22" ht="16.5" customHeight="1" x14ac:dyDescent="0.3">
      <c r="C235" s="166">
        <v>130</v>
      </c>
      <c r="D235" s="167">
        <v>386</v>
      </c>
      <c r="E235" s="72" t="str">
        <f t="shared" ref="E235:E298" si="8">CONCATENATE("0x", DEC2HEX(C235,2))</f>
        <v>0x82</v>
      </c>
      <c r="F235" s="168"/>
      <c r="G235" s="169"/>
      <c r="H235" s="168"/>
      <c r="I235" s="169"/>
      <c r="J235" s="308"/>
      <c r="K235" s="170"/>
      <c r="L235" s="60"/>
      <c r="M235" s="166">
        <v>130</v>
      </c>
      <c r="N235" s="167">
        <v>386</v>
      </c>
      <c r="O235" s="72" t="str">
        <f t="shared" ref="O235:O298" si="9">CONCATENATE("0x", DEC2HEX(M235,2))</f>
        <v>0x82</v>
      </c>
      <c r="P235" s="168"/>
      <c r="Q235" s="168"/>
      <c r="R235" s="168"/>
      <c r="S235" s="168"/>
      <c r="T235" s="109" t="s">
        <v>655</v>
      </c>
      <c r="U235" s="170"/>
    </row>
    <row r="236" spans="3:22" ht="16.5" customHeight="1" x14ac:dyDescent="0.3">
      <c r="C236" s="166">
        <v>131</v>
      </c>
      <c r="D236" s="167">
        <v>387</v>
      </c>
      <c r="E236" s="72" t="str">
        <f t="shared" si="8"/>
        <v>0x83</v>
      </c>
      <c r="F236" s="168"/>
      <c r="G236" s="169"/>
      <c r="H236" s="168"/>
      <c r="I236" s="169"/>
      <c r="J236" s="308"/>
      <c r="K236" s="170"/>
      <c r="L236" s="60"/>
      <c r="M236" s="166">
        <v>131</v>
      </c>
      <c r="N236" s="167">
        <v>387</v>
      </c>
      <c r="O236" s="72" t="str">
        <f t="shared" si="9"/>
        <v>0x83</v>
      </c>
      <c r="P236" s="168"/>
      <c r="Q236" s="168"/>
      <c r="R236" s="168"/>
      <c r="S236" s="168"/>
      <c r="T236" s="109" t="s">
        <v>656</v>
      </c>
      <c r="U236" s="170"/>
    </row>
    <row r="237" spans="3:22" ht="16.5" customHeight="1" x14ac:dyDescent="0.3">
      <c r="C237" s="166">
        <v>132</v>
      </c>
      <c r="D237" s="167">
        <v>388</v>
      </c>
      <c r="E237" s="72" t="str">
        <f t="shared" si="8"/>
        <v>0x84</v>
      </c>
      <c r="F237" s="168"/>
      <c r="G237" s="169"/>
      <c r="H237" s="168"/>
      <c r="I237" s="169"/>
      <c r="J237" s="308"/>
      <c r="K237" s="170"/>
      <c r="L237" s="60"/>
      <c r="M237" s="166">
        <v>132</v>
      </c>
      <c r="N237" s="167">
        <v>388</v>
      </c>
      <c r="O237" s="72" t="str">
        <f t="shared" si="9"/>
        <v>0x84</v>
      </c>
      <c r="P237" s="168"/>
      <c r="Q237" s="168"/>
      <c r="R237" s="168"/>
      <c r="S237" s="168"/>
      <c r="T237" s="311" t="s">
        <v>619</v>
      </c>
      <c r="U237" s="170"/>
    </row>
    <row r="238" spans="3:22" ht="16.5" customHeight="1" x14ac:dyDescent="0.3">
      <c r="C238" s="166">
        <v>133</v>
      </c>
      <c r="D238" s="167">
        <v>389</v>
      </c>
      <c r="E238" s="72" t="str">
        <f t="shared" si="8"/>
        <v>0x85</v>
      </c>
      <c r="F238" s="168"/>
      <c r="G238" s="169"/>
      <c r="H238" s="168"/>
      <c r="I238" s="169"/>
      <c r="J238" s="308"/>
      <c r="K238" s="170"/>
      <c r="L238" s="60"/>
      <c r="M238" s="166">
        <v>133</v>
      </c>
      <c r="N238" s="167">
        <v>389</v>
      </c>
      <c r="O238" s="72" t="str">
        <f t="shared" si="9"/>
        <v>0x85</v>
      </c>
      <c r="P238" s="168"/>
      <c r="Q238" s="168"/>
      <c r="R238" s="168"/>
      <c r="S238" s="168"/>
      <c r="T238" s="109" t="s">
        <v>619</v>
      </c>
      <c r="U238" s="170"/>
    </row>
    <row r="239" spans="3:22" ht="16.5" customHeight="1" x14ac:dyDescent="0.3">
      <c r="C239" s="166">
        <v>134</v>
      </c>
      <c r="D239" s="167">
        <v>390</v>
      </c>
      <c r="E239" s="72" t="str">
        <f t="shared" si="8"/>
        <v>0x86</v>
      </c>
      <c r="F239" s="168"/>
      <c r="G239" s="169"/>
      <c r="H239" s="168"/>
      <c r="I239" s="169"/>
      <c r="J239" s="308"/>
      <c r="K239" s="170"/>
      <c r="L239" s="60"/>
      <c r="M239" s="166">
        <v>134</v>
      </c>
      <c r="N239" s="167">
        <v>390</v>
      </c>
      <c r="O239" s="72" t="str">
        <f t="shared" si="9"/>
        <v>0x86</v>
      </c>
      <c r="P239" s="168"/>
      <c r="Q239" s="168"/>
      <c r="R239" s="168"/>
      <c r="S239" s="168"/>
      <c r="T239" s="109" t="s">
        <v>622</v>
      </c>
      <c r="U239" s="170"/>
    </row>
    <row r="240" spans="3:22" ht="16.5" customHeight="1" x14ac:dyDescent="0.3">
      <c r="C240" s="166">
        <v>135</v>
      </c>
      <c r="D240" s="167">
        <v>391</v>
      </c>
      <c r="E240" s="72" t="str">
        <f t="shared" si="8"/>
        <v>0x87</v>
      </c>
      <c r="F240" s="168"/>
      <c r="G240" s="169"/>
      <c r="H240" s="168"/>
      <c r="I240" s="169"/>
      <c r="J240" s="308"/>
      <c r="K240" s="170"/>
      <c r="L240" s="60"/>
      <c r="M240" s="166">
        <v>135</v>
      </c>
      <c r="N240" s="167">
        <v>391</v>
      </c>
      <c r="O240" s="72" t="str">
        <f t="shared" si="9"/>
        <v>0x87</v>
      </c>
      <c r="P240" s="168"/>
      <c r="Q240" s="168"/>
      <c r="R240" s="168"/>
      <c r="S240" s="168"/>
      <c r="T240" s="109" t="s">
        <v>623</v>
      </c>
      <c r="U240" s="170"/>
    </row>
    <row r="241" spans="3:22" ht="16.5" customHeight="1" x14ac:dyDescent="0.3">
      <c r="C241" s="166">
        <v>136</v>
      </c>
      <c r="D241" s="167">
        <v>392</v>
      </c>
      <c r="E241" s="72" t="str">
        <f t="shared" si="8"/>
        <v>0x88</v>
      </c>
      <c r="F241" s="168"/>
      <c r="G241" s="169"/>
      <c r="H241" s="168"/>
      <c r="I241" s="169"/>
      <c r="J241" s="308"/>
      <c r="K241" s="170"/>
      <c r="L241" s="60"/>
      <c r="M241" s="166">
        <v>136</v>
      </c>
      <c r="N241" s="167">
        <v>392</v>
      </c>
      <c r="O241" s="72" t="str">
        <f t="shared" si="9"/>
        <v>0x88</v>
      </c>
      <c r="P241" s="168"/>
      <c r="Q241" s="168"/>
      <c r="R241" s="168"/>
      <c r="S241" s="168"/>
      <c r="T241" s="304"/>
      <c r="U241" s="170"/>
    </row>
    <row r="242" spans="3:22" ht="16.5" customHeight="1" x14ac:dyDescent="0.3">
      <c r="C242" s="166">
        <v>137</v>
      </c>
      <c r="D242" s="167">
        <v>393</v>
      </c>
      <c r="E242" s="72" t="str">
        <f t="shared" si="8"/>
        <v>0x89</v>
      </c>
      <c r="F242" s="168"/>
      <c r="G242" s="169"/>
      <c r="H242" s="168"/>
      <c r="I242" s="169"/>
      <c r="J242" s="308"/>
      <c r="K242" s="170"/>
      <c r="L242" s="60"/>
      <c r="M242" s="166">
        <v>137</v>
      </c>
      <c r="N242" s="167">
        <v>393</v>
      </c>
      <c r="O242" s="72" t="str">
        <f t="shared" si="9"/>
        <v>0x89</v>
      </c>
      <c r="P242" s="168"/>
      <c r="Q242" s="168"/>
      <c r="R242" s="168"/>
      <c r="S242" s="168"/>
      <c r="T242" s="304"/>
      <c r="U242" s="170"/>
    </row>
    <row r="243" spans="3:22" ht="16.5" customHeight="1" x14ac:dyDescent="0.3">
      <c r="C243" s="166">
        <v>138</v>
      </c>
      <c r="D243" s="167">
        <v>394</v>
      </c>
      <c r="E243" s="72" t="str">
        <f t="shared" si="8"/>
        <v>0x8A</v>
      </c>
      <c r="F243" s="168"/>
      <c r="G243" s="169"/>
      <c r="H243" s="168"/>
      <c r="I243" s="169"/>
      <c r="J243" s="308"/>
      <c r="K243" s="170"/>
      <c r="L243" s="60"/>
      <c r="M243" s="166">
        <v>138</v>
      </c>
      <c r="N243" s="167">
        <v>394</v>
      </c>
      <c r="O243" s="72" t="str">
        <f t="shared" si="9"/>
        <v>0x8A</v>
      </c>
      <c r="P243" s="168"/>
      <c r="Q243" s="168"/>
      <c r="R243" s="168"/>
      <c r="S243" s="168"/>
      <c r="T243" s="109"/>
      <c r="U243" s="170"/>
    </row>
    <row r="244" spans="3:22" ht="16.5" customHeight="1" x14ac:dyDescent="0.3">
      <c r="C244" s="166">
        <v>139</v>
      </c>
      <c r="D244" s="167">
        <v>395</v>
      </c>
      <c r="E244" s="72" t="str">
        <f t="shared" si="8"/>
        <v>0x8B</v>
      </c>
      <c r="F244" s="168"/>
      <c r="G244" s="169"/>
      <c r="H244" s="168"/>
      <c r="I244" s="169"/>
      <c r="J244" s="308"/>
      <c r="K244" s="170"/>
      <c r="L244" s="60"/>
      <c r="M244" s="166">
        <v>139</v>
      </c>
      <c r="N244" s="167">
        <v>395</v>
      </c>
      <c r="O244" s="72" t="str">
        <f t="shared" si="9"/>
        <v>0x8B</v>
      </c>
      <c r="P244" s="168"/>
      <c r="Q244" s="168"/>
      <c r="R244" s="168"/>
      <c r="S244" s="168"/>
      <c r="T244" s="109"/>
      <c r="U244" s="170"/>
    </row>
    <row r="245" spans="3:22" ht="16.5" customHeight="1" x14ac:dyDescent="0.3">
      <c r="C245" s="166">
        <v>140</v>
      </c>
      <c r="D245" s="167">
        <v>396</v>
      </c>
      <c r="E245" s="72" t="str">
        <f t="shared" si="8"/>
        <v>0x8C</v>
      </c>
      <c r="F245" s="168"/>
      <c r="G245" s="169"/>
      <c r="H245" s="168"/>
      <c r="I245" s="169"/>
      <c r="J245" s="308"/>
      <c r="K245" s="170"/>
      <c r="L245" s="60"/>
      <c r="M245" s="166">
        <v>140</v>
      </c>
      <c r="N245" s="167">
        <v>396</v>
      </c>
      <c r="O245" s="72" t="str">
        <f t="shared" si="9"/>
        <v>0x8C</v>
      </c>
      <c r="P245" s="168"/>
      <c r="Q245" s="168"/>
      <c r="R245" s="168"/>
      <c r="S245" s="168"/>
      <c r="T245" s="109"/>
      <c r="U245" s="170"/>
    </row>
    <row r="246" spans="3:22" ht="16.5" customHeight="1" x14ac:dyDescent="0.3">
      <c r="C246" s="166">
        <v>141</v>
      </c>
      <c r="D246" s="167">
        <v>397</v>
      </c>
      <c r="E246" s="72" t="str">
        <f t="shared" si="8"/>
        <v>0x8D</v>
      </c>
      <c r="F246" s="168"/>
      <c r="G246" s="169"/>
      <c r="H246" s="168"/>
      <c r="I246" s="169"/>
      <c r="J246" s="308"/>
      <c r="K246" s="170"/>
      <c r="L246" s="60"/>
      <c r="M246" s="166">
        <v>141</v>
      </c>
      <c r="N246" s="167">
        <v>397</v>
      </c>
      <c r="O246" s="72" t="str">
        <f t="shared" si="9"/>
        <v>0x8D</v>
      </c>
      <c r="P246" s="168"/>
      <c r="Q246" s="168"/>
      <c r="R246" s="168"/>
      <c r="S246" s="168"/>
      <c r="T246" s="109"/>
      <c r="U246" s="170"/>
    </row>
    <row r="247" spans="3:22" ht="16.5" customHeight="1" x14ac:dyDescent="0.3">
      <c r="C247" s="166">
        <v>142</v>
      </c>
      <c r="D247" s="167">
        <v>398</v>
      </c>
      <c r="E247" s="72" t="str">
        <f t="shared" si="8"/>
        <v>0x8E</v>
      </c>
      <c r="F247" s="168"/>
      <c r="G247" s="169"/>
      <c r="H247" s="168"/>
      <c r="I247" s="169"/>
      <c r="J247" s="308"/>
      <c r="K247" s="170"/>
      <c r="L247" s="60"/>
      <c r="M247" s="166">
        <v>142</v>
      </c>
      <c r="N247" s="167">
        <v>398</v>
      </c>
      <c r="O247" s="72" t="str">
        <f t="shared" si="9"/>
        <v>0x8E</v>
      </c>
      <c r="P247" s="168"/>
      <c r="Q247" s="168"/>
      <c r="R247" s="168"/>
      <c r="S247" s="168"/>
      <c r="T247" s="109"/>
      <c r="U247" s="176"/>
    </row>
    <row r="248" spans="3:22" ht="17.25" customHeight="1" thickBot="1" x14ac:dyDescent="0.35">
      <c r="C248" s="178">
        <v>143</v>
      </c>
      <c r="D248" s="179">
        <v>399</v>
      </c>
      <c r="E248" s="91" t="str">
        <f t="shared" si="8"/>
        <v>0x8F</v>
      </c>
      <c r="F248" s="180"/>
      <c r="G248" s="181"/>
      <c r="H248" s="180"/>
      <c r="I248" s="181"/>
      <c r="J248" s="309"/>
      <c r="K248" s="190"/>
      <c r="L248" s="98"/>
      <c r="M248" s="178">
        <v>143</v>
      </c>
      <c r="N248" s="179">
        <v>399</v>
      </c>
      <c r="O248" s="91" t="str">
        <f t="shared" si="9"/>
        <v>0x8F</v>
      </c>
      <c r="P248" s="180"/>
      <c r="Q248" s="180"/>
      <c r="R248" s="180"/>
      <c r="S248" s="180"/>
      <c r="T248" s="297"/>
      <c r="U248" s="184"/>
    </row>
    <row r="249" spans="3:22" ht="17.25" customHeight="1" thickTop="1" x14ac:dyDescent="0.3">
      <c r="C249" s="185">
        <v>144</v>
      </c>
      <c r="D249" s="186">
        <v>400</v>
      </c>
      <c r="E249" s="72" t="str">
        <f t="shared" si="8"/>
        <v>0x90</v>
      </c>
      <c r="F249" s="160"/>
      <c r="G249" s="161"/>
      <c r="H249" s="160"/>
      <c r="I249" s="161"/>
      <c r="J249" s="310"/>
      <c r="K249" s="164"/>
      <c r="L249" s="102">
        <v>10</v>
      </c>
      <c r="M249" s="185">
        <v>144</v>
      </c>
      <c r="N249" s="186">
        <v>400</v>
      </c>
      <c r="O249" s="72" t="str">
        <f t="shared" si="9"/>
        <v>0x90</v>
      </c>
      <c r="P249" s="160"/>
      <c r="Q249" s="160"/>
      <c r="R249" s="160"/>
      <c r="S249" s="160"/>
      <c r="T249" s="287" t="s">
        <v>657</v>
      </c>
      <c r="U249" s="164"/>
      <c r="V249" s="301" t="s">
        <v>658</v>
      </c>
    </row>
    <row r="250" spans="3:22" ht="16.5" customHeight="1" x14ac:dyDescent="0.3">
      <c r="C250" s="166">
        <v>145</v>
      </c>
      <c r="D250" s="167">
        <v>401</v>
      </c>
      <c r="E250" s="72" t="str">
        <f t="shared" si="8"/>
        <v>0x91</v>
      </c>
      <c r="F250" s="168"/>
      <c r="G250" s="169"/>
      <c r="H250" s="168"/>
      <c r="I250" s="169"/>
      <c r="J250" s="308"/>
      <c r="K250" s="170"/>
      <c r="L250" s="60"/>
      <c r="M250" s="166">
        <v>145</v>
      </c>
      <c r="N250" s="167">
        <v>401</v>
      </c>
      <c r="O250" s="72" t="str">
        <f t="shared" si="9"/>
        <v>0x91</v>
      </c>
      <c r="P250" s="168"/>
      <c r="Q250" s="168"/>
      <c r="R250" s="168"/>
      <c r="S250" s="168"/>
      <c r="T250" s="109" t="s">
        <v>657</v>
      </c>
      <c r="U250" s="170"/>
      <c r="V250" s="301" t="s">
        <v>658</v>
      </c>
    </row>
    <row r="251" spans="3:22" ht="16.5" customHeight="1" x14ac:dyDescent="0.3">
      <c r="C251" s="166">
        <v>146</v>
      </c>
      <c r="D251" s="167">
        <v>402</v>
      </c>
      <c r="E251" s="72" t="str">
        <f t="shared" si="8"/>
        <v>0x92</v>
      </c>
      <c r="F251" s="168"/>
      <c r="G251" s="169"/>
      <c r="H251" s="168"/>
      <c r="I251" s="169"/>
      <c r="J251" s="308"/>
      <c r="K251" s="170"/>
      <c r="L251" s="60"/>
      <c r="M251" s="166">
        <v>146</v>
      </c>
      <c r="N251" s="167">
        <v>402</v>
      </c>
      <c r="O251" s="72" t="str">
        <f t="shared" si="9"/>
        <v>0x92</v>
      </c>
      <c r="P251" s="168"/>
      <c r="Q251" s="168"/>
      <c r="R251" s="168"/>
      <c r="S251" s="168"/>
      <c r="T251" s="109" t="s">
        <v>657</v>
      </c>
      <c r="U251" s="170"/>
      <c r="V251" s="301" t="s">
        <v>658</v>
      </c>
    </row>
    <row r="252" spans="3:22" ht="16.5" customHeight="1" x14ac:dyDescent="0.3">
      <c r="C252" s="166">
        <v>147</v>
      </c>
      <c r="D252" s="167">
        <v>403</v>
      </c>
      <c r="E252" s="72" t="str">
        <f t="shared" si="8"/>
        <v>0x93</v>
      </c>
      <c r="F252" s="168"/>
      <c r="G252" s="169"/>
      <c r="H252" s="168"/>
      <c r="I252" s="169"/>
      <c r="J252" s="308"/>
      <c r="K252" s="170"/>
      <c r="L252" s="60"/>
      <c r="M252" s="166">
        <v>147</v>
      </c>
      <c r="N252" s="167">
        <v>403</v>
      </c>
      <c r="O252" s="72" t="str">
        <f t="shared" si="9"/>
        <v>0x93</v>
      </c>
      <c r="P252" s="168"/>
      <c r="Q252" s="168"/>
      <c r="R252" s="168"/>
      <c r="S252" s="168"/>
      <c r="T252" s="109" t="s">
        <v>657</v>
      </c>
      <c r="U252" s="170"/>
      <c r="V252" s="301" t="s">
        <v>658</v>
      </c>
    </row>
    <row r="253" spans="3:22" ht="16.5" customHeight="1" x14ac:dyDescent="0.3">
      <c r="C253" s="166">
        <v>148</v>
      </c>
      <c r="D253" s="167">
        <v>404</v>
      </c>
      <c r="E253" s="72" t="str">
        <f t="shared" si="8"/>
        <v>0x94</v>
      </c>
      <c r="F253" s="168"/>
      <c r="G253" s="169"/>
      <c r="H253" s="168"/>
      <c r="I253" s="169"/>
      <c r="J253" s="308"/>
      <c r="K253" s="170"/>
      <c r="L253" s="60"/>
      <c r="M253" s="166">
        <v>148</v>
      </c>
      <c r="N253" s="167">
        <v>404</v>
      </c>
      <c r="O253" s="72" t="str">
        <f t="shared" si="9"/>
        <v>0x94</v>
      </c>
      <c r="P253" s="168"/>
      <c r="Q253" s="168"/>
      <c r="R253" s="168"/>
      <c r="S253" s="168"/>
      <c r="T253" s="109" t="s">
        <v>657</v>
      </c>
      <c r="U253" s="170"/>
      <c r="V253" s="301" t="s">
        <v>658</v>
      </c>
    </row>
    <row r="254" spans="3:22" ht="16.5" customHeight="1" x14ac:dyDescent="0.3">
      <c r="C254" s="166">
        <v>149</v>
      </c>
      <c r="D254" s="167">
        <v>405</v>
      </c>
      <c r="E254" s="72" t="str">
        <f t="shared" si="8"/>
        <v>0x95</v>
      </c>
      <c r="F254" s="168"/>
      <c r="G254" s="169"/>
      <c r="H254" s="168"/>
      <c r="I254" s="169"/>
      <c r="J254" s="308"/>
      <c r="K254" s="170"/>
      <c r="L254" s="60"/>
      <c r="M254" s="166">
        <v>149</v>
      </c>
      <c r="N254" s="167">
        <v>405</v>
      </c>
      <c r="O254" s="72" t="str">
        <f t="shared" si="9"/>
        <v>0x95</v>
      </c>
      <c r="P254" s="168"/>
      <c r="Q254" s="168"/>
      <c r="R254" s="168"/>
      <c r="S254" s="168"/>
      <c r="T254" s="109" t="s">
        <v>657</v>
      </c>
      <c r="U254" s="170"/>
      <c r="V254" s="301" t="s">
        <v>658</v>
      </c>
    </row>
    <row r="255" spans="3:22" ht="16.5" customHeight="1" x14ac:dyDescent="0.3">
      <c r="C255" s="166">
        <v>150</v>
      </c>
      <c r="D255" s="167">
        <v>406</v>
      </c>
      <c r="E255" s="72" t="str">
        <f t="shared" si="8"/>
        <v>0x96</v>
      </c>
      <c r="F255" s="168"/>
      <c r="G255" s="169"/>
      <c r="H255" s="168"/>
      <c r="I255" s="169"/>
      <c r="J255" s="308"/>
      <c r="K255" s="170"/>
      <c r="L255" s="60"/>
      <c r="M255" s="166">
        <v>150</v>
      </c>
      <c r="N255" s="167">
        <v>406</v>
      </c>
      <c r="O255" s="72" t="str">
        <f t="shared" si="9"/>
        <v>0x96</v>
      </c>
      <c r="P255" s="168"/>
      <c r="Q255" s="168"/>
      <c r="R255" s="168"/>
      <c r="S255" s="168"/>
      <c r="T255" s="109" t="s">
        <v>657</v>
      </c>
      <c r="U255" s="170"/>
      <c r="V255" s="301" t="s">
        <v>658</v>
      </c>
    </row>
    <row r="256" spans="3:22" ht="16.5" customHeight="1" x14ac:dyDescent="0.3">
      <c r="C256" s="166">
        <v>151</v>
      </c>
      <c r="D256" s="167">
        <v>407</v>
      </c>
      <c r="E256" s="72" t="str">
        <f t="shared" si="8"/>
        <v>0x97</v>
      </c>
      <c r="F256" s="168"/>
      <c r="G256" s="169"/>
      <c r="H256" s="168"/>
      <c r="I256" s="169"/>
      <c r="J256" s="308"/>
      <c r="K256" s="170"/>
      <c r="L256" s="60"/>
      <c r="M256" s="166">
        <v>151</v>
      </c>
      <c r="N256" s="167">
        <v>407</v>
      </c>
      <c r="O256" s="72" t="str">
        <f t="shared" si="9"/>
        <v>0x97</v>
      </c>
      <c r="P256" s="168"/>
      <c r="Q256" s="168"/>
      <c r="R256" s="168"/>
      <c r="S256" s="168"/>
      <c r="T256" s="109" t="s">
        <v>657</v>
      </c>
      <c r="U256" s="170"/>
      <c r="V256" s="301" t="s">
        <v>658</v>
      </c>
    </row>
    <row r="257" spans="2:22" ht="16.5" customHeight="1" x14ac:dyDescent="0.3">
      <c r="C257" s="166">
        <v>152</v>
      </c>
      <c r="D257" s="167">
        <v>408</v>
      </c>
      <c r="E257" s="72" t="str">
        <f t="shared" si="8"/>
        <v>0x98</v>
      </c>
      <c r="F257" s="168"/>
      <c r="G257" s="169"/>
      <c r="H257" s="168"/>
      <c r="I257" s="169"/>
      <c r="J257" s="308"/>
      <c r="K257" s="170"/>
      <c r="L257" s="60"/>
      <c r="M257" s="166">
        <v>152</v>
      </c>
      <c r="N257" s="167">
        <v>408</v>
      </c>
      <c r="O257" s="72" t="str">
        <f t="shared" si="9"/>
        <v>0x98</v>
      </c>
      <c r="P257" s="168"/>
      <c r="Q257" s="168"/>
      <c r="R257" s="168"/>
      <c r="S257" s="168"/>
      <c r="T257" s="109" t="s">
        <v>657</v>
      </c>
      <c r="U257" s="170"/>
      <c r="V257" s="301" t="s">
        <v>658</v>
      </c>
    </row>
    <row r="258" spans="2:22" ht="16.5" customHeight="1" x14ac:dyDescent="0.3">
      <c r="C258" s="166">
        <v>153</v>
      </c>
      <c r="D258" s="167">
        <v>409</v>
      </c>
      <c r="E258" s="72" t="str">
        <f t="shared" si="8"/>
        <v>0x99</v>
      </c>
      <c r="F258" s="168"/>
      <c r="G258" s="169"/>
      <c r="H258" s="168"/>
      <c r="I258" s="169"/>
      <c r="J258" s="308"/>
      <c r="K258" s="170"/>
      <c r="L258" s="60"/>
      <c r="M258" s="166">
        <v>153</v>
      </c>
      <c r="N258" s="167">
        <v>409</v>
      </c>
      <c r="O258" s="72" t="str">
        <f t="shared" si="9"/>
        <v>0x99</v>
      </c>
      <c r="P258" s="168"/>
      <c r="Q258" s="168"/>
      <c r="R258" s="168"/>
      <c r="S258" s="168"/>
      <c r="T258" s="109" t="s">
        <v>657</v>
      </c>
      <c r="U258" s="170"/>
      <c r="V258" s="301" t="s">
        <v>658</v>
      </c>
    </row>
    <row r="259" spans="2:22" ht="16.5" customHeight="1" x14ac:dyDescent="0.3">
      <c r="C259" s="166">
        <v>154</v>
      </c>
      <c r="D259" s="167">
        <v>410</v>
      </c>
      <c r="E259" s="72" t="str">
        <f t="shared" si="8"/>
        <v>0x9A</v>
      </c>
      <c r="F259" s="168"/>
      <c r="G259" s="169"/>
      <c r="H259" s="168"/>
      <c r="I259" s="169"/>
      <c r="J259" s="308"/>
      <c r="K259" s="170"/>
      <c r="L259" s="60"/>
      <c r="M259" s="166">
        <v>154</v>
      </c>
      <c r="N259" s="167">
        <v>410</v>
      </c>
      <c r="O259" s="72" t="str">
        <f t="shared" si="9"/>
        <v>0x9A</v>
      </c>
      <c r="P259" s="168"/>
      <c r="Q259" s="168"/>
      <c r="R259" s="168"/>
      <c r="S259" s="168"/>
      <c r="T259" s="109" t="s">
        <v>657</v>
      </c>
      <c r="U259" s="170"/>
      <c r="V259" s="301" t="s">
        <v>658</v>
      </c>
    </row>
    <row r="260" spans="2:22" ht="16.5" customHeight="1" x14ac:dyDescent="0.3">
      <c r="C260" s="166">
        <v>155</v>
      </c>
      <c r="D260" s="167">
        <v>411</v>
      </c>
      <c r="E260" s="72" t="str">
        <f t="shared" si="8"/>
        <v>0x9B</v>
      </c>
      <c r="F260" s="168"/>
      <c r="G260" s="169"/>
      <c r="H260" s="168"/>
      <c r="I260" s="169"/>
      <c r="J260" s="308"/>
      <c r="K260" s="170"/>
      <c r="L260" s="60"/>
      <c r="M260" s="166">
        <v>155</v>
      </c>
      <c r="N260" s="167">
        <v>411</v>
      </c>
      <c r="O260" s="72" t="str">
        <f t="shared" si="9"/>
        <v>0x9B</v>
      </c>
      <c r="P260" s="168"/>
      <c r="Q260" s="168"/>
      <c r="R260" s="168"/>
      <c r="S260" s="168"/>
      <c r="T260" s="109" t="s">
        <v>657</v>
      </c>
      <c r="U260" s="170"/>
      <c r="V260" s="301" t="s">
        <v>658</v>
      </c>
    </row>
    <row r="261" spans="2:22" ht="16.5" customHeight="1" x14ac:dyDescent="0.3">
      <c r="C261" s="166">
        <v>156</v>
      </c>
      <c r="D261" s="167">
        <v>412</v>
      </c>
      <c r="E261" s="72" t="str">
        <f t="shared" si="8"/>
        <v>0x9C</v>
      </c>
      <c r="F261" s="168"/>
      <c r="G261" s="169"/>
      <c r="H261" s="168"/>
      <c r="I261" s="169"/>
      <c r="J261" s="308"/>
      <c r="K261" s="170"/>
      <c r="L261" s="60"/>
      <c r="M261" s="166">
        <v>156</v>
      </c>
      <c r="N261" s="167">
        <v>412</v>
      </c>
      <c r="O261" s="72" t="str">
        <f t="shared" si="9"/>
        <v>0x9C</v>
      </c>
      <c r="P261" s="168"/>
      <c r="Q261" s="168"/>
      <c r="R261" s="168"/>
      <c r="S261" s="168"/>
      <c r="T261" s="109" t="s">
        <v>657</v>
      </c>
      <c r="U261" s="170"/>
      <c r="V261" s="301" t="s">
        <v>658</v>
      </c>
    </row>
    <row r="262" spans="2:22" ht="16.5" customHeight="1" x14ac:dyDescent="0.3">
      <c r="C262" s="166">
        <v>157</v>
      </c>
      <c r="D262" s="167">
        <v>413</v>
      </c>
      <c r="E262" s="72" t="str">
        <f t="shared" si="8"/>
        <v>0x9D</v>
      </c>
      <c r="F262" s="168"/>
      <c r="G262" s="169"/>
      <c r="H262" s="168"/>
      <c r="I262" s="169"/>
      <c r="J262" s="258"/>
      <c r="K262" s="170"/>
      <c r="L262" s="60"/>
      <c r="M262" s="166">
        <v>157</v>
      </c>
      <c r="N262" s="167">
        <v>413</v>
      </c>
      <c r="O262" s="72" t="str">
        <f t="shared" si="9"/>
        <v>0x9D</v>
      </c>
      <c r="P262" s="168"/>
      <c r="Q262" s="168"/>
      <c r="R262" s="168"/>
      <c r="S262" s="168"/>
      <c r="T262" s="109"/>
      <c r="U262" s="170"/>
    </row>
    <row r="263" spans="2:22" ht="16.5" customHeight="1" x14ac:dyDescent="0.3">
      <c r="C263" s="166">
        <v>158</v>
      </c>
      <c r="D263" s="167">
        <v>414</v>
      </c>
      <c r="E263" s="72" t="str">
        <f t="shared" si="8"/>
        <v>0x9E</v>
      </c>
      <c r="F263" s="168"/>
      <c r="G263" s="169"/>
      <c r="H263" s="168"/>
      <c r="I263" s="169"/>
      <c r="J263" s="258"/>
      <c r="K263" s="170"/>
      <c r="L263" s="60"/>
      <c r="M263" s="166">
        <v>158</v>
      </c>
      <c r="N263" s="167">
        <v>414</v>
      </c>
      <c r="O263" s="72" t="str">
        <f t="shared" si="9"/>
        <v>0x9E</v>
      </c>
      <c r="P263" s="168"/>
      <c r="Q263" s="168"/>
      <c r="R263" s="168"/>
      <c r="S263" s="168"/>
      <c r="T263" s="109"/>
      <c r="U263" s="176"/>
    </row>
    <row r="264" spans="2:22" ht="17.25" customHeight="1" thickBot="1" x14ac:dyDescent="0.35">
      <c r="C264" s="178">
        <v>159</v>
      </c>
      <c r="D264" s="179">
        <v>415</v>
      </c>
      <c r="E264" s="91" t="str">
        <f t="shared" si="8"/>
        <v>0x9F</v>
      </c>
      <c r="F264" s="180"/>
      <c r="G264" s="181"/>
      <c r="H264" s="180"/>
      <c r="I264" s="181"/>
      <c r="J264" s="262"/>
      <c r="K264" s="190"/>
      <c r="L264" s="98"/>
      <c r="M264" s="178">
        <v>159</v>
      </c>
      <c r="N264" s="179">
        <v>415</v>
      </c>
      <c r="O264" s="91" t="str">
        <f t="shared" si="9"/>
        <v>0x9F</v>
      </c>
      <c r="P264" s="180"/>
      <c r="Q264" s="180"/>
      <c r="R264" s="180"/>
      <c r="S264" s="180"/>
      <c r="T264" s="297"/>
      <c r="U264" s="184"/>
    </row>
    <row r="265" spans="2:22" ht="17.25" customHeight="1" thickTop="1" x14ac:dyDescent="0.3">
      <c r="C265" s="185">
        <v>160</v>
      </c>
      <c r="D265" s="186">
        <v>416</v>
      </c>
      <c r="E265" s="72" t="str">
        <f t="shared" si="8"/>
        <v>0xA0</v>
      </c>
      <c r="F265" s="160"/>
      <c r="G265" s="161"/>
      <c r="H265" s="160"/>
      <c r="I265" s="161"/>
      <c r="J265" s="310"/>
      <c r="K265" s="164"/>
      <c r="L265" s="102">
        <v>11</v>
      </c>
      <c r="M265" s="185">
        <v>160</v>
      </c>
      <c r="N265" s="186">
        <v>416</v>
      </c>
      <c r="O265" s="72" t="str">
        <f t="shared" si="9"/>
        <v>0xA0</v>
      </c>
      <c r="P265" s="160"/>
      <c r="Q265" s="160"/>
      <c r="R265" s="160"/>
      <c r="S265" s="160"/>
      <c r="T265" s="287"/>
      <c r="U265" s="164"/>
    </row>
    <row r="266" spans="2:22" ht="16.5" customHeight="1" thickBot="1" x14ac:dyDescent="0.35">
      <c r="C266" s="166">
        <v>161</v>
      </c>
      <c r="D266" s="167">
        <v>417</v>
      </c>
      <c r="E266" s="72" t="str">
        <f t="shared" si="8"/>
        <v>0xA1</v>
      </c>
      <c r="F266" s="168"/>
      <c r="G266" s="169"/>
      <c r="H266" s="168"/>
      <c r="I266" s="169"/>
      <c r="J266" s="308"/>
      <c r="K266" s="170"/>
      <c r="L266" s="60"/>
      <c r="M266" s="166">
        <v>161</v>
      </c>
      <c r="N266" s="167">
        <v>417</v>
      </c>
      <c r="O266" s="72" t="str">
        <f t="shared" si="9"/>
        <v>0xA1</v>
      </c>
      <c r="P266" s="168"/>
      <c r="Q266" s="168"/>
      <c r="R266" s="168"/>
      <c r="S266" s="168"/>
      <c r="T266" s="109"/>
      <c r="U266" s="170"/>
    </row>
    <row r="267" spans="2:22" ht="16.5" customHeight="1" thickTop="1" x14ac:dyDescent="0.3">
      <c r="C267" s="166">
        <v>162</v>
      </c>
      <c r="D267" s="167">
        <v>418</v>
      </c>
      <c r="E267" s="72" t="str">
        <f t="shared" si="8"/>
        <v>0xA2</v>
      </c>
      <c r="F267" s="168"/>
      <c r="G267" s="169"/>
      <c r="H267" s="168"/>
      <c r="I267" s="169"/>
      <c r="J267" s="308"/>
      <c r="K267" s="170"/>
      <c r="L267" s="60"/>
      <c r="M267" s="166">
        <v>162</v>
      </c>
      <c r="N267" s="167">
        <v>418</v>
      </c>
      <c r="O267" s="72" t="str">
        <f t="shared" si="9"/>
        <v>0xA2</v>
      </c>
      <c r="P267" s="168"/>
      <c r="Q267" s="168"/>
      <c r="R267" s="168"/>
      <c r="S267" s="168"/>
      <c r="T267" s="109" t="s">
        <v>659</v>
      </c>
      <c r="U267" s="288" t="s">
        <v>581</v>
      </c>
      <c r="V267" s="312" t="s">
        <v>660</v>
      </c>
    </row>
    <row r="268" spans="2:22" ht="16.5" customHeight="1" thickBot="1" x14ac:dyDescent="0.35">
      <c r="C268" s="166">
        <v>163</v>
      </c>
      <c r="D268" s="167">
        <v>419</v>
      </c>
      <c r="E268" s="72" t="str">
        <f t="shared" si="8"/>
        <v>0xA3</v>
      </c>
      <c r="F268" s="168"/>
      <c r="G268" s="169"/>
      <c r="H268" s="168"/>
      <c r="I268" s="169"/>
      <c r="J268" s="308"/>
      <c r="K268" s="170"/>
      <c r="L268" s="60"/>
      <c r="M268" s="166">
        <v>163</v>
      </c>
      <c r="N268" s="167">
        <v>419</v>
      </c>
      <c r="O268" s="72" t="str">
        <f t="shared" si="9"/>
        <v>0xA3</v>
      </c>
      <c r="P268" s="168"/>
      <c r="Q268" s="168"/>
      <c r="R268" s="168"/>
      <c r="S268" s="168"/>
      <c r="T268" s="109" t="s">
        <v>659</v>
      </c>
      <c r="U268" s="170"/>
      <c r="V268" s="313"/>
    </row>
    <row r="269" spans="2:22" ht="16.5" customHeight="1" thickTop="1" x14ac:dyDescent="0.3">
      <c r="B269" s="171" t="s">
        <v>661</v>
      </c>
      <c r="C269" s="166">
        <v>164</v>
      </c>
      <c r="D269" s="167">
        <v>420</v>
      </c>
      <c r="E269" s="72" t="str">
        <f t="shared" si="8"/>
        <v>0xA4</v>
      </c>
      <c r="F269" s="168"/>
      <c r="G269" s="169"/>
      <c r="H269" s="168"/>
      <c r="I269" s="169"/>
      <c r="J269" s="258" t="s">
        <v>662</v>
      </c>
      <c r="K269" s="170"/>
      <c r="L269" s="60"/>
      <c r="M269" s="166">
        <v>164</v>
      </c>
      <c r="N269" s="167">
        <v>420</v>
      </c>
      <c r="O269" s="72" t="str">
        <f t="shared" si="9"/>
        <v>0xA4</v>
      </c>
      <c r="P269" s="168"/>
      <c r="Q269" s="168"/>
      <c r="R269" s="168"/>
      <c r="S269" s="168"/>
      <c r="T269" s="109" t="s">
        <v>663</v>
      </c>
      <c r="U269" s="288" t="s">
        <v>581</v>
      </c>
      <c r="V269" s="312" t="s">
        <v>660</v>
      </c>
    </row>
    <row r="270" spans="2:22" ht="16.5" customHeight="1" thickBot="1" x14ac:dyDescent="0.35">
      <c r="C270" s="166">
        <v>165</v>
      </c>
      <c r="D270" s="167">
        <v>421</v>
      </c>
      <c r="E270" s="72" t="str">
        <f t="shared" si="8"/>
        <v>0xA5</v>
      </c>
      <c r="F270" s="168"/>
      <c r="G270" s="169"/>
      <c r="H270" s="168"/>
      <c r="I270" s="169"/>
      <c r="J270" s="308"/>
      <c r="K270" s="170"/>
      <c r="L270" s="60"/>
      <c r="M270" s="166">
        <v>165</v>
      </c>
      <c r="N270" s="167">
        <v>421</v>
      </c>
      <c r="O270" s="72" t="str">
        <f t="shared" si="9"/>
        <v>0xA5</v>
      </c>
      <c r="P270" s="168"/>
      <c r="Q270" s="168"/>
      <c r="R270" s="168"/>
      <c r="S270" s="168"/>
      <c r="T270" s="109" t="s">
        <v>663</v>
      </c>
      <c r="U270" s="170"/>
      <c r="V270" s="313"/>
    </row>
    <row r="271" spans="2:22" ht="16.5" customHeight="1" thickTop="1" x14ac:dyDescent="0.3">
      <c r="C271" s="166">
        <v>166</v>
      </c>
      <c r="D271" s="167">
        <v>422</v>
      </c>
      <c r="E271" s="72" t="str">
        <f t="shared" si="8"/>
        <v>0xA6</v>
      </c>
      <c r="F271" s="168"/>
      <c r="G271" s="169"/>
      <c r="H271" s="168"/>
      <c r="I271" s="169"/>
      <c r="J271" s="308"/>
      <c r="K271" s="170"/>
      <c r="L271" s="60"/>
      <c r="M271" s="166">
        <v>166</v>
      </c>
      <c r="N271" s="167">
        <v>422</v>
      </c>
      <c r="O271" s="72" t="str">
        <f t="shared" si="9"/>
        <v>0xA6</v>
      </c>
      <c r="P271" s="168"/>
      <c r="Q271" s="168"/>
      <c r="R271" s="168"/>
      <c r="S271" s="168"/>
      <c r="T271" s="109" t="s">
        <v>664</v>
      </c>
      <c r="U271" s="288" t="s">
        <v>581</v>
      </c>
      <c r="V271" s="312" t="s">
        <v>660</v>
      </c>
    </row>
    <row r="272" spans="2:22" ht="16.5" customHeight="1" thickBot="1" x14ac:dyDescent="0.35">
      <c r="C272" s="166">
        <v>167</v>
      </c>
      <c r="D272" s="167">
        <v>423</v>
      </c>
      <c r="E272" s="72" t="str">
        <f t="shared" si="8"/>
        <v>0xA7</v>
      </c>
      <c r="F272" s="168"/>
      <c r="G272" s="169"/>
      <c r="H272" s="168"/>
      <c r="I272" s="169"/>
      <c r="J272" s="308"/>
      <c r="K272" s="170"/>
      <c r="L272" s="60"/>
      <c r="M272" s="166">
        <v>167</v>
      </c>
      <c r="N272" s="167">
        <v>423</v>
      </c>
      <c r="O272" s="72" t="str">
        <f t="shared" si="9"/>
        <v>0xA7</v>
      </c>
      <c r="P272" s="168"/>
      <c r="Q272" s="168"/>
      <c r="R272" s="168"/>
      <c r="S272" s="168"/>
      <c r="T272" s="109" t="s">
        <v>664</v>
      </c>
      <c r="U272" s="170"/>
      <c r="V272" s="313"/>
    </row>
    <row r="273" spans="3:22" ht="16.5" customHeight="1" thickTop="1" x14ac:dyDescent="0.3">
      <c r="C273" s="166">
        <v>168</v>
      </c>
      <c r="D273" s="167">
        <v>424</v>
      </c>
      <c r="E273" s="72" t="str">
        <f t="shared" si="8"/>
        <v>0xA8</v>
      </c>
      <c r="F273" s="168"/>
      <c r="G273" s="169"/>
      <c r="H273" s="168"/>
      <c r="I273" s="169"/>
      <c r="J273" s="308"/>
      <c r="K273" s="170"/>
      <c r="L273" s="60"/>
      <c r="M273" s="166">
        <v>168</v>
      </c>
      <c r="N273" s="167">
        <v>424</v>
      </c>
      <c r="O273" s="72" t="str">
        <f t="shared" si="9"/>
        <v>0xA8</v>
      </c>
      <c r="P273" s="168"/>
      <c r="Q273" s="168"/>
      <c r="R273" s="168"/>
      <c r="S273" s="168"/>
      <c r="T273" s="109" t="s">
        <v>665</v>
      </c>
      <c r="U273" s="288" t="s">
        <v>581</v>
      </c>
      <c r="V273" s="312" t="s">
        <v>660</v>
      </c>
    </row>
    <row r="274" spans="3:22" ht="16.5" customHeight="1" x14ac:dyDescent="0.3">
      <c r="C274" s="166">
        <v>169</v>
      </c>
      <c r="D274" s="167">
        <v>425</v>
      </c>
      <c r="E274" s="72" t="str">
        <f t="shared" si="8"/>
        <v>0xA9</v>
      </c>
      <c r="F274" s="168"/>
      <c r="G274" s="169"/>
      <c r="H274" s="168"/>
      <c r="I274" s="169"/>
      <c r="J274" s="308"/>
      <c r="K274" s="170"/>
      <c r="L274" s="60"/>
      <c r="M274" s="166">
        <v>169</v>
      </c>
      <c r="N274" s="167">
        <v>425</v>
      </c>
      <c r="O274" s="72" t="str">
        <f t="shared" si="9"/>
        <v>0xA9</v>
      </c>
      <c r="P274" s="168"/>
      <c r="Q274" s="168"/>
      <c r="R274" s="168"/>
      <c r="S274" s="168"/>
      <c r="T274" s="109" t="s">
        <v>665</v>
      </c>
      <c r="U274" s="170"/>
      <c r="V274" s="313"/>
    </row>
    <row r="275" spans="3:22" ht="16.5" customHeight="1" x14ac:dyDescent="0.3">
      <c r="C275" s="166">
        <v>170</v>
      </c>
      <c r="D275" s="167">
        <v>426</v>
      </c>
      <c r="E275" s="72" t="str">
        <f t="shared" si="8"/>
        <v>0xAA</v>
      </c>
      <c r="F275" s="168"/>
      <c r="G275" s="169"/>
      <c r="H275" s="168"/>
      <c r="I275" s="169"/>
      <c r="J275" s="308"/>
      <c r="K275" s="170"/>
      <c r="L275" s="60"/>
      <c r="M275" s="166">
        <v>170</v>
      </c>
      <c r="N275" s="167">
        <v>426</v>
      </c>
      <c r="O275" s="72" t="str">
        <f t="shared" si="9"/>
        <v>0xAA</v>
      </c>
      <c r="P275" s="168"/>
      <c r="Q275" s="168"/>
      <c r="R275" s="168"/>
      <c r="S275" s="168"/>
      <c r="T275" s="109"/>
      <c r="U275" s="170"/>
    </row>
    <row r="276" spans="3:22" ht="16.5" customHeight="1" x14ac:dyDescent="0.3">
      <c r="C276" s="166">
        <v>171</v>
      </c>
      <c r="D276" s="167">
        <v>427</v>
      </c>
      <c r="E276" s="72" t="str">
        <f t="shared" si="8"/>
        <v>0xAB</v>
      </c>
      <c r="F276" s="168"/>
      <c r="G276" s="169"/>
      <c r="H276" s="168"/>
      <c r="I276" s="169"/>
      <c r="J276" s="308"/>
      <c r="K276" s="170"/>
      <c r="L276" s="60"/>
      <c r="M276" s="166">
        <v>171</v>
      </c>
      <c r="N276" s="167">
        <v>427</v>
      </c>
      <c r="O276" s="72" t="str">
        <f t="shared" si="9"/>
        <v>0xAB</v>
      </c>
      <c r="P276" s="168"/>
      <c r="Q276" s="168"/>
      <c r="R276" s="168"/>
      <c r="S276" s="168"/>
      <c r="T276" s="109"/>
      <c r="U276" s="170"/>
    </row>
    <row r="277" spans="3:22" ht="16.5" customHeight="1" x14ac:dyDescent="0.3">
      <c r="C277" s="166">
        <v>172</v>
      </c>
      <c r="D277" s="167">
        <v>428</v>
      </c>
      <c r="E277" s="72" t="str">
        <f t="shared" si="8"/>
        <v>0xAC</v>
      </c>
      <c r="F277" s="168"/>
      <c r="G277" s="169"/>
      <c r="H277" s="168"/>
      <c r="I277" s="169"/>
      <c r="J277" s="308"/>
      <c r="K277" s="170"/>
      <c r="L277" s="60"/>
      <c r="M277" s="166">
        <v>172</v>
      </c>
      <c r="N277" s="167">
        <v>428</v>
      </c>
      <c r="O277" s="72" t="str">
        <f t="shared" si="9"/>
        <v>0xAC</v>
      </c>
      <c r="P277" s="168"/>
      <c r="Q277" s="168"/>
      <c r="R277" s="168"/>
      <c r="S277" s="168"/>
      <c r="T277" s="109" t="s">
        <v>666</v>
      </c>
      <c r="U277" s="170"/>
      <c r="V277" s="314" t="s">
        <v>667</v>
      </c>
    </row>
    <row r="278" spans="3:22" ht="16.5" customHeight="1" x14ac:dyDescent="0.3">
      <c r="C278" s="166">
        <v>173</v>
      </c>
      <c r="D278" s="167">
        <v>429</v>
      </c>
      <c r="E278" s="72" t="str">
        <f t="shared" si="8"/>
        <v>0xAD</v>
      </c>
      <c r="F278" s="168"/>
      <c r="G278" s="169"/>
      <c r="H278" s="168"/>
      <c r="I278" s="169"/>
      <c r="J278" s="258"/>
      <c r="K278" s="170"/>
      <c r="L278" s="60"/>
      <c r="M278" s="166">
        <v>173</v>
      </c>
      <c r="N278" s="167">
        <v>429</v>
      </c>
      <c r="O278" s="72" t="str">
        <f t="shared" si="9"/>
        <v>0xAD</v>
      </c>
      <c r="P278" s="168"/>
      <c r="Q278" s="168"/>
      <c r="R278" s="168"/>
      <c r="S278" s="168"/>
      <c r="T278" s="109" t="s">
        <v>666</v>
      </c>
      <c r="U278" s="170"/>
      <c r="V278" s="314"/>
    </row>
    <row r="279" spans="3:22" ht="16.5" customHeight="1" x14ac:dyDescent="0.3">
      <c r="C279" s="166">
        <v>174</v>
      </c>
      <c r="D279" s="167">
        <v>430</v>
      </c>
      <c r="E279" s="72" t="str">
        <f t="shared" si="8"/>
        <v>0xAE</v>
      </c>
      <c r="F279" s="168"/>
      <c r="G279" s="169"/>
      <c r="H279" s="168"/>
      <c r="I279" s="169"/>
      <c r="J279" s="258"/>
      <c r="K279" s="170"/>
      <c r="L279" s="60"/>
      <c r="M279" s="166">
        <v>174</v>
      </c>
      <c r="N279" s="167">
        <v>430</v>
      </c>
      <c r="O279" s="72" t="str">
        <f t="shared" si="9"/>
        <v>0xAE</v>
      </c>
      <c r="P279" s="168"/>
      <c r="Q279" s="168"/>
      <c r="R279" s="168"/>
      <c r="S279" s="168"/>
      <c r="T279" s="109" t="s">
        <v>668</v>
      </c>
      <c r="U279" s="176"/>
      <c r="V279" s="314"/>
    </row>
    <row r="280" spans="3:22" ht="17.25" customHeight="1" thickBot="1" x14ac:dyDescent="0.35">
      <c r="C280" s="178">
        <v>175</v>
      </c>
      <c r="D280" s="179">
        <v>431</v>
      </c>
      <c r="E280" s="91" t="str">
        <f t="shared" si="8"/>
        <v>0xAF</v>
      </c>
      <c r="F280" s="180"/>
      <c r="G280" s="181"/>
      <c r="H280" s="180"/>
      <c r="I280" s="181"/>
      <c r="J280" s="262"/>
      <c r="K280" s="190"/>
      <c r="L280" s="98"/>
      <c r="M280" s="178">
        <v>175</v>
      </c>
      <c r="N280" s="179">
        <v>431</v>
      </c>
      <c r="O280" s="91" t="str">
        <f t="shared" si="9"/>
        <v>0xAF</v>
      </c>
      <c r="P280" s="180"/>
      <c r="Q280" s="180"/>
      <c r="R280" s="180"/>
      <c r="S280" s="180"/>
      <c r="T280" s="297" t="s">
        <v>668</v>
      </c>
      <c r="U280" s="184"/>
      <c r="V280" s="314"/>
    </row>
    <row r="281" spans="3:22" ht="17.25" customHeight="1" thickTop="1" x14ac:dyDescent="0.3">
      <c r="C281" s="185">
        <v>176</v>
      </c>
      <c r="D281" s="186">
        <v>432</v>
      </c>
      <c r="E281" s="72" t="str">
        <f t="shared" si="8"/>
        <v>0xB0</v>
      </c>
      <c r="F281" s="160"/>
      <c r="G281" s="161"/>
      <c r="H281" s="160"/>
      <c r="I281" s="161"/>
      <c r="J281" s="310"/>
      <c r="K281" s="164"/>
      <c r="L281" s="102">
        <v>12</v>
      </c>
      <c r="M281" s="185">
        <v>176</v>
      </c>
      <c r="N281" s="186">
        <v>432</v>
      </c>
      <c r="O281" s="72" t="str">
        <f t="shared" si="9"/>
        <v>0xB0</v>
      </c>
      <c r="P281" s="160"/>
      <c r="Q281" s="160"/>
      <c r="R281" s="160"/>
      <c r="S281" s="160"/>
      <c r="T281" s="287" t="s">
        <v>669</v>
      </c>
      <c r="U281" s="164"/>
      <c r="V281" s="301" t="s">
        <v>670</v>
      </c>
    </row>
    <row r="282" spans="3:22" ht="16.5" customHeight="1" x14ac:dyDescent="0.3">
      <c r="C282" s="166">
        <v>177</v>
      </c>
      <c r="D282" s="167">
        <v>433</v>
      </c>
      <c r="E282" s="72" t="str">
        <f t="shared" si="8"/>
        <v>0xB1</v>
      </c>
      <c r="F282" s="168"/>
      <c r="G282" s="169"/>
      <c r="H282" s="168"/>
      <c r="I282" s="169"/>
      <c r="J282" s="308"/>
      <c r="K282" s="170"/>
      <c r="L282" s="60"/>
      <c r="M282" s="166">
        <v>177</v>
      </c>
      <c r="N282" s="167">
        <v>433</v>
      </c>
      <c r="O282" s="72" t="str">
        <f t="shared" si="9"/>
        <v>0xB1</v>
      </c>
      <c r="P282" s="168"/>
      <c r="Q282" s="168"/>
      <c r="R282" s="168"/>
      <c r="S282" s="168"/>
      <c r="T282" s="109" t="s">
        <v>671</v>
      </c>
      <c r="U282" s="170"/>
      <c r="V282" s="301" t="s">
        <v>670</v>
      </c>
    </row>
    <row r="283" spans="3:22" ht="16.5" customHeight="1" x14ac:dyDescent="0.3">
      <c r="C283" s="166">
        <v>178</v>
      </c>
      <c r="D283" s="167">
        <v>434</v>
      </c>
      <c r="E283" s="72" t="str">
        <f t="shared" si="8"/>
        <v>0xB2</v>
      </c>
      <c r="F283" s="168"/>
      <c r="G283" s="169"/>
      <c r="H283" s="168"/>
      <c r="I283" s="169"/>
      <c r="J283" s="308"/>
      <c r="K283" s="170"/>
      <c r="L283" s="60"/>
      <c r="M283" s="166">
        <v>178</v>
      </c>
      <c r="N283" s="167">
        <v>434</v>
      </c>
      <c r="O283" s="72" t="str">
        <f t="shared" si="9"/>
        <v>0xB2</v>
      </c>
      <c r="P283" s="168"/>
      <c r="Q283" s="168"/>
      <c r="R283" s="168"/>
      <c r="S283" s="168"/>
      <c r="T283" s="109" t="s">
        <v>672</v>
      </c>
      <c r="U283" s="170"/>
      <c r="V283" s="301" t="s">
        <v>670</v>
      </c>
    </row>
    <row r="284" spans="3:22" ht="16.5" customHeight="1" x14ac:dyDescent="0.3">
      <c r="C284" s="166">
        <v>179</v>
      </c>
      <c r="D284" s="167">
        <v>435</v>
      </c>
      <c r="E284" s="72" t="str">
        <f t="shared" si="8"/>
        <v>0xB3</v>
      </c>
      <c r="F284" s="168"/>
      <c r="G284" s="169"/>
      <c r="H284" s="168"/>
      <c r="I284" s="169"/>
      <c r="J284" s="308"/>
      <c r="K284" s="170"/>
      <c r="L284" s="60"/>
      <c r="M284" s="166">
        <v>179</v>
      </c>
      <c r="N284" s="167">
        <v>435</v>
      </c>
      <c r="O284" s="72" t="str">
        <f t="shared" si="9"/>
        <v>0xB3</v>
      </c>
      <c r="P284" s="168"/>
      <c r="Q284" s="168"/>
      <c r="R284" s="168"/>
      <c r="S284" s="168"/>
      <c r="T284" s="109" t="s">
        <v>673</v>
      </c>
      <c r="U284" s="170"/>
      <c r="V284" s="301" t="s">
        <v>670</v>
      </c>
    </row>
    <row r="285" spans="3:22" ht="16.5" customHeight="1" x14ac:dyDescent="0.3">
      <c r="C285" s="166">
        <v>180</v>
      </c>
      <c r="D285" s="167">
        <v>436</v>
      </c>
      <c r="E285" s="72" t="str">
        <f t="shared" si="8"/>
        <v>0xB4</v>
      </c>
      <c r="F285" s="168"/>
      <c r="G285" s="169"/>
      <c r="H285" s="168"/>
      <c r="I285" s="169"/>
      <c r="J285" s="308"/>
      <c r="K285" s="170"/>
      <c r="L285" s="60"/>
      <c r="M285" s="166">
        <v>180</v>
      </c>
      <c r="N285" s="167">
        <v>436</v>
      </c>
      <c r="O285" s="72" t="str">
        <f t="shared" si="9"/>
        <v>0xB4</v>
      </c>
      <c r="P285" s="168"/>
      <c r="Q285" s="168"/>
      <c r="R285" s="168"/>
      <c r="S285" s="168"/>
      <c r="T285" s="109" t="s">
        <v>674</v>
      </c>
      <c r="U285" s="170"/>
      <c r="V285" s="301" t="s">
        <v>670</v>
      </c>
    </row>
    <row r="286" spans="3:22" ht="16.5" customHeight="1" x14ac:dyDescent="0.3">
      <c r="C286" s="166">
        <v>181</v>
      </c>
      <c r="D286" s="167">
        <v>437</v>
      </c>
      <c r="E286" s="72" t="str">
        <f t="shared" si="8"/>
        <v>0xB5</v>
      </c>
      <c r="F286" s="168"/>
      <c r="G286" s="169"/>
      <c r="H286" s="168"/>
      <c r="I286" s="169"/>
      <c r="J286" s="308"/>
      <c r="K286" s="170"/>
      <c r="L286" s="60"/>
      <c r="M286" s="166">
        <v>181</v>
      </c>
      <c r="N286" s="167">
        <v>437</v>
      </c>
      <c r="O286" s="72" t="str">
        <f t="shared" si="9"/>
        <v>0xB5</v>
      </c>
      <c r="P286" s="168"/>
      <c r="Q286" s="168"/>
      <c r="R286" s="168"/>
      <c r="S286" s="168"/>
      <c r="T286" s="109" t="s">
        <v>675</v>
      </c>
      <c r="U286" s="170"/>
      <c r="V286" s="301" t="s">
        <v>670</v>
      </c>
    </row>
    <row r="287" spans="3:22" ht="16.5" customHeight="1" x14ac:dyDescent="0.3">
      <c r="C287" s="166">
        <v>182</v>
      </c>
      <c r="D287" s="167">
        <v>438</v>
      </c>
      <c r="E287" s="72" t="str">
        <f t="shared" si="8"/>
        <v>0xB6</v>
      </c>
      <c r="F287" s="168"/>
      <c r="G287" s="169"/>
      <c r="H287" s="168"/>
      <c r="I287" s="169"/>
      <c r="J287" s="308"/>
      <c r="K287" s="170"/>
      <c r="L287" s="60"/>
      <c r="M287" s="166">
        <v>182</v>
      </c>
      <c r="N287" s="167">
        <v>438</v>
      </c>
      <c r="O287" s="72" t="str">
        <f t="shared" si="9"/>
        <v>0xB6</v>
      </c>
      <c r="P287" s="168"/>
      <c r="Q287" s="168"/>
      <c r="R287" s="168"/>
      <c r="S287" s="168"/>
      <c r="T287" s="109" t="s">
        <v>676</v>
      </c>
      <c r="U287" s="170"/>
      <c r="V287" s="301" t="s">
        <v>670</v>
      </c>
    </row>
    <row r="288" spans="3:22" ht="16.5" customHeight="1" x14ac:dyDescent="0.3">
      <c r="C288" s="166">
        <v>183</v>
      </c>
      <c r="D288" s="167">
        <v>439</v>
      </c>
      <c r="E288" s="72" t="str">
        <f t="shared" si="8"/>
        <v>0xB7</v>
      </c>
      <c r="F288" s="168"/>
      <c r="G288" s="169"/>
      <c r="H288" s="168"/>
      <c r="I288" s="169"/>
      <c r="J288" s="308"/>
      <c r="K288" s="170"/>
      <c r="L288" s="60"/>
      <c r="M288" s="166">
        <v>183</v>
      </c>
      <c r="N288" s="167">
        <v>439</v>
      </c>
      <c r="O288" s="72" t="str">
        <f t="shared" si="9"/>
        <v>0xB7</v>
      </c>
      <c r="P288" s="168"/>
      <c r="Q288" s="168"/>
      <c r="R288" s="168"/>
      <c r="S288" s="168"/>
      <c r="T288" s="109" t="s">
        <v>677</v>
      </c>
      <c r="U288" s="170"/>
      <c r="V288" s="301" t="s">
        <v>670</v>
      </c>
    </row>
    <row r="289" spans="3:22" ht="16.5" customHeight="1" x14ac:dyDescent="0.3">
      <c r="C289" s="166">
        <v>184</v>
      </c>
      <c r="D289" s="167">
        <v>440</v>
      </c>
      <c r="E289" s="72" t="str">
        <f t="shared" si="8"/>
        <v>0xB8</v>
      </c>
      <c r="F289" s="168"/>
      <c r="G289" s="169"/>
      <c r="H289" s="168"/>
      <c r="I289" s="169"/>
      <c r="J289" s="308"/>
      <c r="K289" s="170"/>
      <c r="L289" s="60"/>
      <c r="M289" s="166">
        <v>184</v>
      </c>
      <c r="N289" s="167">
        <v>440</v>
      </c>
      <c r="O289" s="72" t="str">
        <f t="shared" si="9"/>
        <v>0xB8</v>
      </c>
      <c r="P289" s="168"/>
      <c r="Q289" s="168"/>
      <c r="R289" s="168"/>
      <c r="S289" s="168"/>
      <c r="T289" s="109"/>
      <c r="U289" s="170"/>
    </row>
    <row r="290" spans="3:22" ht="16.5" customHeight="1" x14ac:dyDescent="0.3">
      <c r="C290" s="166">
        <v>185</v>
      </c>
      <c r="D290" s="167">
        <v>441</v>
      </c>
      <c r="E290" s="72" t="str">
        <f t="shared" si="8"/>
        <v>0xB9</v>
      </c>
      <c r="F290" s="168"/>
      <c r="G290" s="169"/>
      <c r="H290" s="168"/>
      <c r="I290" s="169"/>
      <c r="J290" s="308"/>
      <c r="K290" s="170"/>
      <c r="L290" s="60"/>
      <c r="M290" s="166">
        <v>185</v>
      </c>
      <c r="N290" s="167">
        <v>441</v>
      </c>
      <c r="O290" s="72" t="str">
        <f t="shared" si="9"/>
        <v>0xB9</v>
      </c>
      <c r="P290" s="168"/>
      <c r="Q290" s="168"/>
      <c r="R290" s="168"/>
      <c r="S290" s="168"/>
      <c r="T290" s="109"/>
      <c r="U290" s="170"/>
    </row>
    <row r="291" spans="3:22" ht="23" x14ac:dyDescent="0.3">
      <c r="C291" s="166">
        <v>186</v>
      </c>
      <c r="D291" s="167">
        <v>442</v>
      </c>
      <c r="E291" s="72" t="str">
        <f t="shared" si="8"/>
        <v>0xBA</v>
      </c>
      <c r="F291" s="168"/>
      <c r="G291" s="169"/>
      <c r="H291" s="168"/>
      <c r="I291" s="169"/>
      <c r="J291" s="308"/>
      <c r="K291" s="170"/>
      <c r="L291" s="60"/>
      <c r="M291" s="166">
        <v>186</v>
      </c>
      <c r="N291" s="167">
        <v>442</v>
      </c>
      <c r="O291" s="72" t="str">
        <f t="shared" si="9"/>
        <v>0xBA</v>
      </c>
      <c r="P291" s="168"/>
      <c r="Q291" s="168"/>
      <c r="R291" s="168"/>
      <c r="S291" s="168"/>
      <c r="T291" s="109" t="s">
        <v>678</v>
      </c>
      <c r="U291" s="170"/>
      <c r="V291" s="315" t="s">
        <v>679</v>
      </c>
    </row>
    <row r="292" spans="3:22" ht="16.5" customHeight="1" x14ac:dyDescent="0.3">
      <c r="C292" s="166">
        <v>187</v>
      </c>
      <c r="D292" s="167">
        <v>443</v>
      </c>
      <c r="E292" s="72" t="str">
        <f t="shared" si="8"/>
        <v>0xBB</v>
      </c>
      <c r="F292" s="168"/>
      <c r="G292" s="169"/>
      <c r="H292" s="168"/>
      <c r="I292" s="169"/>
      <c r="J292" s="308"/>
      <c r="K292" s="170"/>
      <c r="L292" s="60"/>
      <c r="M292" s="166">
        <v>187</v>
      </c>
      <c r="N292" s="167">
        <v>443</v>
      </c>
      <c r="O292" s="72" t="str">
        <f t="shared" si="9"/>
        <v>0xBB</v>
      </c>
      <c r="P292" s="168"/>
      <c r="Q292" s="168"/>
      <c r="R292" s="168"/>
      <c r="S292" s="168"/>
      <c r="T292" s="110" t="s">
        <v>680</v>
      </c>
      <c r="U292" s="316"/>
      <c r="V292" s="294" t="s">
        <v>681</v>
      </c>
    </row>
    <row r="293" spans="3:22" ht="16.5" customHeight="1" x14ac:dyDescent="0.3">
      <c r="C293" s="166">
        <v>188</v>
      </c>
      <c r="D293" s="167">
        <v>444</v>
      </c>
      <c r="E293" s="72" t="str">
        <f t="shared" si="8"/>
        <v>0xBC</v>
      </c>
      <c r="F293" s="168"/>
      <c r="G293" s="169"/>
      <c r="H293" s="168"/>
      <c r="I293" s="169"/>
      <c r="J293" s="308"/>
      <c r="K293" s="170"/>
      <c r="L293" s="60"/>
      <c r="M293" s="166">
        <v>188</v>
      </c>
      <c r="N293" s="167">
        <v>444</v>
      </c>
      <c r="O293" s="72" t="str">
        <f t="shared" si="9"/>
        <v>0xBC</v>
      </c>
      <c r="P293" s="168"/>
      <c r="Q293" s="168"/>
      <c r="R293" s="168"/>
      <c r="S293" s="168"/>
      <c r="T293" s="110" t="s">
        <v>682</v>
      </c>
      <c r="U293" s="316"/>
      <c r="V293" s="294" t="s">
        <v>681</v>
      </c>
    </row>
    <row r="294" spans="3:22" ht="16.5" customHeight="1" x14ac:dyDescent="0.3">
      <c r="C294" s="166">
        <v>189</v>
      </c>
      <c r="D294" s="167">
        <v>445</v>
      </c>
      <c r="E294" s="72" t="str">
        <f t="shared" si="8"/>
        <v>0xBD</v>
      </c>
      <c r="F294" s="168"/>
      <c r="G294" s="169"/>
      <c r="H294" s="168"/>
      <c r="I294" s="169"/>
      <c r="J294" s="258"/>
      <c r="K294" s="170"/>
      <c r="L294" s="60"/>
      <c r="M294" s="166">
        <v>189</v>
      </c>
      <c r="N294" s="167">
        <v>445</v>
      </c>
      <c r="O294" s="72" t="str">
        <f t="shared" si="9"/>
        <v>0xBD</v>
      </c>
      <c r="P294" s="168"/>
      <c r="Q294" s="168"/>
      <c r="R294" s="168"/>
      <c r="S294" s="168"/>
      <c r="T294" s="110" t="s">
        <v>683</v>
      </c>
      <c r="U294" s="316"/>
      <c r="V294" s="294" t="s">
        <v>684</v>
      </c>
    </row>
    <row r="295" spans="3:22" ht="16.5" customHeight="1" x14ac:dyDescent="0.3">
      <c r="C295" s="166">
        <v>190</v>
      </c>
      <c r="D295" s="167">
        <v>446</v>
      </c>
      <c r="E295" s="72" t="str">
        <f t="shared" si="8"/>
        <v>0xBE</v>
      </c>
      <c r="F295" s="168"/>
      <c r="G295" s="169"/>
      <c r="H295" s="168"/>
      <c r="I295" s="169"/>
      <c r="J295" s="258"/>
      <c r="K295" s="170"/>
      <c r="L295" s="60"/>
      <c r="M295" s="166">
        <v>190</v>
      </c>
      <c r="N295" s="167">
        <v>446</v>
      </c>
      <c r="O295" s="72" t="str">
        <f t="shared" si="9"/>
        <v>0xBE</v>
      </c>
      <c r="P295" s="168"/>
      <c r="Q295" s="168"/>
      <c r="R295" s="168"/>
      <c r="S295" s="168"/>
      <c r="T295" s="110" t="s">
        <v>685</v>
      </c>
      <c r="U295" s="317"/>
      <c r="V295" s="294" t="s">
        <v>681</v>
      </c>
    </row>
    <row r="296" spans="3:22" ht="17.25" customHeight="1" thickBot="1" x14ac:dyDescent="0.35">
      <c r="C296" s="178">
        <v>191</v>
      </c>
      <c r="D296" s="179">
        <v>447</v>
      </c>
      <c r="E296" s="91" t="str">
        <f t="shared" si="8"/>
        <v>0xBF</v>
      </c>
      <c r="F296" s="180"/>
      <c r="G296" s="181"/>
      <c r="H296" s="180"/>
      <c r="I296" s="181"/>
      <c r="J296" s="262"/>
      <c r="K296" s="190"/>
      <c r="L296" s="98"/>
      <c r="M296" s="178">
        <v>191</v>
      </c>
      <c r="N296" s="179">
        <v>447</v>
      </c>
      <c r="O296" s="91" t="str">
        <f t="shared" si="9"/>
        <v>0xBF</v>
      </c>
      <c r="P296" s="180"/>
      <c r="Q296" s="180"/>
      <c r="R296" s="180"/>
      <c r="S296" s="180"/>
      <c r="T296" s="297"/>
      <c r="U296" s="184"/>
    </row>
    <row r="297" spans="3:22" ht="17.25" customHeight="1" thickTop="1" x14ac:dyDescent="0.3">
      <c r="C297" s="185">
        <v>192</v>
      </c>
      <c r="D297" s="186">
        <v>448</v>
      </c>
      <c r="E297" s="72" t="str">
        <f t="shared" si="8"/>
        <v>0xC0</v>
      </c>
      <c r="F297" s="219"/>
      <c r="G297" s="220"/>
      <c r="H297" s="219"/>
      <c r="I297" s="220"/>
      <c r="J297" s="310"/>
      <c r="K297" s="164"/>
      <c r="L297" s="102">
        <v>13</v>
      </c>
      <c r="M297" s="185">
        <v>192</v>
      </c>
      <c r="N297" s="186">
        <v>448</v>
      </c>
      <c r="O297" s="72" t="str">
        <f t="shared" si="9"/>
        <v>0xC0</v>
      </c>
      <c r="P297" s="160"/>
      <c r="Q297" s="160"/>
      <c r="R297" s="160"/>
      <c r="S297" s="160"/>
      <c r="T297" s="287" t="s">
        <v>686</v>
      </c>
      <c r="U297" s="164"/>
      <c r="V297" s="301" t="s">
        <v>687</v>
      </c>
    </row>
    <row r="298" spans="3:22" ht="16.5" customHeight="1" x14ac:dyDescent="0.3">
      <c r="C298" s="166">
        <v>193</v>
      </c>
      <c r="D298" s="167">
        <v>449</v>
      </c>
      <c r="E298" s="72" t="str">
        <f t="shared" si="8"/>
        <v>0xC1</v>
      </c>
      <c r="F298" s="168"/>
      <c r="G298" s="169"/>
      <c r="H298" s="168"/>
      <c r="I298" s="169"/>
      <c r="J298" s="308"/>
      <c r="K298" s="170"/>
      <c r="L298" s="60"/>
      <c r="M298" s="166">
        <v>193</v>
      </c>
      <c r="N298" s="167">
        <v>449</v>
      </c>
      <c r="O298" s="72" t="str">
        <f t="shared" si="9"/>
        <v>0xC1</v>
      </c>
      <c r="P298" s="168"/>
      <c r="Q298" s="168"/>
      <c r="R298" s="168"/>
      <c r="S298" s="168"/>
      <c r="T298" s="109"/>
      <c r="U298" s="170"/>
    </row>
    <row r="299" spans="3:22" ht="16.5" customHeight="1" x14ac:dyDescent="0.3">
      <c r="C299" s="166">
        <v>194</v>
      </c>
      <c r="D299" s="167">
        <v>450</v>
      </c>
      <c r="E299" s="72" t="str">
        <f t="shared" ref="E299:E360" si="10">CONCATENATE("0x", DEC2HEX(C299,2))</f>
        <v>0xC2</v>
      </c>
      <c r="F299" s="168"/>
      <c r="G299" s="169"/>
      <c r="H299" s="168"/>
      <c r="I299" s="169"/>
      <c r="J299" s="308"/>
      <c r="K299" s="170"/>
      <c r="L299" s="60"/>
      <c r="M299" s="166">
        <v>194</v>
      </c>
      <c r="N299" s="167">
        <v>450</v>
      </c>
      <c r="O299" s="72" t="str">
        <f t="shared" ref="O299:O360" si="11">CONCATENATE("0x", DEC2HEX(M299,2))</f>
        <v>0xC2</v>
      </c>
      <c r="P299" s="168"/>
      <c r="Q299" s="168"/>
      <c r="R299" s="168"/>
      <c r="S299" s="168"/>
      <c r="T299" s="109" t="s">
        <v>688</v>
      </c>
      <c r="U299" s="170"/>
      <c r="V299" s="312" t="s">
        <v>689</v>
      </c>
    </row>
    <row r="300" spans="3:22" ht="16.5" customHeight="1" thickBot="1" x14ac:dyDescent="0.35">
      <c r="C300" s="166">
        <v>195</v>
      </c>
      <c r="D300" s="167">
        <v>451</v>
      </c>
      <c r="E300" s="72" t="str">
        <f t="shared" si="10"/>
        <v>0xC3</v>
      </c>
      <c r="F300" s="168"/>
      <c r="G300" s="169"/>
      <c r="H300" s="168"/>
      <c r="I300" s="169"/>
      <c r="J300" s="308"/>
      <c r="K300" s="170"/>
      <c r="L300" s="60"/>
      <c r="M300" s="166">
        <v>195</v>
      </c>
      <c r="N300" s="167">
        <v>451</v>
      </c>
      <c r="O300" s="72" t="str">
        <f t="shared" si="11"/>
        <v>0xC3</v>
      </c>
      <c r="P300" s="168"/>
      <c r="Q300" s="168"/>
      <c r="R300" s="168"/>
      <c r="S300" s="168"/>
      <c r="T300" s="109" t="s">
        <v>688</v>
      </c>
      <c r="U300" s="170"/>
      <c r="V300" s="313"/>
    </row>
    <row r="301" spans="3:22" ht="16.5" customHeight="1" thickTop="1" x14ac:dyDescent="0.3">
      <c r="C301" s="166">
        <v>196</v>
      </c>
      <c r="D301" s="167">
        <v>452</v>
      </c>
      <c r="E301" s="72" t="str">
        <f t="shared" si="10"/>
        <v>0xC4</v>
      </c>
      <c r="F301" s="168"/>
      <c r="G301" s="169"/>
      <c r="H301" s="168"/>
      <c r="I301" s="169"/>
      <c r="J301" s="308"/>
      <c r="K301" s="170"/>
      <c r="L301" s="60"/>
      <c r="M301" s="166">
        <v>196</v>
      </c>
      <c r="N301" s="167">
        <v>452</v>
      </c>
      <c r="O301" s="72" t="str">
        <f t="shared" si="11"/>
        <v>0xC4</v>
      </c>
      <c r="P301" s="168"/>
      <c r="Q301" s="168"/>
      <c r="R301" s="168"/>
      <c r="S301" s="168"/>
      <c r="T301" s="109" t="s">
        <v>690</v>
      </c>
      <c r="U301" s="288" t="s">
        <v>581</v>
      </c>
      <c r="V301" s="318" t="s">
        <v>691</v>
      </c>
    </row>
    <row r="302" spans="3:22" ht="16.5" customHeight="1" thickBot="1" x14ac:dyDescent="0.35">
      <c r="C302" s="166">
        <v>197</v>
      </c>
      <c r="D302" s="167">
        <v>453</v>
      </c>
      <c r="E302" s="72" t="str">
        <f t="shared" si="10"/>
        <v>0xC5</v>
      </c>
      <c r="F302" s="168"/>
      <c r="G302" s="169"/>
      <c r="H302" s="168"/>
      <c r="I302" s="169"/>
      <c r="J302" s="308"/>
      <c r="K302" s="170"/>
      <c r="L302" s="60"/>
      <c r="M302" s="166">
        <v>197</v>
      </c>
      <c r="N302" s="167">
        <v>453</v>
      </c>
      <c r="O302" s="72" t="str">
        <f t="shared" si="11"/>
        <v>0xC5</v>
      </c>
      <c r="P302" s="168"/>
      <c r="Q302" s="168"/>
      <c r="R302" s="168"/>
      <c r="S302" s="168"/>
      <c r="T302" s="109" t="s">
        <v>690</v>
      </c>
      <c r="U302" s="170"/>
      <c r="V302" s="319"/>
    </row>
    <row r="303" spans="3:22" ht="16.5" customHeight="1" thickTop="1" x14ac:dyDescent="0.3">
      <c r="C303" s="166">
        <v>198</v>
      </c>
      <c r="D303" s="167">
        <v>454</v>
      </c>
      <c r="E303" s="72" t="str">
        <f t="shared" si="10"/>
        <v>0xC6</v>
      </c>
      <c r="F303" s="168"/>
      <c r="G303" s="169"/>
      <c r="H303" s="168"/>
      <c r="I303" s="169"/>
      <c r="J303" s="308"/>
      <c r="K303" s="170"/>
      <c r="L303" s="60"/>
      <c r="M303" s="166">
        <v>198</v>
      </c>
      <c r="N303" s="167">
        <v>454</v>
      </c>
      <c r="O303" s="72" t="str">
        <f t="shared" si="11"/>
        <v>0xC6</v>
      </c>
      <c r="P303" s="168"/>
      <c r="Q303" s="168"/>
      <c r="R303" s="168"/>
      <c r="S303" s="168"/>
      <c r="T303" s="109" t="s">
        <v>692</v>
      </c>
      <c r="U303" s="288" t="s">
        <v>581</v>
      </c>
      <c r="V303" s="318" t="s">
        <v>691</v>
      </c>
    </row>
    <row r="304" spans="3:22" ht="16.5" customHeight="1" thickBot="1" x14ac:dyDescent="0.35">
      <c r="C304" s="166">
        <v>199</v>
      </c>
      <c r="D304" s="167">
        <v>455</v>
      </c>
      <c r="E304" s="72" t="str">
        <f t="shared" si="10"/>
        <v>0xC7</v>
      </c>
      <c r="F304" s="168"/>
      <c r="G304" s="169"/>
      <c r="H304" s="168"/>
      <c r="I304" s="169"/>
      <c r="J304" s="308"/>
      <c r="K304" s="170"/>
      <c r="L304" s="60"/>
      <c r="M304" s="166">
        <v>199</v>
      </c>
      <c r="N304" s="167">
        <v>455</v>
      </c>
      <c r="O304" s="72" t="str">
        <f t="shared" si="11"/>
        <v>0xC7</v>
      </c>
      <c r="P304" s="168"/>
      <c r="Q304" s="168"/>
      <c r="R304" s="168"/>
      <c r="S304" s="168"/>
      <c r="T304" s="109" t="s">
        <v>692</v>
      </c>
      <c r="U304" s="170"/>
      <c r="V304" s="319"/>
    </row>
    <row r="305" spans="3:22" ht="16.5" customHeight="1" thickTop="1" x14ac:dyDescent="0.3">
      <c r="C305" s="166">
        <v>200</v>
      </c>
      <c r="D305" s="167">
        <v>456</v>
      </c>
      <c r="E305" s="72" t="str">
        <f t="shared" si="10"/>
        <v>0xC8</v>
      </c>
      <c r="F305" s="168"/>
      <c r="G305" s="169"/>
      <c r="H305" s="168"/>
      <c r="I305" s="169"/>
      <c r="J305" s="308"/>
      <c r="K305" s="170"/>
      <c r="L305" s="60"/>
      <c r="M305" s="166">
        <v>200</v>
      </c>
      <c r="N305" s="167">
        <v>456</v>
      </c>
      <c r="O305" s="72" t="str">
        <f t="shared" si="11"/>
        <v>0xC8</v>
      </c>
      <c r="P305" s="168"/>
      <c r="Q305" s="168"/>
      <c r="R305" s="168"/>
      <c r="S305" s="168"/>
      <c r="T305" s="109" t="s">
        <v>693</v>
      </c>
      <c r="U305" s="288" t="s">
        <v>581</v>
      </c>
      <c r="V305" s="318" t="s">
        <v>691</v>
      </c>
    </row>
    <row r="306" spans="3:22" ht="16.5" customHeight="1" thickBot="1" x14ac:dyDescent="0.35">
      <c r="C306" s="166">
        <v>201</v>
      </c>
      <c r="D306" s="167">
        <v>457</v>
      </c>
      <c r="E306" s="72" t="str">
        <f t="shared" si="10"/>
        <v>0xC9</v>
      </c>
      <c r="F306" s="168"/>
      <c r="G306" s="169"/>
      <c r="H306" s="168"/>
      <c r="I306" s="169"/>
      <c r="J306" s="308"/>
      <c r="K306" s="170"/>
      <c r="L306" s="60"/>
      <c r="M306" s="166">
        <v>201</v>
      </c>
      <c r="N306" s="167">
        <v>457</v>
      </c>
      <c r="O306" s="72" t="str">
        <f t="shared" si="11"/>
        <v>0xC9</v>
      </c>
      <c r="P306" s="168"/>
      <c r="Q306" s="168"/>
      <c r="R306" s="168"/>
      <c r="S306" s="168"/>
      <c r="T306" s="109" t="s">
        <v>693</v>
      </c>
      <c r="U306" s="170"/>
      <c r="V306" s="319"/>
    </row>
    <row r="307" spans="3:22" ht="16.5" customHeight="1" thickTop="1" x14ac:dyDescent="0.3">
      <c r="C307" s="166">
        <v>202</v>
      </c>
      <c r="D307" s="167">
        <v>458</v>
      </c>
      <c r="E307" s="72" t="str">
        <f t="shared" si="10"/>
        <v>0xCA</v>
      </c>
      <c r="F307" s="168"/>
      <c r="G307" s="169"/>
      <c r="H307" s="168"/>
      <c r="I307" s="169"/>
      <c r="J307" s="308"/>
      <c r="K307" s="170"/>
      <c r="L307" s="60"/>
      <c r="M307" s="166">
        <v>202</v>
      </c>
      <c r="N307" s="167">
        <v>458</v>
      </c>
      <c r="O307" s="72" t="str">
        <f t="shared" si="11"/>
        <v>0xCA</v>
      </c>
      <c r="P307" s="168"/>
      <c r="Q307" s="168"/>
      <c r="R307" s="168"/>
      <c r="S307" s="168"/>
      <c r="T307" s="109" t="s">
        <v>694</v>
      </c>
      <c r="U307" s="288" t="s">
        <v>581</v>
      </c>
      <c r="V307" s="318" t="s">
        <v>691</v>
      </c>
    </row>
    <row r="308" spans="3:22" ht="16.5" customHeight="1" x14ac:dyDescent="0.3">
      <c r="C308" s="166">
        <v>203</v>
      </c>
      <c r="D308" s="167">
        <v>459</v>
      </c>
      <c r="E308" s="72" t="str">
        <f t="shared" si="10"/>
        <v>0xCB</v>
      </c>
      <c r="F308" s="168"/>
      <c r="G308" s="169"/>
      <c r="H308" s="168"/>
      <c r="I308" s="169"/>
      <c r="J308" s="308"/>
      <c r="K308" s="170"/>
      <c r="L308" s="60"/>
      <c r="M308" s="166">
        <v>203</v>
      </c>
      <c r="N308" s="167">
        <v>459</v>
      </c>
      <c r="O308" s="72" t="str">
        <f t="shared" si="11"/>
        <v>0xCB</v>
      </c>
      <c r="P308" s="168"/>
      <c r="Q308" s="168"/>
      <c r="R308" s="168"/>
      <c r="S308" s="168"/>
      <c r="T308" s="109" t="s">
        <v>694</v>
      </c>
      <c r="U308" s="170"/>
      <c r="V308" s="320"/>
    </row>
    <row r="309" spans="3:22" ht="16.5" customHeight="1" x14ac:dyDescent="0.3">
      <c r="C309" s="166">
        <v>204</v>
      </c>
      <c r="D309" s="167">
        <v>460</v>
      </c>
      <c r="E309" s="72" t="str">
        <f t="shared" si="10"/>
        <v>0xCC</v>
      </c>
      <c r="F309" s="168"/>
      <c r="G309" s="169"/>
      <c r="H309" s="168"/>
      <c r="I309" s="169"/>
      <c r="J309" s="308"/>
      <c r="K309" s="170"/>
      <c r="L309" s="60"/>
      <c r="M309" s="166">
        <v>204</v>
      </c>
      <c r="N309" s="167">
        <v>460</v>
      </c>
      <c r="O309" s="72" t="str">
        <f t="shared" si="11"/>
        <v>0xCC</v>
      </c>
      <c r="P309" s="168"/>
      <c r="Q309" s="168"/>
      <c r="R309" s="168"/>
      <c r="S309" s="168"/>
      <c r="T309" s="109"/>
      <c r="U309" s="170"/>
    </row>
    <row r="310" spans="3:22" ht="16.5" customHeight="1" x14ac:dyDescent="0.3">
      <c r="C310" s="166">
        <v>205</v>
      </c>
      <c r="D310" s="167">
        <v>461</v>
      </c>
      <c r="E310" s="72" t="str">
        <f t="shared" si="10"/>
        <v>0xCD</v>
      </c>
      <c r="F310" s="168"/>
      <c r="G310" s="169"/>
      <c r="H310" s="168"/>
      <c r="I310" s="169"/>
      <c r="J310" s="258"/>
      <c r="K310" s="170"/>
      <c r="L310" s="60"/>
      <c r="M310" s="166">
        <v>205</v>
      </c>
      <c r="N310" s="167">
        <v>461</v>
      </c>
      <c r="O310" s="72" t="str">
        <f t="shared" si="11"/>
        <v>0xCD</v>
      </c>
      <c r="P310" s="168"/>
      <c r="Q310" s="168"/>
      <c r="R310" s="168"/>
      <c r="S310" s="168"/>
      <c r="T310" s="109"/>
      <c r="U310" s="170"/>
    </row>
    <row r="311" spans="3:22" ht="16.5" customHeight="1" x14ac:dyDescent="0.3">
      <c r="C311" s="166">
        <v>206</v>
      </c>
      <c r="D311" s="167">
        <v>462</v>
      </c>
      <c r="E311" s="72" t="str">
        <f t="shared" si="10"/>
        <v>0xCE</v>
      </c>
      <c r="F311" s="168"/>
      <c r="G311" s="169"/>
      <c r="H311" s="168"/>
      <c r="I311" s="169"/>
      <c r="J311" s="258"/>
      <c r="K311" s="170"/>
      <c r="L311" s="60"/>
      <c r="M311" s="166">
        <v>206</v>
      </c>
      <c r="N311" s="167">
        <v>462</v>
      </c>
      <c r="O311" s="72" t="str">
        <f t="shared" si="11"/>
        <v>0xCE</v>
      </c>
      <c r="P311" s="168"/>
      <c r="Q311" s="168"/>
      <c r="R311" s="168"/>
      <c r="S311" s="168"/>
      <c r="T311" s="109"/>
      <c r="U311" s="176"/>
    </row>
    <row r="312" spans="3:22" ht="17.25" customHeight="1" thickBot="1" x14ac:dyDescent="0.35">
      <c r="C312" s="178">
        <v>207</v>
      </c>
      <c r="D312" s="179">
        <v>463</v>
      </c>
      <c r="E312" s="91" t="str">
        <f t="shared" si="10"/>
        <v>0xCF</v>
      </c>
      <c r="F312" s="180"/>
      <c r="G312" s="181"/>
      <c r="H312" s="180"/>
      <c r="I312" s="181"/>
      <c r="J312" s="262"/>
      <c r="K312" s="190"/>
      <c r="L312" s="98"/>
      <c r="M312" s="178">
        <v>207</v>
      </c>
      <c r="N312" s="179">
        <v>463</v>
      </c>
      <c r="O312" s="91" t="str">
        <f t="shared" si="11"/>
        <v>0xCF</v>
      </c>
      <c r="P312" s="180"/>
      <c r="Q312" s="180"/>
      <c r="R312" s="180"/>
      <c r="S312" s="180"/>
      <c r="T312" s="297"/>
      <c r="U312" s="184"/>
    </row>
    <row r="313" spans="3:22" ht="17.25" customHeight="1" thickTop="1" x14ac:dyDescent="0.3">
      <c r="C313" s="185">
        <v>208</v>
      </c>
      <c r="D313" s="186">
        <v>464</v>
      </c>
      <c r="E313" s="72" t="str">
        <f t="shared" si="10"/>
        <v>0xD0</v>
      </c>
      <c r="F313" s="160"/>
      <c r="G313" s="161"/>
      <c r="H313" s="160"/>
      <c r="I313" s="161"/>
      <c r="J313" s="310"/>
      <c r="K313" s="164"/>
      <c r="L313" s="102">
        <v>14</v>
      </c>
      <c r="M313" s="185">
        <v>208</v>
      </c>
      <c r="N313" s="186">
        <v>464</v>
      </c>
      <c r="O313" s="72" t="str">
        <f t="shared" si="11"/>
        <v>0xD0</v>
      </c>
      <c r="P313" s="160"/>
      <c r="Q313" s="160"/>
      <c r="R313" s="160"/>
      <c r="S313" s="160"/>
      <c r="T313" s="321" t="s">
        <v>695</v>
      </c>
      <c r="U313" s="202" t="s">
        <v>696</v>
      </c>
    </row>
    <row r="314" spans="3:22" ht="16.5" customHeight="1" x14ac:dyDescent="0.3">
      <c r="C314" s="166">
        <v>209</v>
      </c>
      <c r="D314" s="167">
        <v>465</v>
      </c>
      <c r="E314" s="72" t="str">
        <f t="shared" si="10"/>
        <v>0xD1</v>
      </c>
      <c r="F314" s="168"/>
      <c r="G314" s="169"/>
      <c r="H314" s="168"/>
      <c r="I314" s="169"/>
      <c r="J314" s="308"/>
      <c r="K314" s="170"/>
      <c r="L314" s="60"/>
      <c r="M314" s="166">
        <v>209</v>
      </c>
      <c r="N314" s="167">
        <v>465</v>
      </c>
      <c r="O314" s="72" t="str">
        <f t="shared" si="11"/>
        <v>0xD1</v>
      </c>
      <c r="P314" s="168"/>
      <c r="Q314" s="168"/>
      <c r="R314" s="168"/>
      <c r="S314" s="168"/>
      <c r="T314" s="322" t="s">
        <v>697</v>
      </c>
      <c r="U314" s="188" t="s">
        <v>696</v>
      </c>
    </row>
    <row r="315" spans="3:22" ht="16.5" customHeight="1" x14ac:dyDescent="0.3">
      <c r="C315" s="166">
        <v>210</v>
      </c>
      <c r="D315" s="167">
        <v>466</v>
      </c>
      <c r="E315" s="72" t="str">
        <f t="shared" si="10"/>
        <v>0xD2</v>
      </c>
      <c r="F315" s="168"/>
      <c r="G315" s="169"/>
      <c r="H315" s="168"/>
      <c r="I315" s="169"/>
      <c r="J315" s="308"/>
      <c r="K315" s="170"/>
      <c r="L315" s="60"/>
      <c r="M315" s="166">
        <v>210</v>
      </c>
      <c r="N315" s="167">
        <v>466</v>
      </c>
      <c r="O315" s="72" t="str">
        <f t="shared" si="11"/>
        <v>0xD2</v>
      </c>
      <c r="P315" s="168"/>
      <c r="Q315" s="168"/>
      <c r="R315" s="168"/>
      <c r="S315" s="168"/>
      <c r="T315" s="322" t="s">
        <v>698</v>
      </c>
      <c r="U315" s="188" t="s">
        <v>696</v>
      </c>
    </row>
    <row r="316" spans="3:22" ht="16.5" customHeight="1" x14ac:dyDescent="0.3">
      <c r="C316" s="166">
        <v>211</v>
      </c>
      <c r="D316" s="167">
        <v>467</v>
      </c>
      <c r="E316" s="72" t="str">
        <f t="shared" si="10"/>
        <v>0xD3</v>
      </c>
      <c r="F316" s="168"/>
      <c r="G316" s="169"/>
      <c r="H316" s="168"/>
      <c r="I316" s="169"/>
      <c r="J316" s="308"/>
      <c r="K316" s="170"/>
      <c r="L316" s="60"/>
      <c r="M316" s="166">
        <v>211</v>
      </c>
      <c r="N316" s="167">
        <v>467</v>
      </c>
      <c r="O316" s="72" t="str">
        <f t="shared" si="11"/>
        <v>0xD3</v>
      </c>
      <c r="P316" s="168"/>
      <c r="Q316" s="168"/>
      <c r="R316" s="168"/>
      <c r="S316" s="168"/>
      <c r="T316" s="322" t="s">
        <v>699</v>
      </c>
      <c r="U316" s="188" t="s">
        <v>696</v>
      </c>
    </row>
    <row r="317" spans="3:22" ht="16.5" customHeight="1" x14ac:dyDescent="0.3">
      <c r="C317" s="166">
        <v>212</v>
      </c>
      <c r="D317" s="167">
        <v>468</v>
      </c>
      <c r="E317" s="72" t="str">
        <f t="shared" si="10"/>
        <v>0xD4</v>
      </c>
      <c r="F317" s="168"/>
      <c r="G317" s="169"/>
      <c r="H317" s="168"/>
      <c r="I317" s="169"/>
      <c r="J317" s="308"/>
      <c r="K317" s="170"/>
      <c r="L317" s="60"/>
      <c r="M317" s="166">
        <v>212</v>
      </c>
      <c r="N317" s="167">
        <v>468</v>
      </c>
      <c r="O317" s="72" t="str">
        <f t="shared" si="11"/>
        <v>0xD4</v>
      </c>
      <c r="P317" s="168"/>
      <c r="Q317" s="168"/>
      <c r="R317" s="168"/>
      <c r="S317" s="168"/>
      <c r="T317" s="322" t="s">
        <v>700</v>
      </c>
      <c r="U317" s="188" t="s">
        <v>696</v>
      </c>
    </row>
    <row r="318" spans="3:22" ht="16.5" customHeight="1" x14ac:dyDescent="0.3">
      <c r="C318" s="166">
        <v>213</v>
      </c>
      <c r="D318" s="167">
        <v>469</v>
      </c>
      <c r="E318" s="72" t="str">
        <f t="shared" si="10"/>
        <v>0xD5</v>
      </c>
      <c r="F318" s="168"/>
      <c r="G318" s="169"/>
      <c r="H318" s="168"/>
      <c r="I318" s="169"/>
      <c r="J318" s="308"/>
      <c r="K318" s="170"/>
      <c r="L318" s="60"/>
      <c r="M318" s="166">
        <v>213</v>
      </c>
      <c r="N318" s="167">
        <v>469</v>
      </c>
      <c r="O318" s="72" t="str">
        <f t="shared" si="11"/>
        <v>0xD5</v>
      </c>
      <c r="P318" s="168"/>
      <c r="Q318" s="168"/>
      <c r="R318" s="168"/>
      <c r="S318" s="168"/>
      <c r="T318" s="322" t="s">
        <v>701</v>
      </c>
      <c r="U318" s="188" t="s">
        <v>696</v>
      </c>
    </row>
    <row r="319" spans="3:22" ht="16.5" customHeight="1" x14ac:dyDescent="0.3">
      <c r="C319" s="166">
        <v>214</v>
      </c>
      <c r="D319" s="167">
        <v>470</v>
      </c>
      <c r="E319" s="72" t="str">
        <f t="shared" si="10"/>
        <v>0xD6</v>
      </c>
      <c r="F319" s="168"/>
      <c r="G319" s="169"/>
      <c r="H319" s="168"/>
      <c r="I319" s="169"/>
      <c r="J319" s="308"/>
      <c r="K319" s="170"/>
      <c r="L319" s="60"/>
      <c r="M319" s="166">
        <v>214</v>
      </c>
      <c r="N319" s="167">
        <v>470</v>
      </c>
      <c r="O319" s="72" t="str">
        <f t="shared" si="11"/>
        <v>0xD6</v>
      </c>
      <c r="P319" s="168"/>
      <c r="Q319" s="168"/>
      <c r="R319" s="168"/>
      <c r="S319" s="168"/>
      <c r="T319" s="322" t="s">
        <v>702</v>
      </c>
      <c r="U319" s="188" t="s">
        <v>696</v>
      </c>
    </row>
    <row r="320" spans="3:22" ht="16.5" customHeight="1" x14ac:dyDescent="0.3">
      <c r="C320" s="166">
        <v>215</v>
      </c>
      <c r="D320" s="167">
        <v>471</v>
      </c>
      <c r="E320" s="72" t="str">
        <f t="shared" si="10"/>
        <v>0xD7</v>
      </c>
      <c r="F320" s="168"/>
      <c r="G320" s="169"/>
      <c r="H320" s="168"/>
      <c r="I320" s="169"/>
      <c r="J320" s="308"/>
      <c r="K320" s="170"/>
      <c r="L320" s="60"/>
      <c r="M320" s="166">
        <v>215</v>
      </c>
      <c r="N320" s="167">
        <v>471</v>
      </c>
      <c r="O320" s="72" t="str">
        <f t="shared" si="11"/>
        <v>0xD7</v>
      </c>
      <c r="P320" s="168"/>
      <c r="Q320" s="168"/>
      <c r="R320" s="168"/>
      <c r="S320" s="168"/>
      <c r="T320" s="86"/>
      <c r="U320" s="170"/>
    </row>
    <row r="321" spans="3:21" ht="16.5" customHeight="1" x14ac:dyDescent="0.3">
      <c r="C321" s="166">
        <v>216</v>
      </c>
      <c r="D321" s="167">
        <v>472</v>
      </c>
      <c r="E321" s="72" t="str">
        <f t="shared" si="10"/>
        <v>0xD8</v>
      </c>
      <c r="F321" s="168"/>
      <c r="G321" s="169"/>
      <c r="H321" s="168"/>
      <c r="I321" s="169"/>
      <c r="J321" s="308"/>
      <c r="K321" s="170"/>
      <c r="L321" s="60"/>
      <c r="M321" s="166">
        <v>216</v>
      </c>
      <c r="N321" s="167">
        <v>472</v>
      </c>
      <c r="O321" s="72" t="str">
        <f t="shared" si="11"/>
        <v>0xD8</v>
      </c>
      <c r="P321" s="168"/>
      <c r="Q321" s="168"/>
      <c r="R321" s="168"/>
      <c r="S321" s="168"/>
      <c r="T321" s="80"/>
      <c r="U321" s="170"/>
    </row>
    <row r="322" spans="3:21" ht="16.5" customHeight="1" x14ac:dyDescent="0.3">
      <c r="C322" s="166">
        <v>217</v>
      </c>
      <c r="D322" s="167">
        <v>473</v>
      </c>
      <c r="E322" s="72" t="str">
        <f t="shared" si="10"/>
        <v>0xD9</v>
      </c>
      <c r="F322" s="168"/>
      <c r="G322" s="169"/>
      <c r="H322" s="168"/>
      <c r="I322" s="169"/>
      <c r="J322" s="308"/>
      <c r="K322" s="170"/>
      <c r="L322" s="60"/>
      <c r="M322" s="166">
        <v>217</v>
      </c>
      <c r="N322" s="167">
        <v>473</v>
      </c>
      <c r="O322" s="72" t="str">
        <f t="shared" si="11"/>
        <v>0xD9</v>
      </c>
      <c r="P322" s="168"/>
      <c r="Q322" s="168"/>
      <c r="R322" s="168"/>
      <c r="S322" s="168"/>
      <c r="T322" s="80"/>
      <c r="U322" s="170"/>
    </row>
    <row r="323" spans="3:21" ht="16.5" customHeight="1" x14ac:dyDescent="0.3">
      <c r="C323" s="166">
        <v>218</v>
      </c>
      <c r="D323" s="167">
        <v>474</v>
      </c>
      <c r="E323" s="72" t="str">
        <f t="shared" si="10"/>
        <v>0xDA</v>
      </c>
      <c r="F323" s="168"/>
      <c r="G323" s="169"/>
      <c r="H323" s="168"/>
      <c r="I323" s="169"/>
      <c r="J323" s="308"/>
      <c r="K323" s="170"/>
      <c r="L323" s="60"/>
      <c r="M323" s="166">
        <v>218</v>
      </c>
      <c r="N323" s="167">
        <v>474</v>
      </c>
      <c r="O323" s="72" t="str">
        <f t="shared" si="11"/>
        <v>0xDA</v>
      </c>
      <c r="P323" s="168"/>
      <c r="Q323" s="168"/>
      <c r="R323" s="168"/>
      <c r="S323" s="168"/>
      <c r="T323" s="80"/>
      <c r="U323" s="170"/>
    </row>
    <row r="324" spans="3:21" ht="16.5" customHeight="1" x14ac:dyDescent="0.3">
      <c r="C324" s="166">
        <v>219</v>
      </c>
      <c r="D324" s="167">
        <v>475</v>
      </c>
      <c r="E324" s="72" t="str">
        <f t="shared" si="10"/>
        <v>0xDB</v>
      </c>
      <c r="F324" s="168"/>
      <c r="G324" s="169"/>
      <c r="H324" s="168"/>
      <c r="I324" s="169"/>
      <c r="J324" s="308"/>
      <c r="K324" s="170"/>
      <c r="L324" s="60"/>
      <c r="M324" s="166">
        <v>219</v>
      </c>
      <c r="N324" s="167">
        <v>475</v>
      </c>
      <c r="O324" s="72" t="str">
        <f t="shared" si="11"/>
        <v>0xDB</v>
      </c>
      <c r="P324" s="168"/>
      <c r="Q324" s="168"/>
      <c r="R324" s="168"/>
      <c r="S324" s="168"/>
      <c r="T324" s="80"/>
      <c r="U324" s="170"/>
    </row>
    <row r="325" spans="3:21" ht="16.5" customHeight="1" x14ac:dyDescent="0.3">
      <c r="C325" s="166">
        <v>220</v>
      </c>
      <c r="D325" s="167">
        <v>476</v>
      </c>
      <c r="E325" s="72" t="str">
        <f t="shared" si="10"/>
        <v>0xDC</v>
      </c>
      <c r="F325" s="168"/>
      <c r="G325" s="169"/>
      <c r="H325" s="168"/>
      <c r="I325" s="169"/>
      <c r="J325" s="308"/>
      <c r="K325" s="170"/>
      <c r="L325" s="60"/>
      <c r="M325" s="166">
        <v>220</v>
      </c>
      <c r="N325" s="167">
        <v>476</v>
      </c>
      <c r="O325" s="72" t="str">
        <f t="shared" si="11"/>
        <v>0xDC</v>
      </c>
      <c r="P325" s="168"/>
      <c r="Q325" s="168"/>
      <c r="R325" s="168"/>
      <c r="S325" s="168"/>
      <c r="T325" s="80"/>
      <c r="U325" s="170"/>
    </row>
    <row r="326" spans="3:21" ht="16.5" customHeight="1" x14ac:dyDescent="0.3">
      <c r="C326" s="166">
        <v>221</v>
      </c>
      <c r="D326" s="167">
        <v>477</v>
      </c>
      <c r="E326" s="72" t="str">
        <f t="shared" si="10"/>
        <v>0xDD</v>
      </c>
      <c r="F326" s="168"/>
      <c r="G326" s="169"/>
      <c r="H326" s="168"/>
      <c r="I326" s="169"/>
      <c r="J326" s="258"/>
      <c r="K326" s="170"/>
      <c r="L326" s="60"/>
      <c r="M326" s="166">
        <v>221</v>
      </c>
      <c r="N326" s="167">
        <v>477</v>
      </c>
      <c r="O326" s="72" t="str">
        <f t="shared" si="11"/>
        <v>0xDD</v>
      </c>
      <c r="P326" s="168"/>
      <c r="Q326" s="168"/>
      <c r="R326" s="168"/>
      <c r="S326" s="168"/>
      <c r="T326" s="80"/>
      <c r="U326" s="170"/>
    </row>
    <row r="327" spans="3:21" ht="16.5" customHeight="1" x14ac:dyDescent="0.3">
      <c r="C327" s="166">
        <v>222</v>
      </c>
      <c r="D327" s="167">
        <v>478</v>
      </c>
      <c r="E327" s="72" t="str">
        <f t="shared" si="10"/>
        <v>0xDE</v>
      </c>
      <c r="F327" s="168"/>
      <c r="G327" s="169"/>
      <c r="H327" s="168"/>
      <c r="I327" s="169"/>
      <c r="J327" s="258"/>
      <c r="K327" s="170"/>
      <c r="L327" s="60"/>
      <c r="M327" s="166">
        <v>222</v>
      </c>
      <c r="N327" s="167">
        <v>478</v>
      </c>
      <c r="O327" s="72" t="str">
        <f t="shared" si="11"/>
        <v>0xDE</v>
      </c>
      <c r="P327" s="168"/>
      <c r="Q327" s="168"/>
      <c r="R327" s="168"/>
      <c r="S327" s="168"/>
      <c r="T327" s="80"/>
      <c r="U327" s="176"/>
    </row>
    <row r="328" spans="3:21" ht="17.25" customHeight="1" thickBot="1" x14ac:dyDescent="0.35">
      <c r="C328" s="178">
        <v>223</v>
      </c>
      <c r="D328" s="179">
        <v>479</v>
      </c>
      <c r="E328" s="91" t="str">
        <f t="shared" si="10"/>
        <v>0xDF</v>
      </c>
      <c r="F328" s="180"/>
      <c r="G328" s="181"/>
      <c r="H328" s="180"/>
      <c r="I328" s="181"/>
      <c r="J328" s="262"/>
      <c r="K328" s="190"/>
      <c r="L328" s="98"/>
      <c r="M328" s="178">
        <v>223</v>
      </c>
      <c r="N328" s="179">
        <v>479</v>
      </c>
      <c r="O328" s="91" t="str">
        <f t="shared" si="11"/>
        <v>0xDF</v>
      </c>
      <c r="P328" s="180"/>
      <c r="Q328" s="180"/>
      <c r="R328" s="180"/>
      <c r="S328" s="180"/>
      <c r="T328" s="122"/>
      <c r="U328" s="184"/>
    </row>
    <row r="329" spans="3:21" ht="17.25" customHeight="1" thickTop="1" x14ac:dyDescent="0.3">
      <c r="C329" s="185">
        <v>224</v>
      </c>
      <c r="D329" s="186">
        <v>480</v>
      </c>
      <c r="E329" s="72" t="str">
        <f t="shared" si="10"/>
        <v>0xE0</v>
      </c>
      <c r="F329" s="160"/>
      <c r="G329" s="161"/>
      <c r="H329" s="160"/>
      <c r="I329" s="161"/>
      <c r="J329" s="310"/>
      <c r="K329" s="164"/>
      <c r="L329" s="102">
        <v>15</v>
      </c>
      <c r="M329" s="185">
        <v>224</v>
      </c>
      <c r="N329" s="186">
        <v>480</v>
      </c>
      <c r="O329" s="72" t="str">
        <f t="shared" si="11"/>
        <v>0xE0</v>
      </c>
      <c r="P329" s="160"/>
      <c r="Q329" s="160"/>
      <c r="R329" s="160"/>
      <c r="S329" s="160"/>
      <c r="T329" s="162"/>
      <c r="U329" s="164"/>
    </row>
    <row r="330" spans="3:21" ht="16.5" customHeight="1" x14ac:dyDescent="0.3">
      <c r="C330" s="166">
        <v>225</v>
      </c>
      <c r="D330" s="167">
        <v>481</v>
      </c>
      <c r="E330" s="72" t="str">
        <f t="shared" si="10"/>
        <v>0xE1</v>
      </c>
      <c r="F330" s="168"/>
      <c r="G330" s="169"/>
      <c r="H330" s="168"/>
      <c r="I330" s="169"/>
      <c r="J330" s="308"/>
      <c r="K330" s="170"/>
      <c r="L330" s="60"/>
      <c r="M330" s="166">
        <v>225</v>
      </c>
      <c r="N330" s="167">
        <v>481</v>
      </c>
      <c r="O330" s="72" t="str">
        <f t="shared" si="11"/>
        <v>0xE1</v>
      </c>
      <c r="P330" s="168"/>
      <c r="Q330" s="168"/>
      <c r="R330" s="168"/>
      <c r="S330" s="168"/>
      <c r="T330" s="80"/>
      <c r="U330" s="170"/>
    </row>
    <row r="331" spans="3:21" ht="16.5" customHeight="1" x14ac:dyDescent="0.3">
      <c r="C331" s="166">
        <v>226</v>
      </c>
      <c r="D331" s="167">
        <v>482</v>
      </c>
      <c r="E331" s="72" t="str">
        <f t="shared" si="10"/>
        <v>0xE2</v>
      </c>
      <c r="F331" s="168"/>
      <c r="G331" s="169"/>
      <c r="H331" s="168"/>
      <c r="I331" s="169"/>
      <c r="J331" s="308"/>
      <c r="K331" s="170"/>
      <c r="L331" s="60"/>
      <c r="M331" s="166">
        <v>226</v>
      </c>
      <c r="N331" s="167">
        <v>482</v>
      </c>
      <c r="O331" s="72" t="str">
        <f t="shared" si="11"/>
        <v>0xE2</v>
      </c>
      <c r="P331" s="168"/>
      <c r="Q331" s="168"/>
      <c r="R331" s="168"/>
      <c r="S331" s="168"/>
      <c r="T331" s="80"/>
      <c r="U331" s="170"/>
    </row>
    <row r="332" spans="3:21" ht="16.5" customHeight="1" x14ac:dyDescent="0.3">
      <c r="C332" s="166">
        <v>227</v>
      </c>
      <c r="D332" s="167">
        <v>483</v>
      </c>
      <c r="E332" s="72" t="str">
        <f t="shared" si="10"/>
        <v>0xE3</v>
      </c>
      <c r="F332" s="168"/>
      <c r="G332" s="169"/>
      <c r="H332" s="168"/>
      <c r="I332" s="169"/>
      <c r="J332" s="308"/>
      <c r="K332" s="170"/>
      <c r="L332" s="60"/>
      <c r="M332" s="166">
        <v>227</v>
      </c>
      <c r="N332" s="167">
        <v>483</v>
      </c>
      <c r="O332" s="72" t="str">
        <f t="shared" si="11"/>
        <v>0xE3</v>
      </c>
      <c r="P332" s="168"/>
      <c r="Q332" s="168"/>
      <c r="R332" s="168"/>
      <c r="S332" s="168"/>
      <c r="T332" s="80"/>
      <c r="U332" s="170"/>
    </row>
    <row r="333" spans="3:21" ht="16.5" customHeight="1" x14ac:dyDescent="0.3">
      <c r="C333" s="166">
        <v>228</v>
      </c>
      <c r="D333" s="167">
        <v>484</v>
      </c>
      <c r="E333" s="72" t="str">
        <f t="shared" si="10"/>
        <v>0xE4</v>
      </c>
      <c r="F333" s="168"/>
      <c r="G333" s="169"/>
      <c r="H333" s="168"/>
      <c r="I333" s="169"/>
      <c r="J333" s="308"/>
      <c r="K333" s="170"/>
      <c r="L333" s="60"/>
      <c r="M333" s="166">
        <v>228</v>
      </c>
      <c r="N333" s="167">
        <v>484</v>
      </c>
      <c r="O333" s="72" t="str">
        <f t="shared" si="11"/>
        <v>0xE4</v>
      </c>
      <c r="P333" s="168"/>
      <c r="Q333" s="168"/>
      <c r="R333" s="168"/>
      <c r="S333" s="168"/>
      <c r="T333" s="80"/>
      <c r="U333" s="170"/>
    </row>
    <row r="334" spans="3:21" ht="16.5" customHeight="1" x14ac:dyDescent="0.3">
      <c r="C334" s="166">
        <v>229</v>
      </c>
      <c r="D334" s="167">
        <v>485</v>
      </c>
      <c r="E334" s="72" t="str">
        <f t="shared" si="10"/>
        <v>0xE5</v>
      </c>
      <c r="F334" s="168"/>
      <c r="G334" s="169"/>
      <c r="H334" s="168"/>
      <c r="I334" s="169"/>
      <c r="J334" s="308"/>
      <c r="K334" s="170"/>
      <c r="L334" s="60"/>
      <c r="M334" s="166">
        <v>229</v>
      </c>
      <c r="N334" s="167">
        <v>485</v>
      </c>
      <c r="O334" s="72" t="str">
        <f t="shared" si="11"/>
        <v>0xE5</v>
      </c>
      <c r="P334" s="168"/>
      <c r="Q334" s="168"/>
      <c r="R334" s="168"/>
      <c r="S334" s="168"/>
      <c r="T334" s="80"/>
      <c r="U334" s="170"/>
    </row>
    <row r="335" spans="3:21" ht="16.5" customHeight="1" x14ac:dyDescent="0.3">
      <c r="C335" s="166">
        <v>230</v>
      </c>
      <c r="D335" s="167">
        <v>486</v>
      </c>
      <c r="E335" s="72" t="str">
        <f t="shared" si="10"/>
        <v>0xE6</v>
      </c>
      <c r="F335" s="168"/>
      <c r="G335" s="169"/>
      <c r="H335" s="168"/>
      <c r="I335" s="169"/>
      <c r="J335" s="308"/>
      <c r="K335" s="170"/>
      <c r="L335" s="60"/>
      <c r="M335" s="166">
        <v>230</v>
      </c>
      <c r="N335" s="167">
        <v>486</v>
      </c>
      <c r="O335" s="72" t="str">
        <f t="shared" si="11"/>
        <v>0xE6</v>
      </c>
      <c r="P335" s="168"/>
      <c r="Q335" s="168"/>
      <c r="R335" s="168"/>
      <c r="S335" s="168"/>
      <c r="T335" s="80"/>
      <c r="U335" s="170"/>
    </row>
    <row r="336" spans="3:21" ht="16.5" customHeight="1" x14ac:dyDescent="0.3">
      <c r="C336" s="166">
        <v>231</v>
      </c>
      <c r="D336" s="167">
        <v>487</v>
      </c>
      <c r="E336" s="72" t="str">
        <f t="shared" si="10"/>
        <v>0xE7</v>
      </c>
      <c r="F336" s="168"/>
      <c r="G336" s="169"/>
      <c r="H336" s="168"/>
      <c r="I336" s="169"/>
      <c r="J336" s="308"/>
      <c r="K336" s="170"/>
      <c r="L336" s="60"/>
      <c r="M336" s="166">
        <v>231</v>
      </c>
      <c r="N336" s="167">
        <v>487</v>
      </c>
      <c r="O336" s="72" t="str">
        <f t="shared" si="11"/>
        <v>0xE7</v>
      </c>
      <c r="P336" s="168"/>
      <c r="Q336" s="168"/>
      <c r="R336" s="168"/>
      <c r="S336" s="168"/>
      <c r="T336" s="86"/>
      <c r="U336" s="170"/>
    </row>
    <row r="337" spans="3:21" ht="16.5" customHeight="1" x14ac:dyDescent="0.3">
      <c r="C337" s="166">
        <v>232</v>
      </c>
      <c r="D337" s="167">
        <v>488</v>
      </c>
      <c r="E337" s="72" t="str">
        <f t="shared" si="10"/>
        <v>0xE8</v>
      </c>
      <c r="F337" s="168"/>
      <c r="G337" s="169"/>
      <c r="H337" s="168"/>
      <c r="I337" s="169"/>
      <c r="J337" s="308"/>
      <c r="K337" s="170"/>
      <c r="L337" s="60"/>
      <c r="M337" s="166">
        <v>232</v>
      </c>
      <c r="N337" s="167">
        <v>488</v>
      </c>
      <c r="O337" s="72" t="str">
        <f t="shared" si="11"/>
        <v>0xE8</v>
      </c>
      <c r="P337" s="168"/>
      <c r="Q337" s="168"/>
      <c r="R337" s="168"/>
      <c r="S337" s="168"/>
      <c r="T337" s="80"/>
      <c r="U337" s="170"/>
    </row>
    <row r="338" spans="3:21" ht="16.5" customHeight="1" x14ac:dyDescent="0.3">
      <c r="C338" s="166">
        <v>233</v>
      </c>
      <c r="D338" s="167">
        <v>489</v>
      </c>
      <c r="E338" s="72" t="str">
        <f t="shared" si="10"/>
        <v>0xE9</v>
      </c>
      <c r="F338" s="168"/>
      <c r="G338" s="169"/>
      <c r="H338" s="168"/>
      <c r="I338" s="169"/>
      <c r="J338" s="308"/>
      <c r="K338" s="170"/>
      <c r="L338" s="60"/>
      <c r="M338" s="166">
        <v>233</v>
      </c>
      <c r="N338" s="167">
        <v>489</v>
      </c>
      <c r="O338" s="72" t="str">
        <f t="shared" si="11"/>
        <v>0xE9</v>
      </c>
      <c r="P338" s="168"/>
      <c r="Q338" s="168"/>
      <c r="R338" s="168"/>
      <c r="S338" s="168"/>
      <c r="T338" s="80"/>
      <c r="U338" s="170"/>
    </row>
    <row r="339" spans="3:21" ht="16.5" customHeight="1" x14ac:dyDescent="0.3">
      <c r="C339" s="166">
        <v>234</v>
      </c>
      <c r="D339" s="167">
        <v>490</v>
      </c>
      <c r="E339" s="72" t="str">
        <f t="shared" si="10"/>
        <v>0xEA</v>
      </c>
      <c r="F339" s="168"/>
      <c r="G339" s="169"/>
      <c r="H339" s="168"/>
      <c r="I339" s="169"/>
      <c r="J339" s="308"/>
      <c r="K339" s="170"/>
      <c r="L339" s="60"/>
      <c r="M339" s="166">
        <v>234</v>
      </c>
      <c r="N339" s="167">
        <v>490</v>
      </c>
      <c r="O339" s="72" t="str">
        <f t="shared" si="11"/>
        <v>0xEA</v>
      </c>
      <c r="P339" s="168"/>
      <c r="Q339" s="168"/>
      <c r="R339" s="168"/>
      <c r="S339" s="168"/>
      <c r="T339" s="172"/>
      <c r="U339" s="170"/>
    </row>
    <row r="340" spans="3:21" ht="16.5" customHeight="1" x14ac:dyDescent="0.3">
      <c r="C340" s="166">
        <v>235</v>
      </c>
      <c r="D340" s="167">
        <v>491</v>
      </c>
      <c r="E340" s="72" t="str">
        <f t="shared" si="10"/>
        <v>0xEB</v>
      </c>
      <c r="F340" s="168"/>
      <c r="G340" s="169"/>
      <c r="H340" s="168"/>
      <c r="I340" s="169"/>
      <c r="J340" s="308"/>
      <c r="K340" s="170"/>
      <c r="L340" s="60"/>
      <c r="M340" s="166">
        <v>235</v>
      </c>
      <c r="N340" s="167">
        <v>491</v>
      </c>
      <c r="O340" s="72" t="str">
        <f t="shared" si="11"/>
        <v>0xEB</v>
      </c>
      <c r="P340" s="168"/>
      <c r="Q340" s="168"/>
      <c r="R340" s="168"/>
      <c r="S340" s="168"/>
      <c r="T340" s="172"/>
      <c r="U340" s="170"/>
    </row>
    <row r="341" spans="3:21" ht="16.5" customHeight="1" x14ac:dyDescent="0.3">
      <c r="C341" s="166">
        <v>236</v>
      </c>
      <c r="D341" s="167">
        <v>492</v>
      </c>
      <c r="E341" s="72" t="str">
        <f t="shared" si="10"/>
        <v>0xEC</v>
      </c>
      <c r="F341" s="168"/>
      <c r="G341" s="169"/>
      <c r="H341" s="168"/>
      <c r="I341" s="169"/>
      <c r="J341" s="308"/>
      <c r="K341" s="170"/>
      <c r="L341" s="60"/>
      <c r="M341" s="166">
        <v>236</v>
      </c>
      <c r="N341" s="167">
        <v>492</v>
      </c>
      <c r="O341" s="72" t="str">
        <f t="shared" si="11"/>
        <v>0xEC</v>
      </c>
      <c r="P341" s="168"/>
      <c r="Q341" s="168"/>
      <c r="R341" s="168"/>
      <c r="S341" s="168"/>
      <c r="T341" s="172"/>
      <c r="U341" s="170"/>
    </row>
    <row r="342" spans="3:21" ht="16.5" customHeight="1" x14ac:dyDescent="0.3">
      <c r="C342" s="166">
        <v>237</v>
      </c>
      <c r="D342" s="167">
        <v>493</v>
      </c>
      <c r="E342" s="72" t="str">
        <f t="shared" si="10"/>
        <v>0xED</v>
      </c>
      <c r="F342" s="168"/>
      <c r="G342" s="169"/>
      <c r="H342" s="168"/>
      <c r="I342" s="169"/>
      <c r="J342" s="258"/>
      <c r="K342" s="170"/>
      <c r="L342" s="60"/>
      <c r="M342" s="166">
        <v>237</v>
      </c>
      <c r="N342" s="167">
        <v>493</v>
      </c>
      <c r="O342" s="72" t="str">
        <f t="shared" si="11"/>
        <v>0xED</v>
      </c>
      <c r="P342" s="168"/>
      <c r="Q342" s="168"/>
      <c r="R342" s="168"/>
      <c r="S342" s="168"/>
      <c r="T342" s="172"/>
      <c r="U342" s="170"/>
    </row>
    <row r="343" spans="3:21" ht="16.5" customHeight="1" x14ac:dyDescent="0.3">
      <c r="C343" s="166">
        <v>238</v>
      </c>
      <c r="D343" s="167">
        <v>494</v>
      </c>
      <c r="E343" s="72" t="str">
        <f t="shared" si="10"/>
        <v>0xEE</v>
      </c>
      <c r="F343" s="168"/>
      <c r="G343" s="169"/>
      <c r="H343" s="168"/>
      <c r="I343" s="169"/>
      <c r="J343" s="258"/>
      <c r="K343" s="170"/>
      <c r="L343" s="60"/>
      <c r="M343" s="166">
        <v>238</v>
      </c>
      <c r="N343" s="167">
        <v>494</v>
      </c>
      <c r="O343" s="72" t="str">
        <f t="shared" si="11"/>
        <v>0xEE</v>
      </c>
      <c r="P343" s="168"/>
      <c r="Q343" s="168"/>
      <c r="R343" s="168"/>
      <c r="S343" s="168"/>
      <c r="T343" s="172"/>
      <c r="U343" s="176"/>
    </row>
    <row r="344" spans="3:21" ht="17.25" customHeight="1" thickBot="1" x14ac:dyDescent="0.35">
      <c r="C344" s="178">
        <v>239</v>
      </c>
      <c r="D344" s="179">
        <v>495</v>
      </c>
      <c r="E344" s="91" t="str">
        <f t="shared" si="10"/>
        <v>0xEF</v>
      </c>
      <c r="F344" s="180"/>
      <c r="G344" s="181"/>
      <c r="H344" s="180"/>
      <c r="I344" s="181"/>
      <c r="J344" s="262"/>
      <c r="K344" s="190"/>
      <c r="L344" s="98"/>
      <c r="M344" s="178">
        <v>239</v>
      </c>
      <c r="N344" s="179">
        <v>495</v>
      </c>
      <c r="O344" s="91" t="str">
        <f t="shared" si="11"/>
        <v>0xEF</v>
      </c>
      <c r="P344" s="180"/>
      <c r="Q344" s="180"/>
      <c r="R344" s="180"/>
      <c r="S344" s="180"/>
      <c r="T344" s="323"/>
      <c r="U344" s="184"/>
    </row>
    <row r="345" spans="3:21" ht="17.25" customHeight="1" thickTop="1" x14ac:dyDescent="0.3">
      <c r="C345" s="185">
        <v>240</v>
      </c>
      <c r="D345" s="186">
        <v>496</v>
      </c>
      <c r="E345" s="72" t="str">
        <f t="shared" si="10"/>
        <v>0xF0</v>
      </c>
      <c r="F345" s="160"/>
      <c r="G345" s="161"/>
      <c r="H345" s="160"/>
      <c r="I345" s="161"/>
      <c r="J345" s="162"/>
      <c r="K345" s="164"/>
      <c r="L345" s="102">
        <v>16</v>
      </c>
      <c r="M345" s="185">
        <v>240</v>
      </c>
      <c r="N345" s="186">
        <v>496</v>
      </c>
      <c r="O345" s="72" t="str">
        <f t="shared" si="11"/>
        <v>0xF0</v>
      </c>
      <c r="P345" s="160"/>
      <c r="Q345" s="160"/>
      <c r="R345" s="160"/>
      <c r="S345" s="160"/>
      <c r="T345" s="162"/>
      <c r="U345" s="164"/>
    </row>
    <row r="346" spans="3:21" ht="16.5" customHeight="1" x14ac:dyDescent="0.3">
      <c r="C346" s="166">
        <v>241</v>
      </c>
      <c r="D346" s="167">
        <v>497</v>
      </c>
      <c r="E346" s="72" t="str">
        <f t="shared" si="10"/>
        <v>0xF1</v>
      </c>
      <c r="F346" s="168"/>
      <c r="G346" s="169"/>
      <c r="H346" s="168"/>
      <c r="I346" s="169"/>
      <c r="J346" s="80"/>
      <c r="K346" s="170"/>
      <c r="L346" s="60"/>
      <c r="M346" s="166">
        <v>241</v>
      </c>
      <c r="N346" s="167">
        <v>497</v>
      </c>
      <c r="O346" s="72" t="str">
        <f t="shared" si="11"/>
        <v>0xF1</v>
      </c>
      <c r="P346" s="168"/>
      <c r="Q346" s="168"/>
      <c r="R346" s="168"/>
      <c r="S346" s="168"/>
      <c r="T346" s="80"/>
      <c r="U346" s="170"/>
    </row>
    <row r="347" spans="3:21" ht="16.5" customHeight="1" x14ac:dyDescent="0.3">
      <c r="C347" s="166">
        <v>242</v>
      </c>
      <c r="D347" s="167">
        <v>498</v>
      </c>
      <c r="E347" s="72" t="str">
        <f t="shared" si="10"/>
        <v>0xF2</v>
      </c>
      <c r="F347" s="168"/>
      <c r="G347" s="169"/>
      <c r="H347" s="168"/>
      <c r="I347" s="169"/>
      <c r="J347" s="80"/>
      <c r="K347" s="170"/>
      <c r="L347" s="60"/>
      <c r="M347" s="166">
        <v>242</v>
      </c>
      <c r="N347" s="167">
        <v>498</v>
      </c>
      <c r="O347" s="72" t="str">
        <f t="shared" si="11"/>
        <v>0xF2</v>
      </c>
      <c r="P347" s="168"/>
      <c r="Q347" s="168"/>
      <c r="R347" s="168"/>
      <c r="S347" s="168"/>
      <c r="T347" s="80"/>
      <c r="U347" s="170"/>
    </row>
    <row r="348" spans="3:21" ht="16.5" customHeight="1" x14ac:dyDescent="0.3">
      <c r="C348" s="166">
        <v>243</v>
      </c>
      <c r="D348" s="167">
        <v>499</v>
      </c>
      <c r="E348" s="72" t="str">
        <f t="shared" si="10"/>
        <v>0xF3</v>
      </c>
      <c r="F348" s="168"/>
      <c r="G348" s="169"/>
      <c r="H348" s="168"/>
      <c r="I348" s="169"/>
      <c r="J348" s="80"/>
      <c r="K348" s="170"/>
      <c r="L348" s="60"/>
      <c r="M348" s="166">
        <v>243</v>
      </c>
      <c r="N348" s="167">
        <v>499</v>
      </c>
      <c r="O348" s="72" t="str">
        <f t="shared" si="11"/>
        <v>0xF3</v>
      </c>
      <c r="P348" s="168"/>
      <c r="Q348" s="168"/>
      <c r="R348" s="168"/>
      <c r="S348" s="168"/>
      <c r="T348" s="80"/>
      <c r="U348" s="170"/>
    </row>
    <row r="349" spans="3:21" ht="16.5" customHeight="1" x14ac:dyDescent="0.3">
      <c r="C349" s="166">
        <v>244</v>
      </c>
      <c r="D349" s="167">
        <v>500</v>
      </c>
      <c r="E349" s="72" t="str">
        <f t="shared" si="10"/>
        <v>0xF4</v>
      </c>
      <c r="F349" s="168"/>
      <c r="G349" s="169"/>
      <c r="H349" s="168"/>
      <c r="I349" s="169"/>
      <c r="J349" s="80"/>
      <c r="K349" s="170"/>
      <c r="L349" s="60"/>
      <c r="M349" s="166">
        <v>244</v>
      </c>
      <c r="N349" s="167">
        <v>500</v>
      </c>
      <c r="O349" s="72" t="str">
        <f t="shared" si="11"/>
        <v>0xF4</v>
      </c>
      <c r="P349" s="168"/>
      <c r="Q349" s="168"/>
      <c r="R349" s="168"/>
      <c r="S349" s="168"/>
      <c r="T349" s="80"/>
      <c r="U349" s="170"/>
    </row>
    <row r="350" spans="3:21" ht="16.5" customHeight="1" x14ac:dyDescent="0.3">
      <c r="C350" s="166">
        <v>245</v>
      </c>
      <c r="D350" s="167">
        <v>501</v>
      </c>
      <c r="E350" s="72" t="str">
        <f t="shared" si="10"/>
        <v>0xF5</v>
      </c>
      <c r="F350" s="168"/>
      <c r="G350" s="169"/>
      <c r="H350" s="168"/>
      <c r="I350" s="169"/>
      <c r="J350" s="80"/>
      <c r="K350" s="170"/>
      <c r="L350" s="60"/>
      <c r="M350" s="166">
        <v>245</v>
      </c>
      <c r="N350" s="167">
        <v>501</v>
      </c>
      <c r="O350" s="72" t="str">
        <f t="shared" si="11"/>
        <v>0xF5</v>
      </c>
      <c r="P350" s="168"/>
      <c r="Q350" s="168"/>
      <c r="R350" s="168"/>
      <c r="S350" s="168"/>
      <c r="T350" s="80"/>
      <c r="U350" s="170"/>
    </row>
    <row r="351" spans="3:21" ht="16.5" customHeight="1" x14ac:dyDescent="0.3">
      <c r="C351" s="166">
        <v>246</v>
      </c>
      <c r="D351" s="167">
        <v>502</v>
      </c>
      <c r="E351" s="72" t="str">
        <f t="shared" si="10"/>
        <v>0xF6</v>
      </c>
      <c r="F351" s="168"/>
      <c r="G351" s="169"/>
      <c r="H351" s="168"/>
      <c r="I351" s="169"/>
      <c r="J351" s="80"/>
      <c r="K351" s="170"/>
      <c r="L351" s="60"/>
      <c r="M351" s="166">
        <v>246</v>
      </c>
      <c r="N351" s="167">
        <v>502</v>
      </c>
      <c r="O351" s="72" t="str">
        <f t="shared" si="11"/>
        <v>0xF6</v>
      </c>
      <c r="P351" s="168"/>
      <c r="Q351" s="168"/>
      <c r="R351" s="168"/>
      <c r="S351" s="168"/>
      <c r="T351" s="80"/>
      <c r="U351" s="170"/>
    </row>
    <row r="352" spans="3:21" ht="16.5" customHeight="1" x14ac:dyDescent="0.3">
      <c r="C352" s="166">
        <v>247</v>
      </c>
      <c r="D352" s="167">
        <v>503</v>
      </c>
      <c r="E352" s="72" t="str">
        <f t="shared" si="10"/>
        <v>0xF7</v>
      </c>
      <c r="F352" s="168"/>
      <c r="G352" s="169"/>
      <c r="H352" s="168"/>
      <c r="I352" s="169"/>
      <c r="J352" s="86"/>
      <c r="K352" s="170"/>
      <c r="L352" s="60"/>
      <c r="M352" s="166">
        <v>247</v>
      </c>
      <c r="N352" s="167">
        <v>503</v>
      </c>
      <c r="O352" s="72" t="str">
        <f t="shared" si="11"/>
        <v>0xF7</v>
      </c>
      <c r="P352" s="168"/>
      <c r="Q352" s="168"/>
      <c r="R352" s="168"/>
      <c r="S352" s="168"/>
      <c r="T352" s="86"/>
      <c r="U352" s="170"/>
    </row>
    <row r="353" spans="3:21" ht="16.5" customHeight="1" x14ac:dyDescent="0.3">
      <c r="C353" s="166">
        <v>248</v>
      </c>
      <c r="D353" s="167">
        <v>504</v>
      </c>
      <c r="E353" s="72" t="str">
        <f t="shared" si="10"/>
        <v>0xF8</v>
      </c>
      <c r="F353" s="168"/>
      <c r="G353" s="169"/>
      <c r="H353" s="168"/>
      <c r="I353" s="169"/>
      <c r="J353" s="80"/>
      <c r="K353" s="170"/>
      <c r="L353" s="60"/>
      <c r="M353" s="166">
        <v>248</v>
      </c>
      <c r="N353" s="167">
        <v>504</v>
      </c>
      <c r="O353" s="72" t="str">
        <f t="shared" si="11"/>
        <v>0xF8</v>
      </c>
      <c r="P353" s="168"/>
      <c r="Q353" s="168"/>
      <c r="R353" s="168"/>
      <c r="S353" s="168"/>
      <c r="T353" s="80"/>
      <c r="U353" s="170"/>
    </row>
    <row r="354" spans="3:21" ht="16.5" customHeight="1" x14ac:dyDescent="0.3">
      <c r="C354" s="166">
        <v>249</v>
      </c>
      <c r="D354" s="167">
        <v>505</v>
      </c>
      <c r="E354" s="72" t="str">
        <f t="shared" si="10"/>
        <v>0xF9</v>
      </c>
      <c r="F354" s="168"/>
      <c r="G354" s="169"/>
      <c r="H354" s="168"/>
      <c r="I354" s="169"/>
      <c r="J354" s="80"/>
      <c r="K354" s="170"/>
      <c r="L354" s="60"/>
      <c r="M354" s="166">
        <v>249</v>
      </c>
      <c r="N354" s="167">
        <v>505</v>
      </c>
      <c r="O354" s="72" t="str">
        <f t="shared" si="11"/>
        <v>0xF9</v>
      </c>
      <c r="P354" s="168"/>
      <c r="Q354" s="168"/>
      <c r="R354" s="168"/>
      <c r="S354" s="168"/>
      <c r="T354" s="80"/>
      <c r="U354" s="170"/>
    </row>
    <row r="355" spans="3:21" ht="16.5" customHeight="1" x14ac:dyDescent="0.3">
      <c r="C355" s="166">
        <v>250</v>
      </c>
      <c r="D355" s="167">
        <v>506</v>
      </c>
      <c r="E355" s="72" t="str">
        <f t="shared" si="10"/>
        <v>0xFA</v>
      </c>
      <c r="F355" s="168"/>
      <c r="G355" s="169"/>
      <c r="H355" s="168"/>
      <c r="I355" s="169"/>
      <c r="J355" s="172"/>
      <c r="K355" s="170"/>
      <c r="L355" s="60"/>
      <c r="M355" s="166">
        <v>250</v>
      </c>
      <c r="N355" s="167">
        <v>506</v>
      </c>
      <c r="O355" s="72" t="str">
        <f t="shared" si="11"/>
        <v>0xFA</v>
      </c>
      <c r="P355" s="168"/>
      <c r="Q355" s="168"/>
      <c r="R355" s="168"/>
      <c r="S355" s="168"/>
      <c r="T355" s="172"/>
      <c r="U355" s="170"/>
    </row>
    <row r="356" spans="3:21" ht="16.5" customHeight="1" x14ac:dyDescent="0.3">
      <c r="C356" s="166">
        <v>251</v>
      </c>
      <c r="D356" s="167">
        <v>507</v>
      </c>
      <c r="E356" s="72" t="str">
        <f t="shared" si="10"/>
        <v>0xFB</v>
      </c>
      <c r="F356" s="168"/>
      <c r="G356" s="169"/>
      <c r="H356" s="168"/>
      <c r="I356" s="169"/>
      <c r="J356" s="172"/>
      <c r="K356" s="170"/>
      <c r="L356" s="60"/>
      <c r="M356" s="166">
        <v>251</v>
      </c>
      <c r="N356" s="167">
        <v>507</v>
      </c>
      <c r="O356" s="72" t="str">
        <f t="shared" si="11"/>
        <v>0xFB</v>
      </c>
      <c r="P356" s="168"/>
      <c r="Q356" s="168"/>
      <c r="R356" s="168"/>
      <c r="S356" s="168"/>
      <c r="T356" s="172"/>
      <c r="U356" s="170"/>
    </row>
    <row r="357" spans="3:21" ht="16.5" customHeight="1" x14ac:dyDescent="0.3">
      <c r="C357" s="166">
        <v>252</v>
      </c>
      <c r="D357" s="167">
        <v>508</v>
      </c>
      <c r="E357" s="72" t="str">
        <f t="shared" si="10"/>
        <v>0xFC</v>
      </c>
      <c r="F357" s="168"/>
      <c r="G357" s="169"/>
      <c r="H357" s="168"/>
      <c r="I357" s="169"/>
      <c r="J357" s="172"/>
      <c r="K357" s="170"/>
      <c r="L357" s="60"/>
      <c r="M357" s="166">
        <v>252</v>
      </c>
      <c r="N357" s="167">
        <v>508</v>
      </c>
      <c r="O357" s="72" t="str">
        <f t="shared" si="11"/>
        <v>0xFC</v>
      </c>
      <c r="P357" s="168"/>
      <c r="Q357" s="168"/>
      <c r="R357" s="168"/>
      <c r="S357" s="168"/>
      <c r="T357" s="172"/>
      <c r="U357" s="170"/>
    </row>
    <row r="358" spans="3:21" ht="16.5" customHeight="1" x14ac:dyDescent="0.3">
      <c r="C358" s="166">
        <v>253</v>
      </c>
      <c r="D358" s="167">
        <v>509</v>
      </c>
      <c r="E358" s="72" t="str">
        <f t="shared" si="10"/>
        <v>0xFD</v>
      </c>
      <c r="F358" s="168"/>
      <c r="G358" s="169"/>
      <c r="H358" s="168"/>
      <c r="I358" s="169"/>
      <c r="J358" s="172"/>
      <c r="K358" s="170"/>
      <c r="L358" s="60"/>
      <c r="M358" s="166">
        <v>253</v>
      </c>
      <c r="N358" s="167">
        <v>509</v>
      </c>
      <c r="O358" s="72" t="str">
        <f t="shared" si="11"/>
        <v>0xFD</v>
      </c>
      <c r="P358" s="168"/>
      <c r="Q358" s="168"/>
      <c r="R358" s="168"/>
      <c r="S358" s="168"/>
      <c r="T358" s="172"/>
      <c r="U358" s="170"/>
    </row>
    <row r="359" spans="3:21" ht="16.5" customHeight="1" x14ac:dyDescent="0.3">
      <c r="C359" s="166">
        <v>254</v>
      </c>
      <c r="D359" s="167">
        <v>510</v>
      </c>
      <c r="E359" s="72" t="str">
        <f t="shared" si="10"/>
        <v>0xFE</v>
      </c>
      <c r="F359" s="168"/>
      <c r="G359" s="169"/>
      <c r="H359" s="168"/>
      <c r="I359" s="169"/>
      <c r="J359" s="172"/>
      <c r="K359" s="170"/>
      <c r="L359" s="60"/>
      <c r="M359" s="166">
        <v>254</v>
      </c>
      <c r="N359" s="167">
        <v>510</v>
      </c>
      <c r="O359" s="72" t="str">
        <f t="shared" si="11"/>
        <v>0xFE</v>
      </c>
      <c r="P359" s="168"/>
      <c r="Q359" s="168"/>
      <c r="R359" s="168"/>
      <c r="S359" s="168"/>
      <c r="T359" s="172"/>
      <c r="U359" s="176"/>
    </row>
    <row r="360" spans="3:21" ht="17.25" customHeight="1" thickBot="1" x14ac:dyDescent="0.35">
      <c r="C360" s="178">
        <v>255</v>
      </c>
      <c r="D360" s="179">
        <v>511</v>
      </c>
      <c r="E360" s="91" t="str">
        <f t="shared" si="10"/>
        <v>0xFF</v>
      </c>
      <c r="F360" s="180"/>
      <c r="G360" s="181"/>
      <c r="H360" s="180"/>
      <c r="I360" s="181"/>
      <c r="J360" s="323"/>
      <c r="K360" s="190"/>
      <c r="L360" s="98"/>
      <c r="M360" s="178">
        <v>255</v>
      </c>
      <c r="N360" s="179">
        <v>511</v>
      </c>
      <c r="O360" s="91" t="str">
        <f t="shared" si="11"/>
        <v>0xFF</v>
      </c>
      <c r="P360" s="180"/>
      <c r="Q360" s="180"/>
      <c r="R360" s="180"/>
      <c r="S360" s="180"/>
      <c r="T360" s="323"/>
      <c r="U360" s="184"/>
    </row>
    <row r="361" spans="3:21" ht="17.5" thickTop="1" x14ac:dyDescent="0.45"/>
  </sheetData>
  <mergeCells count="462">
    <mergeCell ref="L313:L328"/>
    <mergeCell ref="L329:L344"/>
    <mergeCell ref="L345:L360"/>
    <mergeCell ref="L281:L296"/>
    <mergeCell ref="L297:L312"/>
    <mergeCell ref="V299:V300"/>
    <mergeCell ref="V301:V302"/>
    <mergeCell ref="V303:V304"/>
    <mergeCell ref="V305:V306"/>
    <mergeCell ref="V307:V308"/>
    <mergeCell ref="L265:L280"/>
    <mergeCell ref="V267:V268"/>
    <mergeCell ref="V269:V270"/>
    <mergeCell ref="V271:V272"/>
    <mergeCell ref="V273:V274"/>
    <mergeCell ref="V277:V280"/>
    <mergeCell ref="L201:L216"/>
    <mergeCell ref="V201:V206"/>
    <mergeCell ref="L217:L232"/>
    <mergeCell ref="V217:V222"/>
    <mergeCell ref="L233:L248"/>
    <mergeCell ref="L249:L264"/>
    <mergeCell ref="L153:L168"/>
    <mergeCell ref="B169:B175"/>
    <mergeCell ref="L169:L184"/>
    <mergeCell ref="V169:V174"/>
    <mergeCell ref="B185:B188"/>
    <mergeCell ref="L185:L200"/>
    <mergeCell ref="V185:V190"/>
    <mergeCell ref="B193:B194"/>
    <mergeCell ref="B195:B196"/>
    <mergeCell ref="B197:B198"/>
    <mergeCell ref="P103:P104"/>
    <mergeCell ref="R103:R104"/>
    <mergeCell ref="T103:T104"/>
    <mergeCell ref="U103:U104"/>
    <mergeCell ref="V103:V104"/>
    <mergeCell ref="B105:B168"/>
    <mergeCell ref="L105:L120"/>
    <mergeCell ref="V105:V168"/>
    <mergeCell ref="L121:L136"/>
    <mergeCell ref="L137:L152"/>
    <mergeCell ref="C102:U102"/>
    <mergeCell ref="B103:B104"/>
    <mergeCell ref="C103:D103"/>
    <mergeCell ref="E103:E104"/>
    <mergeCell ref="F103:F104"/>
    <mergeCell ref="H103:H104"/>
    <mergeCell ref="J103:J104"/>
    <mergeCell ref="K103:K104"/>
    <mergeCell ref="M103:N103"/>
    <mergeCell ref="O103:O104"/>
    <mergeCell ref="C98:D98"/>
    <mergeCell ref="F98:H98"/>
    <mergeCell ref="M98:N98"/>
    <mergeCell ref="P98:R98"/>
    <mergeCell ref="C99:D99"/>
    <mergeCell ref="F99:H99"/>
    <mergeCell ref="M99:N99"/>
    <mergeCell ref="P99:R99"/>
    <mergeCell ref="C96:D96"/>
    <mergeCell ref="F96:H96"/>
    <mergeCell ref="M96:N96"/>
    <mergeCell ref="P96:R96"/>
    <mergeCell ref="C97:D97"/>
    <mergeCell ref="F97:H97"/>
    <mergeCell ref="M97:N97"/>
    <mergeCell ref="P97:R97"/>
    <mergeCell ref="C94:D94"/>
    <mergeCell ref="F94:H94"/>
    <mergeCell ref="M94:N94"/>
    <mergeCell ref="P94:R94"/>
    <mergeCell ref="C95:D95"/>
    <mergeCell ref="F95:H95"/>
    <mergeCell ref="M95:N95"/>
    <mergeCell ref="P95:R95"/>
    <mergeCell ref="C92:D92"/>
    <mergeCell ref="F92:H92"/>
    <mergeCell ref="M92:N92"/>
    <mergeCell ref="P92:R92"/>
    <mergeCell ref="C93:D93"/>
    <mergeCell ref="F93:H93"/>
    <mergeCell ref="M93:N93"/>
    <mergeCell ref="P93:R93"/>
    <mergeCell ref="C90:D90"/>
    <mergeCell ref="F90:H90"/>
    <mergeCell ref="M90:N90"/>
    <mergeCell ref="P90:R90"/>
    <mergeCell ref="C91:D91"/>
    <mergeCell ref="F91:H91"/>
    <mergeCell ref="M91:N91"/>
    <mergeCell ref="P91:R91"/>
    <mergeCell ref="C88:D88"/>
    <mergeCell ref="F88:H88"/>
    <mergeCell ref="M88:N88"/>
    <mergeCell ref="P88:R88"/>
    <mergeCell ref="C89:D89"/>
    <mergeCell ref="F89:H89"/>
    <mergeCell ref="M89:N89"/>
    <mergeCell ref="P89:R89"/>
    <mergeCell ref="F86:H86"/>
    <mergeCell ref="M86:N86"/>
    <mergeCell ref="P86:R86"/>
    <mergeCell ref="C87:D87"/>
    <mergeCell ref="F87:H87"/>
    <mergeCell ref="M87:N87"/>
    <mergeCell ref="P87:R87"/>
    <mergeCell ref="C84:D84"/>
    <mergeCell ref="F84:H84"/>
    <mergeCell ref="L84:L99"/>
    <mergeCell ref="M84:N84"/>
    <mergeCell ref="P84:R84"/>
    <mergeCell ref="C85:D85"/>
    <mergeCell ref="F85:H85"/>
    <mergeCell ref="M85:N85"/>
    <mergeCell ref="P85:R85"/>
    <mergeCell ref="C86:D86"/>
    <mergeCell ref="C82:D82"/>
    <mergeCell ref="F82:H82"/>
    <mergeCell ref="M82:N82"/>
    <mergeCell ref="P82:R82"/>
    <mergeCell ref="C83:D83"/>
    <mergeCell ref="F83:H83"/>
    <mergeCell ref="M83:N83"/>
    <mergeCell ref="P83:R83"/>
    <mergeCell ref="C80:D80"/>
    <mergeCell ref="F80:H80"/>
    <mergeCell ref="M80:N80"/>
    <mergeCell ref="P80:R80"/>
    <mergeCell ref="C81:D81"/>
    <mergeCell ref="F81:H81"/>
    <mergeCell ref="M81:N81"/>
    <mergeCell ref="P81:R81"/>
    <mergeCell ref="C78:D78"/>
    <mergeCell ref="F78:H78"/>
    <mergeCell ref="M78:N78"/>
    <mergeCell ref="P78:R78"/>
    <mergeCell ref="C79:D79"/>
    <mergeCell ref="F79:H79"/>
    <mergeCell ref="M79:N79"/>
    <mergeCell ref="P79:R79"/>
    <mergeCell ref="C76:D76"/>
    <mergeCell ref="F76:H76"/>
    <mergeCell ref="M76:N76"/>
    <mergeCell ref="P76:R76"/>
    <mergeCell ref="C77:D77"/>
    <mergeCell ref="F77:H77"/>
    <mergeCell ref="M77:N77"/>
    <mergeCell ref="P77:R77"/>
    <mergeCell ref="C74:D74"/>
    <mergeCell ref="F74:H74"/>
    <mergeCell ref="M74:N74"/>
    <mergeCell ref="P74:R74"/>
    <mergeCell ref="C75:D75"/>
    <mergeCell ref="F75:H75"/>
    <mergeCell ref="M75:N75"/>
    <mergeCell ref="P75:R75"/>
    <mergeCell ref="C72:D72"/>
    <mergeCell ref="F72:H72"/>
    <mergeCell ref="M72:N72"/>
    <mergeCell ref="P72:R72"/>
    <mergeCell ref="C73:D73"/>
    <mergeCell ref="F73:H73"/>
    <mergeCell ref="M73:N73"/>
    <mergeCell ref="P73:R73"/>
    <mergeCell ref="F70:H70"/>
    <mergeCell ref="M70:N70"/>
    <mergeCell ref="P70:R70"/>
    <mergeCell ref="C71:D71"/>
    <mergeCell ref="F71:H71"/>
    <mergeCell ref="M71:N71"/>
    <mergeCell ref="P71:R71"/>
    <mergeCell ref="C68:D68"/>
    <mergeCell ref="F68:H68"/>
    <mergeCell ref="L68:L83"/>
    <mergeCell ref="M68:N68"/>
    <mergeCell ref="P68:R68"/>
    <mergeCell ref="C69:D69"/>
    <mergeCell ref="F69:H69"/>
    <mergeCell ref="M69:N69"/>
    <mergeCell ref="P69:R69"/>
    <mergeCell ref="C70:D70"/>
    <mergeCell ref="C66:D66"/>
    <mergeCell ref="F66:H66"/>
    <mergeCell ref="M66:N66"/>
    <mergeCell ref="P66:R66"/>
    <mergeCell ref="C67:D67"/>
    <mergeCell ref="F67:H67"/>
    <mergeCell ref="M67:N67"/>
    <mergeCell ref="P67:R67"/>
    <mergeCell ref="C64:D64"/>
    <mergeCell ref="F64:H64"/>
    <mergeCell ref="M64:N64"/>
    <mergeCell ref="P64:R64"/>
    <mergeCell ref="C65:D65"/>
    <mergeCell ref="F65:H65"/>
    <mergeCell ref="M65:N65"/>
    <mergeCell ref="P65:R65"/>
    <mergeCell ref="C62:D62"/>
    <mergeCell ref="F62:H62"/>
    <mergeCell ref="M62:N62"/>
    <mergeCell ref="P62:R62"/>
    <mergeCell ref="U62:U63"/>
    <mergeCell ref="C63:D63"/>
    <mergeCell ref="F63:H63"/>
    <mergeCell ref="M63:N63"/>
    <mergeCell ref="P63:R63"/>
    <mergeCell ref="C60:D60"/>
    <mergeCell ref="F60:H60"/>
    <mergeCell ref="M60:N60"/>
    <mergeCell ref="P60:R60"/>
    <mergeCell ref="U60:U61"/>
    <mergeCell ref="C61:D61"/>
    <mergeCell ref="F61:H61"/>
    <mergeCell ref="M61:N61"/>
    <mergeCell ref="P61:R61"/>
    <mergeCell ref="C58:D58"/>
    <mergeCell ref="F58:H58"/>
    <mergeCell ref="M58:N58"/>
    <mergeCell ref="P58:R58"/>
    <mergeCell ref="U58:U59"/>
    <mergeCell ref="C59:D59"/>
    <mergeCell ref="F59:H59"/>
    <mergeCell ref="M59:N59"/>
    <mergeCell ref="P59:R59"/>
    <mergeCell ref="C56:D56"/>
    <mergeCell ref="F56:H56"/>
    <mergeCell ref="M56:N56"/>
    <mergeCell ref="P56:R56"/>
    <mergeCell ref="C57:D57"/>
    <mergeCell ref="F57:H57"/>
    <mergeCell ref="M57:N57"/>
    <mergeCell ref="P57:R57"/>
    <mergeCell ref="F54:H54"/>
    <mergeCell ref="M54:N54"/>
    <mergeCell ref="P54:R54"/>
    <mergeCell ref="C55:D55"/>
    <mergeCell ref="F55:H55"/>
    <mergeCell ref="M55:N55"/>
    <mergeCell ref="P55:R55"/>
    <mergeCell ref="C52:D52"/>
    <mergeCell ref="F52:H52"/>
    <mergeCell ref="L52:L67"/>
    <mergeCell ref="M52:N52"/>
    <mergeCell ref="P52:R52"/>
    <mergeCell ref="C53:D53"/>
    <mergeCell ref="F53:H53"/>
    <mergeCell ref="M53:N53"/>
    <mergeCell ref="P53:R53"/>
    <mergeCell ref="C54:D54"/>
    <mergeCell ref="C50:D50"/>
    <mergeCell ref="F50:H50"/>
    <mergeCell ref="M50:N50"/>
    <mergeCell ref="P50:R50"/>
    <mergeCell ref="C51:D51"/>
    <mergeCell ref="F51:H51"/>
    <mergeCell ref="M51:N51"/>
    <mergeCell ref="P51:R51"/>
    <mergeCell ref="C48:D48"/>
    <mergeCell ref="F48:H48"/>
    <mergeCell ref="M48:N48"/>
    <mergeCell ref="P48:R48"/>
    <mergeCell ref="C49:D49"/>
    <mergeCell ref="F49:H49"/>
    <mergeCell ref="M49:N49"/>
    <mergeCell ref="P49:R49"/>
    <mergeCell ref="C46:D46"/>
    <mergeCell ref="F46:H46"/>
    <mergeCell ref="M46:N46"/>
    <mergeCell ref="P46:R46"/>
    <mergeCell ref="C47:D47"/>
    <mergeCell ref="F47:H47"/>
    <mergeCell ref="M47:N47"/>
    <mergeCell ref="P47:R47"/>
    <mergeCell ref="C44:D44"/>
    <mergeCell ref="F44:H44"/>
    <mergeCell ref="M44:N44"/>
    <mergeCell ref="P44:R44"/>
    <mergeCell ref="C45:D45"/>
    <mergeCell ref="F45:H45"/>
    <mergeCell ref="M45:N45"/>
    <mergeCell ref="P45:R45"/>
    <mergeCell ref="C42:D42"/>
    <mergeCell ref="F42:H42"/>
    <mergeCell ref="M42:N42"/>
    <mergeCell ref="P42:R42"/>
    <mergeCell ref="C43:D43"/>
    <mergeCell ref="F43:H43"/>
    <mergeCell ref="M43:N43"/>
    <mergeCell ref="P43:R43"/>
    <mergeCell ref="C40:D40"/>
    <mergeCell ref="F40:H40"/>
    <mergeCell ref="M40:N40"/>
    <mergeCell ref="P40:R40"/>
    <mergeCell ref="C41:D41"/>
    <mergeCell ref="F41:H41"/>
    <mergeCell ref="M41:N41"/>
    <mergeCell ref="P41:R41"/>
    <mergeCell ref="F38:H38"/>
    <mergeCell ref="M38:N38"/>
    <mergeCell ref="P38:R38"/>
    <mergeCell ref="C39:D39"/>
    <mergeCell ref="F39:H39"/>
    <mergeCell ref="M39:N39"/>
    <mergeCell ref="P39:R39"/>
    <mergeCell ref="C36:D36"/>
    <mergeCell ref="F36:H36"/>
    <mergeCell ref="L36:L51"/>
    <mergeCell ref="M36:N36"/>
    <mergeCell ref="P36:R36"/>
    <mergeCell ref="C37:D37"/>
    <mergeCell ref="F37:H37"/>
    <mergeCell ref="M37:N37"/>
    <mergeCell ref="P37:R37"/>
    <mergeCell ref="C38:D38"/>
    <mergeCell ref="C34:D34"/>
    <mergeCell ref="F34:H34"/>
    <mergeCell ref="M34:N34"/>
    <mergeCell ref="P34:R34"/>
    <mergeCell ref="C35:D35"/>
    <mergeCell ref="F35:H35"/>
    <mergeCell ref="M35:N35"/>
    <mergeCell ref="P35:R35"/>
    <mergeCell ref="C32:D32"/>
    <mergeCell ref="F32:H32"/>
    <mergeCell ref="M32:N32"/>
    <mergeCell ref="P32:R32"/>
    <mergeCell ref="C33:D33"/>
    <mergeCell ref="F33:H33"/>
    <mergeCell ref="M33:N33"/>
    <mergeCell ref="P33:R33"/>
    <mergeCell ref="C30:D30"/>
    <mergeCell ref="F30:H30"/>
    <mergeCell ref="M30:N30"/>
    <mergeCell ref="P30:R30"/>
    <mergeCell ref="C31:D31"/>
    <mergeCell ref="F31:H31"/>
    <mergeCell ref="M31:N31"/>
    <mergeCell ref="P31:R31"/>
    <mergeCell ref="C28:D28"/>
    <mergeCell ref="F28:H28"/>
    <mergeCell ref="M28:N28"/>
    <mergeCell ref="P28:R28"/>
    <mergeCell ref="C29:D29"/>
    <mergeCell ref="F29:H29"/>
    <mergeCell ref="M29:N29"/>
    <mergeCell ref="P29:R29"/>
    <mergeCell ref="C26:D26"/>
    <mergeCell ref="F26:H26"/>
    <mergeCell ref="M26:N26"/>
    <mergeCell ref="P26:R26"/>
    <mergeCell ref="C27:D27"/>
    <mergeCell ref="F27:H27"/>
    <mergeCell ref="M27:N27"/>
    <mergeCell ref="P27:R27"/>
    <mergeCell ref="C24:D24"/>
    <mergeCell ref="F24:H24"/>
    <mergeCell ref="M24:N24"/>
    <mergeCell ref="P24:R24"/>
    <mergeCell ref="C25:D25"/>
    <mergeCell ref="F25:H25"/>
    <mergeCell ref="M25:N25"/>
    <mergeCell ref="P25:R25"/>
    <mergeCell ref="F22:H22"/>
    <mergeCell ref="M22:N22"/>
    <mergeCell ref="P22:R22"/>
    <mergeCell ref="C23:D23"/>
    <mergeCell ref="F23:H23"/>
    <mergeCell ref="M23:N23"/>
    <mergeCell ref="P23:R23"/>
    <mergeCell ref="C20:D20"/>
    <mergeCell ref="F20:H20"/>
    <mergeCell ref="L20:L35"/>
    <mergeCell ref="M20:N20"/>
    <mergeCell ref="P20:R20"/>
    <mergeCell ref="C21:D21"/>
    <mergeCell ref="F21:H21"/>
    <mergeCell ref="M21:N21"/>
    <mergeCell ref="P21:R21"/>
    <mergeCell ref="C22:D22"/>
    <mergeCell ref="C18:D18"/>
    <mergeCell ref="F18:H18"/>
    <mergeCell ref="M18:N18"/>
    <mergeCell ref="P18:R18"/>
    <mergeCell ref="C19:D19"/>
    <mergeCell ref="F19:H19"/>
    <mergeCell ref="M19:N19"/>
    <mergeCell ref="P19:R19"/>
    <mergeCell ref="C16:D16"/>
    <mergeCell ref="F16:H16"/>
    <mergeCell ref="M16:N16"/>
    <mergeCell ref="P16:R16"/>
    <mergeCell ref="C17:D17"/>
    <mergeCell ref="F17:H17"/>
    <mergeCell ref="M17:N17"/>
    <mergeCell ref="P17:R17"/>
    <mergeCell ref="F14:H14"/>
    <mergeCell ref="M14:N14"/>
    <mergeCell ref="P14:R14"/>
    <mergeCell ref="C15:D15"/>
    <mergeCell ref="F15:H15"/>
    <mergeCell ref="M15:N15"/>
    <mergeCell ref="P15:R15"/>
    <mergeCell ref="C12:D12"/>
    <mergeCell ref="F12:H12"/>
    <mergeCell ref="M12:N12"/>
    <mergeCell ref="P12:R12"/>
    <mergeCell ref="V12:V18"/>
    <mergeCell ref="C13:D13"/>
    <mergeCell ref="F13:H13"/>
    <mergeCell ref="M13:N13"/>
    <mergeCell ref="P13:R13"/>
    <mergeCell ref="C14:D14"/>
    <mergeCell ref="C10:D10"/>
    <mergeCell ref="F10:H10"/>
    <mergeCell ref="M10:N10"/>
    <mergeCell ref="P10:R10"/>
    <mergeCell ref="C11:D11"/>
    <mergeCell ref="F11:H11"/>
    <mergeCell ref="M11:N11"/>
    <mergeCell ref="P11:R11"/>
    <mergeCell ref="C8:D8"/>
    <mergeCell ref="F8:H8"/>
    <mergeCell ref="M8:N8"/>
    <mergeCell ref="P8:R8"/>
    <mergeCell ref="C9:D9"/>
    <mergeCell ref="F9:H9"/>
    <mergeCell ref="M9:N9"/>
    <mergeCell ref="P9:R9"/>
    <mergeCell ref="F6:H6"/>
    <mergeCell ref="M6:N6"/>
    <mergeCell ref="P6:R6"/>
    <mergeCell ref="C7:D7"/>
    <mergeCell ref="F7:H7"/>
    <mergeCell ref="M7:N7"/>
    <mergeCell ref="P7:R7"/>
    <mergeCell ref="C4:D4"/>
    <mergeCell ref="F4:H4"/>
    <mergeCell ref="L4:L19"/>
    <mergeCell ref="M4:N4"/>
    <mergeCell ref="P4:R4"/>
    <mergeCell ref="C5:D5"/>
    <mergeCell ref="F5:H5"/>
    <mergeCell ref="M5:N5"/>
    <mergeCell ref="P5:R5"/>
    <mergeCell ref="C6:D6"/>
    <mergeCell ref="S2:S3"/>
    <mergeCell ref="T2:T3"/>
    <mergeCell ref="U2:U3"/>
    <mergeCell ref="V2:V3"/>
    <mergeCell ref="C3:D3"/>
    <mergeCell ref="M3:N3"/>
    <mergeCell ref="C1:U1"/>
    <mergeCell ref="B2:B3"/>
    <mergeCell ref="C2:E2"/>
    <mergeCell ref="F2:H2"/>
    <mergeCell ref="I2:I3"/>
    <mergeCell ref="J2:J3"/>
    <mergeCell ref="K2:K3"/>
    <mergeCell ref="L2:L3"/>
    <mergeCell ref="M2:O2"/>
    <mergeCell ref="P2:R2"/>
  </mergeCells>
  <phoneticPr fontId="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E2BB-FCBC-4318-A90A-291804FC889D}">
  <sheetPr>
    <tabColor theme="8" tint="0.39997558519241921"/>
  </sheetPr>
  <dimension ref="B1:X217"/>
  <sheetViews>
    <sheetView topLeftCell="A86" zoomScale="85" zoomScaleNormal="85" workbookViewId="0">
      <selection activeCell="Z17" sqref="Z17"/>
    </sheetView>
  </sheetViews>
  <sheetFormatPr defaultColWidth="9" defaultRowHeight="13.5" customHeight="1" x14ac:dyDescent="0.25"/>
  <cols>
    <col min="1" max="1" width="9" style="325"/>
    <col min="2" max="2" width="121.83203125" style="324" hidden="1" customWidth="1"/>
    <col min="3" max="3" width="38.58203125" style="420" customWidth="1"/>
    <col min="4" max="4" width="35.75" style="420" bestFit="1" customWidth="1"/>
    <col min="5" max="5" width="5" style="420" bestFit="1" customWidth="1"/>
    <col min="6" max="6" width="12.58203125" style="420" bestFit="1" customWidth="1"/>
    <col min="7" max="13" width="8.58203125" style="420" customWidth="1"/>
    <col min="14" max="16384" width="9" style="325"/>
  </cols>
  <sheetData>
    <row r="1" spans="2:22" ht="14.5" thickBot="1" x14ac:dyDescent="0.3">
      <c r="C1" s="325"/>
      <c r="D1" s="325"/>
      <c r="E1" s="325"/>
      <c r="F1" s="325"/>
      <c r="G1" s="326" t="s">
        <v>703</v>
      </c>
      <c r="H1" s="326">
        <f>HEX2DEC(40)</f>
        <v>64</v>
      </c>
      <c r="I1" s="325"/>
      <c r="J1" s="325"/>
      <c r="K1" s="327"/>
      <c r="L1" s="327"/>
      <c r="M1" s="327"/>
      <c r="N1" s="327"/>
      <c r="O1" s="327"/>
      <c r="P1" s="327"/>
      <c r="Q1" s="327"/>
    </row>
    <row r="2" spans="2:22" ht="20.25" customHeight="1" thickTop="1" thickBot="1" x14ac:dyDescent="0.3">
      <c r="B2" s="328"/>
      <c r="C2" s="329" t="s">
        <v>704</v>
      </c>
      <c r="D2" s="330"/>
      <c r="E2" s="331"/>
      <c r="F2" s="332" t="s">
        <v>705</v>
      </c>
      <c r="G2" s="333">
        <v>30101</v>
      </c>
      <c r="H2" s="333">
        <v>30102</v>
      </c>
      <c r="I2" s="333">
        <v>30103</v>
      </c>
      <c r="J2" s="333">
        <v>30104</v>
      </c>
      <c r="K2" s="333">
        <v>30201</v>
      </c>
      <c r="L2" s="333">
        <v>30202</v>
      </c>
      <c r="M2" s="333">
        <v>30203</v>
      </c>
      <c r="N2" s="333">
        <v>30204</v>
      </c>
      <c r="O2" s="333">
        <v>30301</v>
      </c>
      <c r="P2" s="333">
        <v>30302</v>
      </c>
      <c r="Q2" s="333">
        <v>30303</v>
      </c>
      <c r="R2" s="333">
        <v>30304</v>
      </c>
      <c r="S2" s="333">
        <v>30501</v>
      </c>
      <c r="T2" s="333">
        <v>30502</v>
      </c>
      <c r="U2" s="333">
        <v>30503</v>
      </c>
      <c r="V2" s="325" t="s">
        <v>706</v>
      </c>
    </row>
    <row r="3" spans="2:22" ht="19.5" customHeight="1" thickTop="1" thickBot="1" x14ac:dyDescent="0.3">
      <c r="B3" s="334"/>
      <c r="C3" s="335"/>
      <c r="D3" s="336"/>
      <c r="E3" s="337"/>
      <c r="F3" s="338" t="s">
        <v>707</v>
      </c>
      <c r="G3" s="339" t="s">
        <v>708</v>
      </c>
      <c r="H3" s="339" t="s">
        <v>709</v>
      </c>
      <c r="I3" s="340" t="s">
        <v>710</v>
      </c>
      <c r="J3" s="340" t="s">
        <v>711</v>
      </c>
      <c r="K3" s="341" t="s">
        <v>712</v>
      </c>
      <c r="L3" s="341" t="s">
        <v>713</v>
      </c>
      <c r="M3" s="341" t="s">
        <v>712</v>
      </c>
      <c r="N3" s="341" t="s">
        <v>713</v>
      </c>
      <c r="O3" s="342" t="s">
        <v>714</v>
      </c>
      <c r="P3" s="342" t="s">
        <v>714</v>
      </c>
      <c r="Q3" s="342" t="s">
        <v>715</v>
      </c>
      <c r="R3" s="342" t="s">
        <v>715</v>
      </c>
      <c r="S3" s="342" t="s">
        <v>716</v>
      </c>
      <c r="T3" s="342" t="s">
        <v>716</v>
      </c>
      <c r="U3" s="342" t="s">
        <v>716</v>
      </c>
    </row>
    <row r="4" spans="2:22" ht="19.5" customHeight="1" thickTop="1" thickBot="1" x14ac:dyDescent="0.3">
      <c r="B4" s="334"/>
      <c r="C4" s="335"/>
      <c r="D4" s="336"/>
      <c r="E4" s="337"/>
      <c r="F4" s="338" t="s">
        <v>717</v>
      </c>
      <c r="G4" s="339" t="s">
        <v>718</v>
      </c>
      <c r="H4" s="343" t="s">
        <v>719</v>
      </c>
      <c r="I4" s="343" t="s">
        <v>710</v>
      </c>
      <c r="J4" s="343" t="s">
        <v>711</v>
      </c>
      <c r="K4" s="341" t="s">
        <v>712</v>
      </c>
      <c r="L4" s="341" t="s">
        <v>713</v>
      </c>
      <c r="M4" s="341" t="s">
        <v>712</v>
      </c>
      <c r="N4" s="341" t="s">
        <v>713</v>
      </c>
      <c r="O4" s="342" t="s">
        <v>714</v>
      </c>
      <c r="P4" s="342" t="s">
        <v>714</v>
      </c>
      <c r="Q4" s="342" t="s">
        <v>715</v>
      </c>
      <c r="R4" s="342" t="s">
        <v>715</v>
      </c>
      <c r="S4" s="342" t="s">
        <v>716</v>
      </c>
      <c r="T4" s="342" t="s">
        <v>716</v>
      </c>
      <c r="U4" s="342" t="s">
        <v>716</v>
      </c>
    </row>
    <row r="5" spans="2:22" ht="19.5" customHeight="1" thickTop="1" thickBot="1" x14ac:dyDescent="0.3">
      <c r="B5" s="334"/>
      <c r="C5" s="335"/>
      <c r="D5" s="336"/>
      <c r="E5" s="337"/>
      <c r="F5" s="338" t="s">
        <v>720</v>
      </c>
      <c r="G5" s="339" t="s">
        <v>708</v>
      </c>
      <c r="H5" s="339" t="s">
        <v>709</v>
      </c>
      <c r="I5" s="340" t="s">
        <v>710</v>
      </c>
      <c r="J5" s="340" t="s">
        <v>711</v>
      </c>
      <c r="K5" s="341" t="s">
        <v>712</v>
      </c>
      <c r="L5" s="341" t="s">
        <v>713</v>
      </c>
      <c r="M5" s="341" t="s">
        <v>712</v>
      </c>
      <c r="N5" s="341" t="s">
        <v>713</v>
      </c>
      <c r="O5" s="342" t="s">
        <v>714</v>
      </c>
      <c r="P5" s="342" t="s">
        <v>714</v>
      </c>
      <c r="Q5" s="342" t="s">
        <v>715</v>
      </c>
      <c r="R5" s="342" t="s">
        <v>715</v>
      </c>
      <c r="S5" s="342" t="s">
        <v>716</v>
      </c>
      <c r="T5" s="342" t="s">
        <v>716</v>
      </c>
      <c r="U5" s="342" t="s">
        <v>716</v>
      </c>
    </row>
    <row r="6" spans="2:22" ht="19.5" customHeight="1" thickTop="1" thickBot="1" x14ac:dyDescent="0.3">
      <c r="B6" s="334"/>
      <c r="C6" s="335"/>
      <c r="D6" s="336"/>
      <c r="E6" s="337"/>
      <c r="F6" s="338" t="s">
        <v>721</v>
      </c>
      <c r="G6" s="339" t="s">
        <v>708</v>
      </c>
      <c r="H6" s="339" t="s">
        <v>709</v>
      </c>
      <c r="I6" s="340" t="s">
        <v>710</v>
      </c>
      <c r="J6" s="340" t="s">
        <v>711</v>
      </c>
      <c r="K6" s="341" t="s">
        <v>712</v>
      </c>
      <c r="L6" s="341" t="s">
        <v>713</v>
      </c>
      <c r="M6" s="341" t="s">
        <v>712</v>
      </c>
      <c r="N6" s="341" t="s">
        <v>713</v>
      </c>
      <c r="O6" s="342" t="s">
        <v>714</v>
      </c>
      <c r="P6" s="342" t="s">
        <v>714</v>
      </c>
      <c r="Q6" s="342" t="s">
        <v>715</v>
      </c>
      <c r="R6" s="342" t="s">
        <v>715</v>
      </c>
      <c r="S6" s="342" t="s">
        <v>716</v>
      </c>
      <c r="T6" s="342" t="s">
        <v>716</v>
      </c>
      <c r="U6" s="342" t="s">
        <v>716</v>
      </c>
    </row>
    <row r="7" spans="2:22" ht="19.5" customHeight="1" thickTop="1" thickBot="1" x14ac:dyDescent="0.3">
      <c r="B7" s="334"/>
      <c r="C7" s="335"/>
      <c r="D7" s="336"/>
      <c r="E7" s="337"/>
      <c r="F7" s="344" t="s">
        <v>722</v>
      </c>
      <c r="G7" s="341" t="s">
        <v>708</v>
      </c>
      <c r="H7" s="341" t="s">
        <v>709</v>
      </c>
      <c r="I7" s="340" t="s">
        <v>710</v>
      </c>
      <c r="J7" s="340" t="s">
        <v>711</v>
      </c>
      <c r="K7" s="339" t="s">
        <v>712</v>
      </c>
      <c r="L7" s="339" t="s">
        <v>713</v>
      </c>
      <c r="M7" s="341" t="s">
        <v>712</v>
      </c>
      <c r="N7" s="341" t="s">
        <v>713</v>
      </c>
      <c r="O7" s="342" t="s">
        <v>714</v>
      </c>
      <c r="P7" s="342" t="s">
        <v>714</v>
      </c>
      <c r="Q7" s="342" t="s">
        <v>715</v>
      </c>
      <c r="R7" s="342" t="s">
        <v>715</v>
      </c>
      <c r="S7" s="342" t="s">
        <v>716</v>
      </c>
      <c r="T7" s="342" t="s">
        <v>716</v>
      </c>
      <c r="U7" s="342" t="s">
        <v>716</v>
      </c>
    </row>
    <row r="8" spans="2:22" ht="19.5" customHeight="1" thickTop="1" thickBot="1" x14ac:dyDescent="0.3">
      <c r="B8" s="345" t="s">
        <v>723</v>
      </c>
      <c r="C8" s="335"/>
      <c r="D8" s="336"/>
      <c r="E8" s="337"/>
      <c r="F8" s="344" t="s">
        <v>724</v>
      </c>
      <c r="G8" s="339" t="s">
        <v>708</v>
      </c>
      <c r="H8" s="341" t="s">
        <v>709</v>
      </c>
      <c r="I8" s="340" t="s">
        <v>710</v>
      </c>
      <c r="J8" s="340" t="s">
        <v>711</v>
      </c>
      <c r="K8" s="341" t="s">
        <v>712</v>
      </c>
      <c r="L8" s="341" t="s">
        <v>713</v>
      </c>
      <c r="M8" s="341" t="s">
        <v>712</v>
      </c>
      <c r="N8" s="341" t="s">
        <v>713</v>
      </c>
      <c r="O8" s="342" t="s">
        <v>714</v>
      </c>
      <c r="P8" s="342" t="s">
        <v>714</v>
      </c>
      <c r="Q8" s="342" t="s">
        <v>715</v>
      </c>
      <c r="R8" s="342" t="s">
        <v>715</v>
      </c>
      <c r="S8" s="342" t="s">
        <v>716</v>
      </c>
      <c r="T8" s="342" t="s">
        <v>716</v>
      </c>
      <c r="U8" s="342" t="s">
        <v>716</v>
      </c>
    </row>
    <row r="9" spans="2:22" ht="19.5" customHeight="1" thickTop="1" thickBot="1" x14ac:dyDescent="0.3">
      <c r="B9" s="334"/>
      <c r="C9" s="335"/>
      <c r="D9" s="336"/>
      <c r="E9" s="337"/>
      <c r="F9" s="338" t="s">
        <v>725</v>
      </c>
      <c r="G9" s="339" t="s">
        <v>708</v>
      </c>
      <c r="H9" s="339" t="s">
        <v>709</v>
      </c>
      <c r="I9" s="340" t="s">
        <v>710</v>
      </c>
      <c r="J9" s="340" t="s">
        <v>711</v>
      </c>
      <c r="K9" s="341" t="s">
        <v>712</v>
      </c>
      <c r="L9" s="341" t="s">
        <v>713</v>
      </c>
      <c r="M9" s="341" t="s">
        <v>712</v>
      </c>
      <c r="N9" s="341" t="s">
        <v>713</v>
      </c>
      <c r="O9" s="342" t="s">
        <v>714</v>
      </c>
      <c r="P9" s="342" t="s">
        <v>714</v>
      </c>
      <c r="Q9" s="342" t="s">
        <v>715</v>
      </c>
      <c r="R9" s="342" t="s">
        <v>715</v>
      </c>
      <c r="S9" s="342" t="s">
        <v>716</v>
      </c>
      <c r="T9" s="342" t="s">
        <v>716</v>
      </c>
      <c r="U9" s="342" t="s">
        <v>716</v>
      </c>
    </row>
    <row r="10" spans="2:22" ht="19.5" customHeight="1" thickTop="1" thickBot="1" x14ac:dyDescent="0.3">
      <c r="B10" s="346"/>
      <c r="C10" s="347"/>
      <c r="D10" s="348"/>
      <c r="E10" s="349"/>
      <c r="F10" s="338" t="s">
        <v>726</v>
      </c>
      <c r="G10" s="341" t="s">
        <v>708</v>
      </c>
      <c r="H10" s="341" t="s">
        <v>709</v>
      </c>
      <c r="I10" s="340" t="s">
        <v>710</v>
      </c>
      <c r="J10" s="340" t="s">
        <v>711</v>
      </c>
      <c r="K10" s="341" t="s">
        <v>712</v>
      </c>
      <c r="L10" s="341" t="s">
        <v>713</v>
      </c>
      <c r="M10" s="341" t="s">
        <v>712</v>
      </c>
      <c r="N10" s="341" t="s">
        <v>713</v>
      </c>
      <c r="O10" s="333" t="s">
        <v>714</v>
      </c>
      <c r="P10" s="333" t="s">
        <v>714</v>
      </c>
      <c r="Q10" s="333" t="s">
        <v>715</v>
      </c>
      <c r="R10" s="333" t="s">
        <v>715</v>
      </c>
      <c r="S10" s="342" t="s">
        <v>716</v>
      </c>
      <c r="T10" s="342" t="s">
        <v>716</v>
      </c>
      <c r="U10" s="342" t="s">
        <v>716</v>
      </c>
    </row>
    <row r="11" spans="2:22" ht="13.9" customHeight="1" thickBot="1" x14ac:dyDescent="0.3">
      <c r="B11" s="350" t="s">
        <v>196</v>
      </c>
      <c r="C11" s="351" t="s">
        <v>727</v>
      </c>
      <c r="D11" s="352" t="s">
        <v>728</v>
      </c>
      <c r="E11" s="352" t="s">
        <v>729</v>
      </c>
      <c r="F11" s="353" t="s">
        <v>730</v>
      </c>
      <c r="G11" s="354" t="s">
        <v>731</v>
      </c>
      <c r="H11" s="355" t="s">
        <v>731</v>
      </c>
      <c r="I11" s="355" t="s">
        <v>731</v>
      </c>
      <c r="J11" s="355" t="s">
        <v>731</v>
      </c>
      <c r="K11" s="355" t="s">
        <v>731</v>
      </c>
      <c r="L11" s="355" t="s">
        <v>731</v>
      </c>
      <c r="M11" s="355" t="s">
        <v>731</v>
      </c>
      <c r="N11" s="355" t="s">
        <v>731</v>
      </c>
      <c r="O11" s="355" t="s">
        <v>731</v>
      </c>
      <c r="P11" s="355" t="s">
        <v>731</v>
      </c>
      <c r="Q11" s="355" t="s">
        <v>731</v>
      </c>
      <c r="R11" s="355" t="s">
        <v>731</v>
      </c>
      <c r="S11" s="355" t="s">
        <v>731</v>
      </c>
      <c r="T11" s="355" t="s">
        <v>731</v>
      </c>
      <c r="U11" s="355" t="s">
        <v>731</v>
      </c>
    </row>
    <row r="12" spans="2:22" ht="13.9" customHeight="1" thickTop="1" x14ac:dyDescent="0.25">
      <c r="B12" s="356" t="s">
        <v>732</v>
      </c>
      <c r="C12" s="357" t="s">
        <v>733</v>
      </c>
      <c r="D12" s="358"/>
      <c r="E12" s="359">
        <v>0</v>
      </c>
      <c r="F12" s="360">
        <v>1</v>
      </c>
      <c r="G12" s="361" t="str">
        <f>CONCATENATE("0x",DEC2HEX(E12,4))</f>
        <v>0x0000</v>
      </c>
      <c r="H12" s="362" t="str">
        <f t="shared" ref="H12:H75" si="0">CONCATENATE("0x",DEC2HEX(E12 + (64 * 1),4))</f>
        <v>0x0040</v>
      </c>
      <c r="I12" s="363" t="str">
        <f t="shared" ref="I12:I75" si="1">CONCATENATE("0x",DEC2HEX(E12 + (64 * 2),4))</f>
        <v>0x0080</v>
      </c>
      <c r="J12" s="363" t="str">
        <f t="shared" ref="J12:J75" si="2">CONCATENATE("0x",DEC2HEX(E12 + (64 * 3),4))</f>
        <v>0x00C0</v>
      </c>
      <c r="K12" s="363" t="str">
        <f t="shared" ref="K12:K75" si="3">CONCATENATE("0x",DEC2HEX(E12 + (64 * 4),4))</f>
        <v>0x0100</v>
      </c>
      <c r="L12" s="363" t="str">
        <f t="shared" ref="L12:L75" si="4">CONCATENATE("0x",DEC2HEX(E12 + (64 * 5),4))</f>
        <v>0x0140</v>
      </c>
      <c r="M12" s="363" t="str">
        <f t="shared" ref="M12:M75" si="5">CONCATENATE("0x",DEC2HEX(E12 + (64 * 6),4))</f>
        <v>0x0180</v>
      </c>
      <c r="N12" s="364" t="str">
        <f t="shared" ref="N12:N75" si="6">CONCATENATE("0x",DEC2HEX(E12 + (64 * 7),4))</f>
        <v>0x01C0</v>
      </c>
      <c r="O12" s="363" t="str">
        <f t="shared" ref="O12:O75" si="7">CONCATENATE("0x",DEC2HEX(E12 + (64 * 8),4))</f>
        <v>0x0200</v>
      </c>
      <c r="P12" s="363" t="str">
        <f t="shared" ref="P12:P75" si="8">CONCATENATE("0x",DEC2HEX(E12 + (64 * 9),4))</f>
        <v>0x0240</v>
      </c>
      <c r="Q12" s="363" t="str">
        <f t="shared" ref="Q12:Q75" si="9">CONCATENATE("0x",DEC2HEX(E12 + (64 * 10),4))</f>
        <v>0x0280</v>
      </c>
      <c r="R12" s="363" t="str">
        <f t="shared" ref="R12:R75" si="10">CONCATENATE("0x",DEC2HEX(E12 + (64 * 11),4))</f>
        <v>0x02C0</v>
      </c>
      <c r="S12" s="365" t="str">
        <f>CONCATENATE("0x",DEC2HEX(E12 + (64 * 12),4))</f>
        <v>0x0300</v>
      </c>
      <c r="T12" s="366" t="str">
        <f>CONCATENATE("0x",DEC2HEX(E12 + (64 * 13),4))</f>
        <v>0x0340</v>
      </c>
      <c r="U12" s="367" t="str">
        <f>CONCATENATE("0x",DEC2HEX(E12 + (64 * 14),4))</f>
        <v>0x0380</v>
      </c>
    </row>
    <row r="13" spans="2:22" ht="13.9" customHeight="1" x14ac:dyDescent="0.25">
      <c r="B13" s="368"/>
      <c r="C13" s="369" t="s">
        <v>734</v>
      </c>
      <c r="D13" s="370"/>
      <c r="E13" s="371">
        <v>1</v>
      </c>
      <c r="F13" s="372"/>
      <c r="G13" s="373" t="str">
        <f>CONCATENATE("0x",DEC2HEX(E13,4))</f>
        <v>0x0001</v>
      </c>
      <c r="H13" s="374" t="str">
        <f t="shared" si="0"/>
        <v>0x0041</v>
      </c>
      <c r="I13" s="364" t="str">
        <f t="shared" si="1"/>
        <v>0x0081</v>
      </c>
      <c r="J13" s="364" t="str">
        <f t="shared" si="2"/>
        <v>0x00C1</v>
      </c>
      <c r="K13" s="364" t="str">
        <f t="shared" si="3"/>
        <v>0x0101</v>
      </c>
      <c r="L13" s="364" t="str">
        <f t="shared" si="4"/>
        <v>0x0141</v>
      </c>
      <c r="M13" s="364" t="str">
        <f t="shared" si="5"/>
        <v>0x0181</v>
      </c>
      <c r="N13" s="364" t="str">
        <f t="shared" si="6"/>
        <v>0x01C1</v>
      </c>
      <c r="O13" s="364" t="str">
        <f t="shared" si="7"/>
        <v>0x0201</v>
      </c>
      <c r="P13" s="364" t="str">
        <f t="shared" si="8"/>
        <v>0x0241</v>
      </c>
      <c r="Q13" s="364" t="str">
        <f t="shared" si="9"/>
        <v>0x0281</v>
      </c>
      <c r="R13" s="364" t="str">
        <f t="shared" si="10"/>
        <v>0x02C1</v>
      </c>
      <c r="S13" s="375" t="str">
        <f t="shared" ref="S13:S75" si="11">CONCATENATE("0x",DEC2HEX(E13 + (64 * 12),4))</f>
        <v>0x0301</v>
      </c>
      <c r="T13" s="376" t="str">
        <f t="shared" ref="T13:T75" si="12">CONCATENATE("0x",DEC2HEX(E13 + (64 * 13),4))</f>
        <v>0x0341</v>
      </c>
      <c r="U13" s="377" t="str">
        <f t="shared" ref="U13:U75" si="13">CONCATENATE("0x",DEC2HEX(E13 + (64 * 14),4))</f>
        <v>0x0381</v>
      </c>
    </row>
    <row r="14" spans="2:22" ht="13.9" customHeight="1" x14ac:dyDescent="0.25">
      <c r="B14" s="368"/>
      <c r="C14" s="369" t="s">
        <v>735</v>
      </c>
      <c r="D14" s="370"/>
      <c r="E14" s="371">
        <v>2</v>
      </c>
      <c r="F14" s="372"/>
      <c r="G14" s="373" t="str">
        <f t="shared" ref="G14:G75" si="14">CONCATENATE("0x",DEC2HEX(E14,4))</f>
        <v>0x0002</v>
      </c>
      <c r="H14" s="374" t="str">
        <f t="shared" si="0"/>
        <v>0x0042</v>
      </c>
      <c r="I14" s="364" t="str">
        <f t="shared" si="1"/>
        <v>0x0082</v>
      </c>
      <c r="J14" s="364" t="str">
        <f t="shared" si="2"/>
        <v>0x00C2</v>
      </c>
      <c r="K14" s="364" t="str">
        <f t="shared" si="3"/>
        <v>0x0102</v>
      </c>
      <c r="L14" s="364" t="str">
        <f t="shared" si="4"/>
        <v>0x0142</v>
      </c>
      <c r="M14" s="364" t="str">
        <f t="shared" si="5"/>
        <v>0x0182</v>
      </c>
      <c r="N14" s="364" t="str">
        <f t="shared" si="6"/>
        <v>0x01C2</v>
      </c>
      <c r="O14" s="364" t="str">
        <f t="shared" si="7"/>
        <v>0x0202</v>
      </c>
      <c r="P14" s="364" t="str">
        <f t="shared" si="8"/>
        <v>0x0242</v>
      </c>
      <c r="Q14" s="364" t="str">
        <f t="shared" si="9"/>
        <v>0x0282</v>
      </c>
      <c r="R14" s="364" t="str">
        <f t="shared" si="10"/>
        <v>0x02C2</v>
      </c>
      <c r="S14" s="375" t="str">
        <f t="shared" si="11"/>
        <v>0x0302</v>
      </c>
      <c r="T14" s="376" t="str">
        <f t="shared" si="12"/>
        <v>0x0342</v>
      </c>
      <c r="U14" s="377" t="str">
        <f t="shared" si="13"/>
        <v>0x0382</v>
      </c>
    </row>
    <row r="15" spans="2:22" ht="13.9" customHeight="1" x14ac:dyDescent="0.25">
      <c r="B15" s="368"/>
      <c r="C15" s="369" t="s">
        <v>736</v>
      </c>
      <c r="D15" s="370"/>
      <c r="E15" s="371">
        <v>3</v>
      </c>
      <c r="F15" s="372"/>
      <c r="G15" s="373" t="str">
        <f t="shared" si="14"/>
        <v>0x0003</v>
      </c>
      <c r="H15" s="374" t="str">
        <f t="shared" si="0"/>
        <v>0x0043</v>
      </c>
      <c r="I15" s="364" t="str">
        <f t="shared" si="1"/>
        <v>0x0083</v>
      </c>
      <c r="J15" s="364" t="str">
        <f t="shared" si="2"/>
        <v>0x00C3</v>
      </c>
      <c r="K15" s="364" t="str">
        <f t="shared" si="3"/>
        <v>0x0103</v>
      </c>
      <c r="L15" s="364" t="str">
        <f t="shared" si="4"/>
        <v>0x0143</v>
      </c>
      <c r="M15" s="364" t="str">
        <f t="shared" si="5"/>
        <v>0x0183</v>
      </c>
      <c r="N15" s="364" t="str">
        <f t="shared" si="6"/>
        <v>0x01C3</v>
      </c>
      <c r="O15" s="364" t="str">
        <f t="shared" si="7"/>
        <v>0x0203</v>
      </c>
      <c r="P15" s="364" t="str">
        <f t="shared" si="8"/>
        <v>0x0243</v>
      </c>
      <c r="Q15" s="364" t="str">
        <f t="shared" si="9"/>
        <v>0x0283</v>
      </c>
      <c r="R15" s="364" t="str">
        <f t="shared" si="10"/>
        <v>0x02C3</v>
      </c>
      <c r="S15" s="375" t="str">
        <f t="shared" si="11"/>
        <v>0x0303</v>
      </c>
      <c r="T15" s="376" t="str">
        <f t="shared" si="12"/>
        <v>0x0343</v>
      </c>
      <c r="U15" s="377" t="str">
        <f t="shared" si="13"/>
        <v>0x0383</v>
      </c>
    </row>
    <row r="16" spans="2:22" ht="13.9" customHeight="1" x14ac:dyDescent="0.25">
      <c r="B16" s="378"/>
      <c r="C16" s="369" t="s">
        <v>737</v>
      </c>
      <c r="D16" s="370"/>
      <c r="E16" s="371">
        <v>4</v>
      </c>
      <c r="F16" s="372"/>
      <c r="G16" s="373" t="str">
        <f t="shared" si="14"/>
        <v>0x0004</v>
      </c>
      <c r="H16" s="374" t="str">
        <f t="shared" si="0"/>
        <v>0x0044</v>
      </c>
      <c r="I16" s="364" t="str">
        <f t="shared" si="1"/>
        <v>0x0084</v>
      </c>
      <c r="J16" s="364" t="str">
        <f t="shared" si="2"/>
        <v>0x00C4</v>
      </c>
      <c r="K16" s="364" t="str">
        <f t="shared" si="3"/>
        <v>0x0104</v>
      </c>
      <c r="L16" s="364" t="str">
        <f t="shared" si="4"/>
        <v>0x0144</v>
      </c>
      <c r="M16" s="364" t="str">
        <f t="shared" si="5"/>
        <v>0x0184</v>
      </c>
      <c r="N16" s="364" t="str">
        <f t="shared" si="6"/>
        <v>0x01C4</v>
      </c>
      <c r="O16" s="364" t="str">
        <f t="shared" si="7"/>
        <v>0x0204</v>
      </c>
      <c r="P16" s="364" t="str">
        <f t="shared" si="8"/>
        <v>0x0244</v>
      </c>
      <c r="Q16" s="364" t="str">
        <f t="shared" si="9"/>
        <v>0x0284</v>
      </c>
      <c r="R16" s="364" t="str">
        <f t="shared" si="10"/>
        <v>0x02C4</v>
      </c>
      <c r="S16" s="375" t="str">
        <f t="shared" si="11"/>
        <v>0x0304</v>
      </c>
      <c r="T16" s="376" t="str">
        <f t="shared" si="12"/>
        <v>0x0344</v>
      </c>
      <c r="U16" s="377" t="str">
        <f t="shared" si="13"/>
        <v>0x0384</v>
      </c>
    </row>
    <row r="17" spans="2:21" ht="13.9" customHeight="1" x14ac:dyDescent="0.25">
      <c r="B17" s="378"/>
      <c r="C17" s="369" t="s">
        <v>738</v>
      </c>
      <c r="D17" s="370"/>
      <c r="E17" s="371">
        <v>5</v>
      </c>
      <c r="F17" s="372"/>
      <c r="G17" s="373" t="str">
        <f t="shared" si="14"/>
        <v>0x0005</v>
      </c>
      <c r="H17" s="374" t="str">
        <f t="shared" si="0"/>
        <v>0x0045</v>
      </c>
      <c r="I17" s="364" t="str">
        <f t="shared" si="1"/>
        <v>0x0085</v>
      </c>
      <c r="J17" s="364" t="str">
        <f t="shared" si="2"/>
        <v>0x00C5</v>
      </c>
      <c r="K17" s="364" t="str">
        <f t="shared" si="3"/>
        <v>0x0105</v>
      </c>
      <c r="L17" s="364" t="str">
        <f t="shared" si="4"/>
        <v>0x0145</v>
      </c>
      <c r="M17" s="364" t="str">
        <f t="shared" si="5"/>
        <v>0x0185</v>
      </c>
      <c r="N17" s="364" t="str">
        <f t="shared" si="6"/>
        <v>0x01C5</v>
      </c>
      <c r="O17" s="364" t="str">
        <f t="shared" si="7"/>
        <v>0x0205</v>
      </c>
      <c r="P17" s="364" t="str">
        <f t="shared" si="8"/>
        <v>0x0245</v>
      </c>
      <c r="Q17" s="364" t="str">
        <f t="shared" si="9"/>
        <v>0x0285</v>
      </c>
      <c r="R17" s="364" t="str">
        <f t="shared" si="10"/>
        <v>0x02C5</v>
      </c>
      <c r="S17" s="375" t="str">
        <f t="shared" si="11"/>
        <v>0x0305</v>
      </c>
      <c r="T17" s="376" t="str">
        <f t="shared" si="12"/>
        <v>0x0345</v>
      </c>
      <c r="U17" s="377" t="str">
        <f t="shared" si="13"/>
        <v>0x0385</v>
      </c>
    </row>
    <row r="18" spans="2:21" ht="13.9" customHeight="1" x14ac:dyDescent="0.25">
      <c r="B18" s="378"/>
      <c r="C18" s="369" t="s">
        <v>737</v>
      </c>
      <c r="D18" s="370"/>
      <c r="E18" s="371">
        <v>6</v>
      </c>
      <c r="F18" s="372"/>
      <c r="G18" s="373" t="str">
        <f t="shared" si="14"/>
        <v>0x0006</v>
      </c>
      <c r="H18" s="374" t="str">
        <f t="shared" si="0"/>
        <v>0x0046</v>
      </c>
      <c r="I18" s="364" t="str">
        <f t="shared" si="1"/>
        <v>0x0086</v>
      </c>
      <c r="J18" s="364" t="str">
        <f t="shared" si="2"/>
        <v>0x00C6</v>
      </c>
      <c r="K18" s="364" t="str">
        <f t="shared" si="3"/>
        <v>0x0106</v>
      </c>
      <c r="L18" s="364" t="str">
        <f t="shared" si="4"/>
        <v>0x0146</v>
      </c>
      <c r="M18" s="364" t="str">
        <f t="shared" si="5"/>
        <v>0x0186</v>
      </c>
      <c r="N18" s="364" t="str">
        <f t="shared" si="6"/>
        <v>0x01C6</v>
      </c>
      <c r="O18" s="364" t="str">
        <f t="shared" si="7"/>
        <v>0x0206</v>
      </c>
      <c r="P18" s="364" t="str">
        <f t="shared" si="8"/>
        <v>0x0246</v>
      </c>
      <c r="Q18" s="364" t="str">
        <f t="shared" si="9"/>
        <v>0x0286</v>
      </c>
      <c r="R18" s="364" t="str">
        <f t="shared" si="10"/>
        <v>0x02C6</v>
      </c>
      <c r="S18" s="375" t="str">
        <f t="shared" si="11"/>
        <v>0x0306</v>
      </c>
      <c r="T18" s="376" t="str">
        <f t="shared" si="12"/>
        <v>0x0346</v>
      </c>
      <c r="U18" s="377" t="str">
        <f t="shared" si="13"/>
        <v>0x0386</v>
      </c>
    </row>
    <row r="19" spans="2:21" ht="13.9" customHeight="1" x14ac:dyDescent="0.25">
      <c r="B19" s="379" t="s">
        <v>739</v>
      </c>
      <c r="C19" s="369" t="s">
        <v>740</v>
      </c>
      <c r="D19" s="370"/>
      <c r="E19" s="371">
        <v>7</v>
      </c>
      <c r="F19" s="372"/>
      <c r="G19" s="373" t="str">
        <f t="shared" si="14"/>
        <v>0x0007</v>
      </c>
      <c r="H19" s="374" t="str">
        <f t="shared" si="0"/>
        <v>0x0047</v>
      </c>
      <c r="I19" s="364" t="str">
        <f t="shared" si="1"/>
        <v>0x0087</v>
      </c>
      <c r="J19" s="364" t="str">
        <f t="shared" si="2"/>
        <v>0x00C7</v>
      </c>
      <c r="K19" s="364" t="str">
        <f t="shared" si="3"/>
        <v>0x0107</v>
      </c>
      <c r="L19" s="364" t="str">
        <f t="shared" si="4"/>
        <v>0x0147</v>
      </c>
      <c r="M19" s="364" t="str">
        <f t="shared" si="5"/>
        <v>0x0187</v>
      </c>
      <c r="N19" s="364" t="str">
        <f t="shared" si="6"/>
        <v>0x01C7</v>
      </c>
      <c r="O19" s="364" t="str">
        <f t="shared" si="7"/>
        <v>0x0207</v>
      </c>
      <c r="P19" s="364" t="str">
        <f t="shared" si="8"/>
        <v>0x0247</v>
      </c>
      <c r="Q19" s="364" t="str">
        <f t="shared" si="9"/>
        <v>0x0287</v>
      </c>
      <c r="R19" s="364" t="str">
        <f t="shared" si="10"/>
        <v>0x02C7</v>
      </c>
      <c r="S19" s="375" t="str">
        <f t="shared" si="11"/>
        <v>0x0307</v>
      </c>
      <c r="T19" s="376" t="str">
        <f t="shared" si="12"/>
        <v>0x0347</v>
      </c>
      <c r="U19" s="377" t="str">
        <f t="shared" si="13"/>
        <v>0x0387</v>
      </c>
    </row>
    <row r="20" spans="2:21" ht="13.9" customHeight="1" x14ac:dyDescent="0.25">
      <c r="B20" s="380"/>
      <c r="C20" s="381" t="s">
        <v>741</v>
      </c>
      <c r="D20" s="370"/>
      <c r="E20" s="371">
        <v>8</v>
      </c>
      <c r="F20" s="372"/>
      <c r="G20" s="373" t="str">
        <f t="shared" si="14"/>
        <v>0x0008</v>
      </c>
      <c r="H20" s="374" t="str">
        <f t="shared" si="0"/>
        <v>0x0048</v>
      </c>
      <c r="I20" s="364" t="str">
        <f t="shared" si="1"/>
        <v>0x0088</v>
      </c>
      <c r="J20" s="364" t="str">
        <f t="shared" si="2"/>
        <v>0x00C8</v>
      </c>
      <c r="K20" s="364" t="str">
        <f t="shared" si="3"/>
        <v>0x0108</v>
      </c>
      <c r="L20" s="364" t="str">
        <f t="shared" si="4"/>
        <v>0x0148</v>
      </c>
      <c r="M20" s="364" t="str">
        <f t="shared" si="5"/>
        <v>0x0188</v>
      </c>
      <c r="N20" s="364" t="str">
        <f t="shared" si="6"/>
        <v>0x01C8</v>
      </c>
      <c r="O20" s="364" t="str">
        <f t="shared" si="7"/>
        <v>0x0208</v>
      </c>
      <c r="P20" s="364" t="str">
        <f t="shared" si="8"/>
        <v>0x0248</v>
      </c>
      <c r="Q20" s="364" t="str">
        <f t="shared" si="9"/>
        <v>0x0288</v>
      </c>
      <c r="R20" s="364" t="str">
        <f t="shared" si="10"/>
        <v>0x02C8</v>
      </c>
      <c r="S20" s="375" t="str">
        <f t="shared" si="11"/>
        <v>0x0308</v>
      </c>
      <c r="T20" s="376" t="str">
        <f t="shared" si="12"/>
        <v>0x0348</v>
      </c>
      <c r="U20" s="377" t="str">
        <f t="shared" si="13"/>
        <v>0x0388</v>
      </c>
    </row>
    <row r="21" spans="2:21" ht="13.9" customHeight="1" x14ac:dyDescent="0.25">
      <c r="B21" s="378"/>
      <c r="C21" s="369" t="s">
        <v>737</v>
      </c>
      <c r="D21" s="370"/>
      <c r="E21" s="371">
        <v>9</v>
      </c>
      <c r="F21" s="372"/>
      <c r="G21" s="373" t="str">
        <f t="shared" si="14"/>
        <v>0x0009</v>
      </c>
      <c r="H21" s="374" t="str">
        <f t="shared" si="0"/>
        <v>0x0049</v>
      </c>
      <c r="I21" s="364" t="str">
        <f t="shared" si="1"/>
        <v>0x0089</v>
      </c>
      <c r="J21" s="364" t="str">
        <f t="shared" si="2"/>
        <v>0x00C9</v>
      </c>
      <c r="K21" s="364" t="str">
        <f t="shared" si="3"/>
        <v>0x0109</v>
      </c>
      <c r="L21" s="364" t="str">
        <f t="shared" si="4"/>
        <v>0x0149</v>
      </c>
      <c r="M21" s="364" t="str">
        <f t="shared" si="5"/>
        <v>0x0189</v>
      </c>
      <c r="N21" s="364" t="str">
        <f t="shared" si="6"/>
        <v>0x01C9</v>
      </c>
      <c r="O21" s="364" t="str">
        <f t="shared" si="7"/>
        <v>0x0209</v>
      </c>
      <c r="P21" s="364" t="str">
        <f t="shared" si="8"/>
        <v>0x0249</v>
      </c>
      <c r="Q21" s="364" t="str">
        <f t="shared" si="9"/>
        <v>0x0289</v>
      </c>
      <c r="R21" s="364" t="str">
        <f t="shared" si="10"/>
        <v>0x02C9</v>
      </c>
      <c r="S21" s="375" t="str">
        <f t="shared" si="11"/>
        <v>0x0309</v>
      </c>
      <c r="T21" s="376" t="str">
        <f t="shared" si="12"/>
        <v>0x0349</v>
      </c>
      <c r="U21" s="377" t="str">
        <f t="shared" si="13"/>
        <v>0x0389</v>
      </c>
    </row>
    <row r="22" spans="2:21" ht="13.9" customHeight="1" x14ac:dyDescent="0.25">
      <c r="B22" s="378"/>
      <c r="C22" s="369" t="s">
        <v>737</v>
      </c>
      <c r="D22" s="370"/>
      <c r="E22" s="371">
        <v>10</v>
      </c>
      <c r="F22" s="372"/>
      <c r="G22" s="373" t="str">
        <f t="shared" si="14"/>
        <v>0x000A</v>
      </c>
      <c r="H22" s="374" t="str">
        <f t="shared" si="0"/>
        <v>0x004A</v>
      </c>
      <c r="I22" s="364" t="str">
        <f t="shared" si="1"/>
        <v>0x008A</v>
      </c>
      <c r="J22" s="364" t="str">
        <f t="shared" si="2"/>
        <v>0x00CA</v>
      </c>
      <c r="K22" s="364" t="str">
        <f t="shared" si="3"/>
        <v>0x010A</v>
      </c>
      <c r="L22" s="364" t="str">
        <f t="shared" si="4"/>
        <v>0x014A</v>
      </c>
      <c r="M22" s="364" t="str">
        <f t="shared" si="5"/>
        <v>0x018A</v>
      </c>
      <c r="N22" s="364" t="str">
        <f t="shared" si="6"/>
        <v>0x01CA</v>
      </c>
      <c r="O22" s="364" t="str">
        <f t="shared" si="7"/>
        <v>0x020A</v>
      </c>
      <c r="P22" s="364" t="str">
        <f t="shared" si="8"/>
        <v>0x024A</v>
      </c>
      <c r="Q22" s="364" t="str">
        <f t="shared" si="9"/>
        <v>0x028A</v>
      </c>
      <c r="R22" s="364" t="str">
        <f t="shared" si="10"/>
        <v>0x02CA</v>
      </c>
      <c r="S22" s="375" t="str">
        <f t="shared" si="11"/>
        <v>0x030A</v>
      </c>
      <c r="T22" s="376" t="str">
        <f t="shared" si="12"/>
        <v>0x034A</v>
      </c>
      <c r="U22" s="377" t="str">
        <f t="shared" si="13"/>
        <v>0x038A</v>
      </c>
    </row>
    <row r="23" spans="2:21" ht="13.9" customHeight="1" x14ac:dyDescent="0.25">
      <c r="B23" s="378"/>
      <c r="C23" s="369" t="s">
        <v>737</v>
      </c>
      <c r="D23" s="370"/>
      <c r="E23" s="371">
        <v>11</v>
      </c>
      <c r="F23" s="372"/>
      <c r="G23" s="373" t="str">
        <f t="shared" si="14"/>
        <v>0x000B</v>
      </c>
      <c r="H23" s="374" t="str">
        <f t="shared" si="0"/>
        <v>0x004B</v>
      </c>
      <c r="I23" s="364" t="str">
        <f t="shared" si="1"/>
        <v>0x008B</v>
      </c>
      <c r="J23" s="364" t="str">
        <f t="shared" si="2"/>
        <v>0x00CB</v>
      </c>
      <c r="K23" s="364" t="str">
        <f t="shared" si="3"/>
        <v>0x010B</v>
      </c>
      <c r="L23" s="364" t="str">
        <f t="shared" si="4"/>
        <v>0x014B</v>
      </c>
      <c r="M23" s="364" t="str">
        <f t="shared" si="5"/>
        <v>0x018B</v>
      </c>
      <c r="N23" s="364" t="str">
        <f t="shared" si="6"/>
        <v>0x01CB</v>
      </c>
      <c r="O23" s="364" t="str">
        <f t="shared" si="7"/>
        <v>0x020B</v>
      </c>
      <c r="P23" s="364" t="str">
        <f t="shared" si="8"/>
        <v>0x024B</v>
      </c>
      <c r="Q23" s="364" t="str">
        <f t="shared" si="9"/>
        <v>0x028B</v>
      </c>
      <c r="R23" s="364" t="str">
        <f t="shared" si="10"/>
        <v>0x02CB</v>
      </c>
      <c r="S23" s="375" t="str">
        <f t="shared" si="11"/>
        <v>0x030B</v>
      </c>
      <c r="T23" s="376" t="str">
        <f t="shared" si="12"/>
        <v>0x034B</v>
      </c>
      <c r="U23" s="377" t="str">
        <f t="shared" si="13"/>
        <v>0x038B</v>
      </c>
    </row>
    <row r="24" spans="2:21" ht="13.9" customHeight="1" x14ac:dyDescent="0.25">
      <c r="B24" s="378"/>
      <c r="C24" s="369" t="s">
        <v>737</v>
      </c>
      <c r="D24" s="370"/>
      <c r="E24" s="371">
        <v>12</v>
      </c>
      <c r="F24" s="372"/>
      <c r="G24" s="373" t="str">
        <f t="shared" si="14"/>
        <v>0x000C</v>
      </c>
      <c r="H24" s="374" t="str">
        <f t="shared" si="0"/>
        <v>0x004C</v>
      </c>
      <c r="I24" s="364" t="str">
        <f t="shared" si="1"/>
        <v>0x008C</v>
      </c>
      <c r="J24" s="364" t="str">
        <f t="shared" si="2"/>
        <v>0x00CC</v>
      </c>
      <c r="K24" s="364" t="str">
        <f t="shared" si="3"/>
        <v>0x010C</v>
      </c>
      <c r="L24" s="364" t="str">
        <f t="shared" si="4"/>
        <v>0x014C</v>
      </c>
      <c r="M24" s="364" t="str">
        <f t="shared" si="5"/>
        <v>0x018C</v>
      </c>
      <c r="N24" s="364" t="str">
        <f t="shared" si="6"/>
        <v>0x01CC</v>
      </c>
      <c r="O24" s="364" t="str">
        <f t="shared" si="7"/>
        <v>0x020C</v>
      </c>
      <c r="P24" s="364" t="str">
        <f t="shared" si="8"/>
        <v>0x024C</v>
      </c>
      <c r="Q24" s="364" t="str">
        <f t="shared" si="9"/>
        <v>0x028C</v>
      </c>
      <c r="R24" s="364" t="str">
        <f t="shared" si="10"/>
        <v>0x02CC</v>
      </c>
      <c r="S24" s="375" t="str">
        <f t="shared" si="11"/>
        <v>0x030C</v>
      </c>
      <c r="T24" s="376" t="str">
        <f t="shared" si="12"/>
        <v>0x034C</v>
      </c>
      <c r="U24" s="377" t="str">
        <f t="shared" si="13"/>
        <v>0x038C</v>
      </c>
    </row>
    <row r="25" spans="2:21" ht="13.9" customHeight="1" x14ac:dyDescent="0.25">
      <c r="B25" s="378"/>
      <c r="C25" s="369" t="s">
        <v>737</v>
      </c>
      <c r="D25" s="370"/>
      <c r="E25" s="371">
        <v>13</v>
      </c>
      <c r="F25" s="372"/>
      <c r="G25" s="373" t="str">
        <f t="shared" si="14"/>
        <v>0x000D</v>
      </c>
      <c r="H25" s="374" t="str">
        <f t="shared" si="0"/>
        <v>0x004D</v>
      </c>
      <c r="I25" s="364" t="str">
        <f t="shared" si="1"/>
        <v>0x008D</v>
      </c>
      <c r="J25" s="364" t="str">
        <f t="shared" si="2"/>
        <v>0x00CD</v>
      </c>
      <c r="K25" s="364" t="str">
        <f t="shared" si="3"/>
        <v>0x010D</v>
      </c>
      <c r="L25" s="364" t="str">
        <f t="shared" si="4"/>
        <v>0x014D</v>
      </c>
      <c r="M25" s="364" t="str">
        <f t="shared" si="5"/>
        <v>0x018D</v>
      </c>
      <c r="N25" s="364" t="str">
        <f t="shared" si="6"/>
        <v>0x01CD</v>
      </c>
      <c r="O25" s="364" t="str">
        <f t="shared" si="7"/>
        <v>0x020D</v>
      </c>
      <c r="P25" s="364" t="str">
        <f t="shared" si="8"/>
        <v>0x024D</v>
      </c>
      <c r="Q25" s="364" t="str">
        <f t="shared" si="9"/>
        <v>0x028D</v>
      </c>
      <c r="R25" s="364" t="str">
        <f t="shared" si="10"/>
        <v>0x02CD</v>
      </c>
      <c r="S25" s="375" t="str">
        <f t="shared" si="11"/>
        <v>0x030D</v>
      </c>
      <c r="T25" s="376" t="str">
        <f t="shared" si="12"/>
        <v>0x034D</v>
      </c>
      <c r="U25" s="377" t="str">
        <f t="shared" si="13"/>
        <v>0x038D</v>
      </c>
    </row>
    <row r="26" spans="2:21" ht="13.9" customHeight="1" x14ac:dyDescent="0.25">
      <c r="B26" s="378"/>
      <c r="C26" s="381" t="s">
        <v>742</v>
      </c>
      <c r="D26" s="370"/>
      <c r="E26" s="371">
        <v>14</v>
      </c>
      <c r="F26" s="372"/>
      <c r="G26" s="373" t="str">
        <f t="shared" si="14"/>
        <v>0x000E</v>
      </c>
      <c r="H26" s="374" t="str">
        <f t="shared" si="0"/>
        <v>0x004E</v>
      </c>
      <c r="I26" s="364" t="str">
        <f t="shared" si="1"/>
        <v>0x008E</v>
      </c>
      <c r="J26" s="364" t="str">
        <f t="shared" si="2"/>
        <v>0x00CE</v>
      </c>
      <c r="K26" s="364" t="str">
        <f t="shared" si="3"/>
        <v>0x010E</v>
      </c>
      <c r="L26" s="364" t="str">
        <f t="shared" si="4"/>
        <v>0x014E</v>
      </c>
      <c r="M26" s="364" t="str">
        <f t="shared" si="5"/>
        <v>0x018E</v>
      </c>
      <c r="N26" s="364" t="str">
        <f t="shared" si="6"/>
        <v>0x01CE</v>
      </c>
      <c r="O26" s="364" t="str">
        <f t="shared" si="7"/>
        <v>0x020E</v>
      </c>
      <c r="P26" s="364" t="str">
        <f t="shared" si="8"/>
        <v>0x024E</v>
      </c>
      <c r="Q26" s="364" t="str">
        <f t="shared" si="9"/>
        <v>0x028E</v>
      </c>
      <c r="R26" s="364" t="str">
        <f t="shared" si="10"/>
        <v>0x02CE</v>
      </c>
      <c r="S26" s="375" t="str">
        <f t="shared" si="11"/>
        <v>0x030E</v>
      </c>
      <c r="T26" s="376" t="str">
        <f t="shared" si="12"/>
        <v>0x034E</v>
      </c>
      <c r="U26" s="377" t="str">
        <f t="shared" si="13"/>
        <v>0x038E</v>
      </c>
    </row>
    <row r="27" spans="2:21" ht="13.9" customHeight="1" thickBot="1" x14ac:dyDescent="0.3">
      <c r="B27" s="378"/>
      <c r="C27" s="382" t="s">
        <v>742</v>
      </c>
      <c r="D27" s="383"/>
      <c r="E27" s="384">
        <v>15</v>
      </c>
      <c r="F27" s="385"/>
      <c r="G27" s="386" t="str">
        <f t="shared" si="14"/>
        <v>0x000F</v>
      </c>
      <c r="H27" s="387" t="str">
        <f t="shared" si="0"/>
        <v>0x004F</v>
      </c>
      <c r="I27" s="388" t="str">
        <f t="shared" si="1"/>
        <v>0x008F</v>
      </c>
      <c r="J27" s="388" t="str">
        <f t="shared" si="2"/>
        <v>0x00CF</v>
      </c>
      <c r="K27" s="388" t="str">
        <f t="shared" si="3"/>
        <v>0x010F</v>
      </c>
      <c r="L27" s="388" t="str">
        <f t="shared" si="4"/>
        <v>0x014F</v>
      </c>
      <c r="M27" s="388" t="str">
        <f t="shared" si="5"/>
        <v>0x018F</v>
      </c>
      <c r="N27" s="388" t="str">
        <f t="shared" si="6"/>
        <v>0x01CF</v>
      </c>
      <c r="O27" s="388" t="str">
        <f t="shared" si="7"/>
        <v>0x020F</v>
      </c>
      <c r="P27" s="388" t="str">
        <f t="shared" si="8"/>
        <v>0x024F</v>
      </c>
      <c r="Q27" s="388" t="str">
        <f t="shared" si="9"/>
        <v>0x028F</v>
      </c>
      <c r="R27" s="388" t="str">
        <f t="shared" si="10"/>
        <v>0x02CF</v>
      </c>
      <c r="S27" s="389" t="str">
        <f t="shared" si="11"/>
        <v>0x030F</v>
      </c>
      <c r="T27" s="390" t="str">
        <f t="shared" si="12"/>
        <v>0x034F</v>
      </c>
      <c r="U27" s="391" t="str">
        <f t="shared" si="13"/>
        <v>0x038F</v>
      </c>
    </row>
    <row r="28" spans="2:21" ht="14.25" customHeight="1" thickTop="1" x14ac:dyDescent="0.25">
      <c r="B28" s="378"/>
      <c r="C28" s="392" t="s">
        <v>742</v>
      </c>
      <c r="D28" s="393" t="s">
        <v>743</v>
      </c>
      <c r="E28" s="394">
        <v>16</v>
      </c>
      <c r="F28" s="395">
        <v>2</v>
      </c>
      <c r="G28" s="396" t="str">
        <f t="shared" si="14"/>
        <v>0x0010</v>
      </c>
      <c r="H28" s="397" t="str">
        <f t="shared" si="0"/>
        <v>0x0050</v>
      </c>
      <c r="I28" s="398" t="str">
        <f t="shared" si="1"/>
        <v>0x0090</v>
      </c>
      <c r="J28" s="398" t="str">
        <f t="shared" si="2"/>
        <v>0x00D0</v>
      </c>
      <c r="K28" s="398" t="str">
        <f t="shared" si="3"/>
        <v>0x0110</v>
      </c>
      <c r="L28" s="398" t="str">
        <f t="shared" si="4"/>
        <v>0x0150</v>
      </c>
      <c r="M28" s="398" t="str">
        <f t="shared" si="5"/>
        <v>0x0190</v>
      </c>
      <c r="N28" s="398" t="str">
        <f t="shared" si="6"/>
        <v>0x01D0</v>
      </c>
      <c r="O28" s="398" t="str">
        <f t="shared" si="7"/>
        <v>0x0210</v>
      </c>
      <c r="P28" s="398" t="str">
        <f t="shared" si="8"/>
        <v>0x0250</v>
      </c>
      <c r="Q28" s="398" t="str">
        <f t="shared" si="9"/>
        <v>0x0290</v>
      </c>
      <c r="R28" s="398" t="str">
        <f t="shared" si="10"/>
        <v>0x02D0</v>
      </c>
      <c r="S28" s="365" t="str">
        <f t="shared" si="11"/>
        <v>0x0310</v>
      </c>
      <c r="T28" s="366" t="str">
        <f t="shared" si="12"/>
        <v>0x0350</v>
      </c>
      <c r="U28" s="367" t="str">
        <f t="shared" si="13"/>
        <v>0x0390</v>
      </c>
    </row>
    <row r="29" spans="2:21" ht="13.9" customHeight="1" x14ac:dyDescent="0.25">
      <c r="B29" s="399" t="s">
        <v>744</v>
      </c>
      <c r="C29" s="400" t="s">
        <v>745</v>
      </c>
      <c r="D29" s="401"/>
      <c r="E29" s="371">
        <v>17</v>
      </c>
      <c r="F29" s="372"/>
      <c r="G29" s="373" t="str">
        <f t="shared" si="14"/>
        <v>0x0011</v>
      </c>
      <c r="H29" s="374" t="str">
        <f t="shared" si="0"/>
        <v>0x0051</v>
      </c>
      <c r="I29" s="364" t="str">
        <f t="shared" si="1"/>
        <v>0x0091</v>
      </c>
      <c r="J29" s="364" t="str">
        <f t="shared" si="2"/>
        <v>0x00D1</v>
      </c>
      <c r="K29" s="364" t="str">
        <f t="shared" si="3"/>
        <v>0x0111</v>
      </c>
      <c r="L29" s="364" t="str">
        <f t="shared" si="4"/>
        <v>0x0151</v>
      </c>
      <c r="M29" s="364" t="str">
        <f t="shared" si="5"/>
        <v>0x0191</v>
      </c>
      <c r="N29" s="364" t="str">
        <f t="shared" si="6"/>
        <v>0x01D1</v>
      </c>
      <c r="O29" s="364" t="str">
        <f t="shared" si="7"/>
        <v>0x0211</v>
      </c>
      <c r="P29" s="364" t="str">
        <f t="shared" si="8"/>
        <v>0x0251</v>
      </c>
      <c r="Q29" s="364" t="str">
        <f t="shared" si="9"/>
        <v>0x0291</v>
      </c>
      <c r="R29" s="364" t="str">
        <f t="shared" si="10"/>
        <v>0x02D1</v>
      </c>
      <c r="S29" s="375" t="str">
        <f t="shared" si="11"/>
        <v>0x0311</v>
      </c>
      <c r="T29" s="376" t="str">
        <f t="shared" si="12"/>
        <v>0x0351</v>
      </c>
      <c r="U29" s="377" t="str">
        <f t="shared" si="13"/>
        <v>0x0391</v>
      </c>
    </row>
    <row r="30" spans="2:21" ht="13.9" customHeight="1" x14ac:dyDescent="0.25">
      <c r="B30" s="399" t="s">
        <v>746</v>
      </c>
      <c r="C30" s="400" t="s">
        <v>747</v>
      </c>
      <c r="D30" s="401"/>
      <c r="E30" s="371">
        <v>18</v>
      </c>
      <c r="F30" s="372"/>
      <c r="G30" s="373" t="str">
        <f t="shared" si="14"/>
        <v>0x0012</v>
      </c>
      <c r="H30" s="374" t="str">
        <f t="shared" si="0"/>
        <v>0x0052</v>
      </c>
      <c r="I30" s="364" t="str">
        <f t="shared" si="1"/>
        <v>0x0092</v>
      </c>
      <c r="J30" s="364" t="str">
        <f t="shared" si="2"/>
        <v>0x00D2</v>
      </c>
      <c r="K30" s="364" t="str">
        <f t="shared" si="3"/>
        <v>0x0112</v>
      </c>
      <c r="L30" s="364" t="str">
        <f t="shared" si="4"/>
        <v>0x0152</v>
      </c>
      <c r="M30" s="364" t="str">
        <f t="shared" si="5"/>
        <v>0x0192</v>
      </c>
      <c r="N30" s="364" t="str">
        <f t="shared" si="6"/>
        <v>0x01D2</v>
      </c>
      <c r="O30" s="364" t="str">
        <f t="shared" si="7"/>
        <v>0x0212</v>
      </c>
      <c r="P30" s="364" t="str">
        <f t="shared" si="8"/>
        <v>0x0252</v>
      </c>
      <c r="Q30" s="364" t="str">
        <f t="shared" si="9"/>
        <v>0x0292</v>
      </c>
      <c r="R30" s="364" t="str">
        <f t="shared" si="10"/>
        <v>0x02D2</v>
      </c>
      <c r="S30" s="375" t="str">
        <f t="shared" si="11"/>
        <v>0x0312</v>
      </c>
      <c r="T30" s="376" t="str">
        <f t="shared" si="12"/>
        <v>0x0352</v>
      </c>
      <c r="U30" s="377" t="str">
        <f t="shared" si="13"/>
        <v>0x0392</v>
      </c>
    </row>
    <row r="31" spans="2:21" ht="13.9" customHeight="1" x14ac:dyDescent="0.25">
      <c r="B31" s="378"/>
      <c r="C31" s="381" t="s">
        <v>742</v>
      </c>
      <c r="D31" s="401"/>
      <c r="E31" s="371">
        <v>19</v>
      </c>
      <c r="F31" s="372"/>
      <c r="G31" s="373" t="str">
        <f t="shared" si="14"/>
        <v>0x0013</v>
      </c>
      <c r="H31" s="374" t="str">
        <f t="shared" si="0"/>
        <v>0x0053</v>
      </c>
      <c r="I31" s="364" t="str">
        <f t="shared" si="1"/>
        <v>0x0093</v>
      </c>
      <c r="J31" s="364" t="str">
        <f t="shared" si="2"/>
        <v>0x00D3</v>
      </c>
      <c r="K31" s="364" t="str">
        <f t="shared" si="3"/>
        <v>0x0113</v>
      </c>
      <c r="L31" s="364" t="str">
        <f t="shared" si="4"/>
        <v>0x0153</v>
      </c>
      <c r="M31" s="364" t="str">
        <f t="shared" si="5"/>
        <v>0x0193</v>
      </c>
      <c r="N31" s="364" t="str">
        <f t="shared" si="6"/>
        <v>0x01D3</v>
      </c>
      <c r="O31" s="364" t="str">
        <f t="shared" si="7"/>
        <v>0x0213</v>
      </c>
      <c r="P31" s="364" t="str">
        <f t="shared" si="8"/>
        <v>0x0253</v>
      </c>
      <c r="Q31" s="364" t="str">
        <f t="shared" si="9"/>
        <v>0x0293</v>
      </c>
      <c r="R31" s="364" t="str">
        <f t="shared" si="10"/>
        <v>0x02D3</v>
      </c>
      <c r="S31" s="375" t="str">
        <f t="shared" si="11"/>
        <v>0x0313</v>
      </c>
      <c r="T31" s="376" t="str">
        <f t="shared" si="12"/>
        <v>0x0353</v>
      </c>
      <c r="U31" s="377" t="str">
        <f t="shared" si="13"/>
        <v>0x0393</v>
      </c>
    </row>
    <row r="32" spans="2:21" ht="13.9" customHeight="1" x14ac:dyDescent="0.25">
      <c r="B32" s="399" t="s">
        <v>748</v>
      </c>
      <c r="C32" s="400" t="s">
        <v>749</v>
      </c>
      <c r="D32" s="401"/>
      <c r="E32" s="371">
        <v>20</v>
      </c>
      <c r="F32" s="372"/>
      <c r="G32" s="373" t="str">
        <f t="shared" si="14"/>
        <v>0x0014</v>
      </c>
      <c r="H32" s="374" t="str">
        <f t="shared" si="0"/>
        <v>0x0054</v>
      </c>
      <c r="I32" s="364" t="str">
        <f t="shared" si="1"/>
        <v>0x0094</v>
      </c>
      <c r="J32" s="364" t="str">
        <f t="shared" si="2"/>
        <v>0x00D4</v>
      </c>
      <c r="K32" s="364" t="str">
        <f t="shared" si="3"/>
        <v>0x0114</v>
      </c>
      <c r="L32" s="364" t="str">
        <f t="shared" si="4"/>
        <v>0x0154</v>
      </c>
      <c r="M32" s="364" t="str">
        <f t="shared" si="5"/>
        <v>0x0194</v>
      </c>
      <c r="N32" s="364" t="str">
        <f t="shared" si="6"/>
        <v>0x01D4</v>
      </c>
      <c r="O32" s="364" t="str">
        <f t="shared" si="7"/>
        <v>0x0214</v>
      </c>
      <c r="P32" s="364" t="str">
        <f t="shared" si="8"/>
        <v>0x0254</v>
      </c>
      <c r="Q32" s="364" t="str">
        <f t="shared" si="9"/>
        <v>0x0294</v>
      </c>
      <c r="R32" s="364" t="str">
        <f t="shared" si="10"/>
        <v>0x02D4</v>
      </c>
      <c r="S32" s="375" t="str">
        <f t="shared" si="11"/>
        <v>0x0314</v>
      </c>
      <c r="T32" s="376" t="str">
        <f t="shared" si="12"/>
        <v>0x0354</v>
      </c>
      <c r="U32" s="377" t="str">
        <f t="shared" si="13"/>
        <v>0x0394</v>
      </c>
    </row>
    <row r="33" spans="2:21" ht="13.9" customHeight="1" x14ac:dyDescent="0.25">
      <c r="B33" s="399" t="s">
        <v>750</v>
      </c>
      <c r="C33" s="400" t="s">
        <v>751</v>
      </c>
      <c r="D33" s="401"/>
      <c r="E33" s="371">
        <v>21</v>
      </c>
      <c r="F33" s="372"/>
      <c r="G33" s="373" t="str">
        <f t="shared" si="14"/>
        <v>0x0015</v>
      </c>
      <c r="H33" s="374" t="str">
        <f t="shared" si="0"/>
        <v>0x0055</v>
      </c>
      <c r="I33" s="364" t="str">
        <f t="shared" si="1"/>
        <v>0x0095</v>
      </c>
      <c r="J33" s="364" t="str">
        <f t="shared" si="2"/>
        <v>0x00D5</v>
      </c>
      <c r="K33" s="364" t="str">
        <f t="shared" si="3"/>
        <v>0x0115</v>
      </c>
      <c r="L33" s="364" t="str">
        <f t="shared" si="4"/>
        <v>0x0155</v>
      </c>
      <c r="M33" s="364" t="str">
        <f t="shared" si="5"/>
        <v>0x0195</v>
      </c>
      <c r="N33" s="364" t="str">
        <f t="shared" si="6"/>
        <v>0x01D5</v>
      </c>
      <c r="O33" s="364" t="str">
        <f t="shared" si="7"/>
        <v>0x0215</v>
      </c>
      <c r="P33" s="364" t="str">
        <f t="shared" si="8"/>
        <v>0x0255</v>
      </c>
      <c r="Q33" s="364" t="str">
        <f t="shared" si="9"/>
        <v>0x0295</v>
      </c>
      <c r="R33" s="364" t="str">
        <f t="shared" si="10"/>
        <v>0x02D5</v>
      </c>
      <c r="S33" s="375" t="str">
        <f t="shared" si="11"/>
        <v>0x0315</v>
      </c>
      <c r="T33" s="376" t="str">
        <f t="shared" si="12"/>
        <v>0x0355</v>
      </c>
      <c r="U33" s="377" t="str">
        <f t="shared" si="13"/>
        <v>0x0395</v>
      </c>
    </row>
    <row r="34" spans="2:21" ht="14" x14ac:dyDescent="0.25">
      <c r="B34" s="378"/>
      <c r="C34" s="381" t="s">
        <v>742</v>
      </c>
      <c r="D34" s="401"/>
      <c r="E34" s="371">
        <v>22</v>
      </c>
      <c r="F34" s="372"/>
      <c r="G34" s="373" t="str">
        <f t="shared" si="14"/>
        <v>0x0016</v>
      </c>
      <c r="H34" s="374" t="str">
        <f t="shared" si="0"/>
        <v>0x0056</v>
      </c>
      <c r="I34" s="364" t="str">
        <f t="shared" si="1"/>
        <v>0x0096</v>
      </c>
      <c r="J34" s="364" t="str">
        <f t="shared" si="2"/>
        <v>0x00D6</v>
      </c>
      <c r="K34" s="364" t="str">
        <f t="shared" si="3"/>
        <v>0x0116</v>
      </c>
      <c r="L34" s="364" t="str">
        <f t="shared" si="4"/>
        <v>0x0156</v>
      </c>
      <c r="M34" s="364" t="str">
        <f t="shared" si="5"/>
        <v>0x0196</v>
      </c>
      <c r="N34" s="364" t="str">
        <f t="shared" si="6"/>
        <v>0x01D6</v>
      </c>
      <c r="O34" s="364" t="str">
        <f t="shared" si="7"/>
        <v>0x0216</v>
      </c>
      <c r="P34" s="364" t="str">
        <f t="shared" si="8"/>
        <v>0x0256</v>
      </c>
      <c r="Q34" s="364" t="str">
        <f t="shared" si="9"/>
        <v>0x0296</v>
      </c>
      <c r="R34" s="364" t="str">
        <f t="shared" si="10"/>
        <v>0x02D6</v>
      </c>
      <c r="S34" s="375" t="str">
        <f t="shared" si="11"/>
        <v>0x0316</v>
      </c>
      <c r="T34" s="376" t="str">
        <f t="shared" si="12"/>
        <v>0x0356</v>
      </c>
      <c r="U34" s="377" t="str">
        <f t="shared" si="13"/>
        <v>0x0396</v>
      </c>
    </row>
    <row r="35" spans="2:21" ht="13.9" customHeight="1" x14ac:dyDescent="0.25">
      <c r="B35" s="399" t="s">
        <v>752</v>
      </c>
      <c r="C35" s="400" t="s">
        <v>753</v>
      </c>
      <c r="D35" s="401"/>
      <c r="E35" s="371">
        <v>23</v>
      </c>
      <c r="F35" s="372"/>
      <c r="G35" s="373" t="str">
        <f t="shared" si="14"/>
        <v>0x0017</v>
      </c>
      <c r="H35" s="374" t="str">
        <f t="shared" si="0"/>
        <v>0x0057</v>
      </c>
      <c r="I35" s="364" t="str">
        <f t="shared" si="1"/>
        <v>0x0097</v>
      </c>
      <c r="J35" s="364" t="str">
        <f t="shared" si="2"/>
        <v>0x00D7</v>
      </c>
      <c r="K35" s="364" t="str">
        <f t="shared" si="3"/>
        <v>0x0117</v>
      </c>
      <c r="L35" s="364" t="str">
        <f t="shared" si="4"/>
        <v>0x0157</v>
      </c>
      <c r="M35" s="364" t="str">
        <f t="shared" si="5"/>
        <v>0x0197</v>
      </c>
      <c r="N35" s="364" t="str">
        <f t="shared" si="6"/>
        <v>0x01D7</v>
      </c>
      <c r="O35" s="364" t="str">
        <f t="shared" si="7"/>
        <v>0x0217</v>
      </c>
      <c r="P35" s="364" t="str">
        <f t="shared" si="8"/>
        <v>0x0257</v>
      </c>
      <c r="Q35" s="364" t="str">
        <f t="shared" si="9"/>
        <v>0x0297</v>
      </c>
      <c r="R35" s="364" t="str">
        <f t="shared" si="10"/>
        <v>0x02D7</v>
      </c>
      <c r="S35" s="375" t="str">
        <f t="shared" si="11"/>
        <v>0x0317</v>
      </c>
      <c r="T35" s="376" t="str">
        <f t="shared" si="12"/>
        <v>0x0357</v>
      </c>
      <c r="U35" s="377" t="str">
        <f t="shared" si="13"/>
        <v>0x0397</v>
      </c>
    </row>
    <row r="36" spans="2:21" ht="13.9" customHeight="1" x14ac:dyDescent="0.25">
      <c r="B36" s="399" t="s">
        <v>754</v>
      </c>
      <c r="C36" s="400" t="s">
        <v>755</v>
      </c>
      <c r="D36" s="401"/>
      <c r="E36" s="371">
        <v>24</v>
      </c>
      <c r="F36" s="372"/>
      <c r="G36" s="373" t="str">
        <f t="shared" si="14"/>
        <v>0x0018</v>
      </c>
      <c r="H36" s="374" t="str">
        <f t="shared" si="0"/>
        <v>0x0058</v>
      </c>
      <c r="I36" s="364" t="str">
        <f t="shared" si="1"/>
        <v>0x0098</v>
      </c>
      <c r="J36" s="364" t="str">
        <f t="shared" si="2"/>
        <v>0x00D8</v>
      </c>
      <c r="K36" s="364" t="str">
        <f t="shared" si="3"/>
        <v>0x0118</v>
      </c>
      <c r="L36" s="364" t="str">
        <f t="shared" si="4"/>
        <v>0x0158</v>
      </c>
      <c r="M36" s="364" t="str">
        <f t="shared" si="5"/>
        <v>0x0198</v>
      </c>
      <c r="N36" s="364" t="str">
        <f t="shared" si="6"/>
        <v>0x01D8</v>
      </c>
      <c r="O36" s="364" t="str">
        <f t="shared" si="7"/>
        <v>0x0218</v>
      </c>
      <c r="P36" s="364" t="str">
        <f t="shared" si="8"/>
        <v>0x0258</v>
      </c>
      <c r="Q36" s="364" t="str">
        <f t="shared" si="9"/>
        <v>0x0298</v>
      </c>
      <c r="R36" s="364" t="str">
        <f t="shared" si="10"/>
        <v>0x02D8</v>
      </c>
      <c r="S36" s="375" t="str">
        <f t="shared" si="11"/>
        <v>0x0318</v>
      </c>
      <c r="T36" s="376" t="str">
        <f t="shared" si="12"/>
        <v>0x0358</v>
      </c>
      <c r="U36" s="377" t="str">
        <f t="shared" si="13"/>
        <v>0x0398</v>
      </c>
    </row>
    <row r="37" spans="2:21" ht="13.9" customHeight="1" x14ac:dyDescent="0.25">
      <c r="B37" s="378"/>
      <c r="C37" s="381" t="s">
        <v>742</v>
      </c>
      <c r="D37" s="401"/>
      <c r="E37" s="371">
        <v>25</v>
      </c>
      <c r="F37" s="372"/>
      <c r="G37" s="373" t="str">
        <f t="shared" si="14"/>
        <v>0x0019</v>
      </c>
      <c r="H37" s="374" t="str">
        <f t="shared" si="0"/>
        <v>0x0059</v>
      </c>
      <c r="I37" s="364" t="str">
        <f t="shared" si="1"/>
        <v>0x0099</v>
      </c>
      <c r="J37" s="364" t="str">
        <f t="shared" si="2"/>
        <v>0x00D9</v>
      </c>
      <c r="K37" s="364" t="str">
        <f t="shared" si="3"/>
        <v>0x0119</v>
      </c>
      <c r="L37" s="364" t="str">
        <f t="shared" si="4"/>
        <v>0x0159</v>
      </c>
      <c r="M37" s="364" t="str">
        <f t="shared" si="5"/>
        <v>0x0199</v>
      </c>
      <c r="N37" s="364" t="str">
        <f t="shared" si="6"/>
        <v>0x01D9</v>
      </c>
      <c r="O37" s="364" t="str">
        <f t="shared" si="7"/>
        <v>0x0219</v>
      </c>
      <c r="P37" s="364" t="str">
        <f t="shared" si="8"/>
        <v>0x0259</v>
      </c>
      <c r="Q37" s="364" t="str">
        <f t="shared" si="9"/>
        <v>0x0299</v>
      </c>
      <c r="R37" s="364" t="str">
        <f t="shared" si="10"/>
        <v>0x02D9</v>
      </c>
      <c r="S37" s="375" t="str">
        <f t="shared" si="11"/>
        <v>0x0319</v>
      </c>
      <c r="T37" s="376" t="str">
        <f t="shared" si="12"/>
        <v>0x0359</v>
      </c>
      <c r="U37" s="377" t="str">
        <f t="shared" si="13"/>
        <v>0x0399</v>
      </c>
    </row>
    <row r="38" spans="2:21" ht="13.9" customHeight="1" x14ac:dyDescent="0.25">
      <c r="B38" s="378"/>
      <c r="C38" s="400" t="s">
        <v>756</v>
      </c>
      <c r="D38" s="401"/>
      <c r="E38" s="371">
        <v>26</v>
      </c>
      <c r="F38" s="372"/>
      <c r="G38" s="373" t="str">
        <f t="shared" si="14"/>
        <v>0x001A</v>
      </c>
      <c r="H38" s="374" t="str">
        <f t="shared" si="0"/>
        <v>0x005A</v>
      </c>
      <c r="I38" s="364" t="str">
        <f t="shared" si="1"/>
        <v>0x009A</v>
      </c>
      <c r="J38" s="364" t="str">
        <f t="shared" si="2"/>
        <v>0x00DA</v>
      </c>
      <c r="K38" s="364" t="str">
        <f t="shared" si="3"/>
        <v>0x011A</v>
      </c>
      <c r="L38" s="364" t="str">
        <f t="shared" si="4"/>
        <v>0x015A</v>
      </c>
      <c r="M38" s="364" t="str">
        <f t="shared" si="5"/>
        <v>0x019A</v>
      </c>
      <c r="N38" s="364" t="str">
        <f t="shared" si="6"/>
        <v>0x01DA</v>
      </c>
      <c r="O38" s="364" t="str">
        <f t="shared" si="7"/>
        <v>0x021A</v>
      </c>
      <c r="P38" s="364" t="str">
        <f t="shared" si="8"/>
        <v>0x025A</v>
      </c>
      <c r="Q38" s="364" t="str">
        <f t="shared" si="9"/>
        <v>0x029A</v>
      </c>
      <c r="R38" s="364" t="str">
        <f t="shared" si="10"/>
        <v>0x02DA</v>
      </c>
      <c r="S38" s="375" t="str">
        <f t="shared" si="11"/>
        <v>0x031A</v>
      </c>
      <c r="T38" s="376" t="str">
        <f t="shared" si="12"/>
        <v>0x035A</v>
      </c>
      <c r="U38" s="377" t="str">
        <f t="shared" si="13"/>
        <v>0x039A</v>
      </c>
    </row>
    <row r="39" spans="2:21" ht="13.9" customHeight="1" x14ac:dyDescent="0.25">
      <c r="B39" s="378"/>
      <c r="C39" s="400" t="s">
        <v>757</v>
      </c>
      <c r="D39" s="401"/>
      <c r="E39" s="371">
        <v>27</v>
      </c>
      <c r="F39" s="372"/>
      <c r="G39" s="373" t="str">
        <f t="shared" si="14"/>
        <v>0x001B</v>
      </c>
      <c r="H39" s="374" t="str">
        <f t="shared" si="0"/>
        <v>0x005B</v>
      </c>
      <c r="I39" s="364" t="str">
        <f t="shared" si="1"/>
        <v>0x009B</v>
      </c>
      <c r="J39" s="364" t="str">
        <f t="shared" si="2"/>
        <v>0x00DB</v>
      </c>
      <c r="K39" s="364" t="str">
        <f t="shared" si="3"/>
        <v>0x011B</v>
      </c>
      <c r="L39" s="364" t="str">
        <f t="shared" si="4"/>
        <v>0x015B</v>
      </c>
      <c r="M39" s="364" t="str">
        <f t="shared" si="5"/>
        <v>0x019B</v>
      </c>
      <c r="N39" s="364" t="str">
        <f t="shared" si="6"/>
        <v>0x01DB</v>
      </c>
      <c r="O39" s="364" t="str">
        <f t="shared" si="7"/>
        <v>0x021B</v>
      </c>
      <c r="P39" s="364" t="str">
        <f t="shared" si="8"/>
        <v>0x025B</v>
      </c>
      <c r="Q39" s="364" t="str">
        <f t="shared" si="9"/>
        <v>0x029B</v>
      </c>
      <c r="R39" s="364" t="str">
        <f t="shared" si="10"/>
        <v>0x02DB</v>
      </c>
      <c r="S39" s="375" t="str">
        <f t="shared" si="11"/>
        <v>0x031B</v>
      </c>
      <c r="T39" s="376" t="str">
        <f t="shared" si="12"/>
        <v>0x035B</v>
      </c>
      <c r="U39" s="377" t="str">
        <f t="shared" si="13"/>
        <v>0x039B</v>
      </c>
    </row>
    <row r="40" spans="2:21" ht="13.9" customHeight="1" x14ac:dyDescent="0.25">
      <c r="B40" s="378"/>
      <c r="C40" s="381" t="s">
        <v>758</v>
      </c>
      <c r="D40" s="401"/>
      <c r="E40" s="371">
        <v>28</v>
      </c>
      <c r="F40" s="372"/>
      <c r="G40" s="373" t="str">
        <f t="shared" si="14"/>
        <v>0x001C</v>
      </c>
      <c r="H40" s="374" t="str">
        <f t="shared" si="0"/>
        <v>0x005C</v>
      </c>
      <c r="I40" s="364" t="str">
        <f t="shared" si="1"/>
        <v>0x009C</v>
      </c>
      <c r="J40" s="364" t="str">
        <f t="shared" si="2"/>
        <v>0x00DC</v>
      </c>
      <c r="K40" s="364" t="str">
        <f t="shared" si="3"/>
        <v>0x011C</v>
      </c>
      <c r="L40" s="364" t="str">
        <f t="shared" si="4"/>
        <v>0x015C</v>
      </c>
      <c r="M40" s="364" t="str">
        <f t="shared" si="5"/>
        <v>0x019C</v>
      </c>
      <c r="N40" s="364" t="str">
        <f t="shared" si="6"/>
        <v>0x01DC</v>
      </c>
      <c r="O40" s="364" t="str">
        <f t="shared" si="7"/>
        <v>0x021C</v>
      </c>
      <c r="P40" s="364" t="str">
        <f t="shared" si="8"/>
        <v>0x025C</v>
      </c>
      <c r="Q40" s="364" t="str">
        <f t="shared" si="9"/>
        <v>0x029C</v>
      </c>
      <c r="R40" s="364" t="str">
        <f t="shared" si="10"/>
        <v>0x02DC</v>
      </c>
      <c r="S40" s="375" t="str">
        <f t="shared" si="11"/>
        <v>0x031C</v>
      </c>
      <c r="T40" s="376" t="str">
        <f t="shared" si="12"/>
        <v>0x035C</v>
      </c>
      <c r="U40" s="377" t="str">
        <f t="shared" si="13"/>
        <v>0x039C</v>
      </c>
    </row>
    <row r="41" spans="2:21" ht="13.9" customHeight="1" x14ac:dyDescent="0.25">
      <c r="B41" s="380"/>
      <c r="C41" s="400" t="s">
        <v>759</v>
      </c>
      <c r="D41" s="401"/>
      <c r="E41" s="371">
        <v>29</v>
      </c>
      <c r="F41" s="372"/>
      <c r="G41" s="373" t="str">
        <f t="shared" si="14"/>
        <v>0x001D</v>
      </c>
      <c r="H41" s="374" t="str">
        <f t="shared" si="0"/>
        <v>0x005D</v>
      </c>
      <c r="I41" s="364" t="str">
        <f t="shared" si="1"/>
        <v>0x009D</v>
      </c>
      <c r="J41" s="364" t="str">
        <f t="shared" si="2"/>
        <v>0x00DD</v>
      </c>
      <c r="K41" s="364" t="str">
        <f t="shared" si="3"/>
        <v>0x011D</v>
      </c>
      <c r="L41" s="364" t="str">
        <f t="shared" si="4"/>
        <v>0x015D</v>
      </c>
      <c r="M41" s="364" t="str">
        <f t="shared" si="5"/>
        <v>0x019D</v>
      </c>
      <c r="N41" s="364" t="str">
        <f t="shared" si="6"/>
        <v>0x01DD</v>
      </c>
      <c r="O41" s="364" t="str">
        <f t="shared" si="7"/>
        <v>0x021D</v>
      </c>
      <c r="P41" s="364" t="str">
        <f t="shared" si="8"/>
        <v>0x025D</v>
      </c>
      <c r="Q41" s="364" t="str">
        <f t="shared" si="9"/>
        <v>0x029D</v>
      </c>
      <c r="R41" s="364" t="str">
        <f t="shared" si="10"/>
        <v>0x02DD</v>
      </c>
      <c r="S41" s="375" t="str">
        <f t="shared" si="11"/>
        <v>0x031D</v>
      </c>
      <c r="T41" s="376" t="str">
        <f t="shared" si="12"/>
        <v>0x035D</v>
      </c>
      <c r="U41" s="377" t="str">
        <f t="shared" si="13"/>
        <v>0x039D</v>
      </c>
    </row>
    <row r="42" spans="2:21" ht="13.9" customHeight="1" x14ac:dyDescent="0.25">
      <c r="B42" s="399" t="s">
        <v>760</v>
      </c>
      <c r="C42" s="400" t="s">
        <v>761</v>
      </c>
      <c r="D42" s="401"/>
      <c r="E42" s="371">
        <v>30</v>
      </c>
      <c r="F42" s="372"/>
      <c r="G42" s="373" t="str">
        <f t="shared" si="14"/>
        <v>0x001E</v>
      </c>
      <c r="H42" s="374" t="str">
        <f t="shared" si="0"/>
        <v>0x005E</v>
      </c>
      <c r="I42" s="364" t="str">
        <f t="shared" si="1"/>
        <v>0x009E</v>
      </c>
      <c r="J42" s="364" t="str">
        <f t="shared" si="2"/>
        <v>0x00DE</v>
      </c>
      <c r="K42" s="364" t="str">
        <f t="shared" si="3"/>
        <v>0x011E</v>
      </c>
      <c r="L42" s="364" t="str">
        <f t="shared" si="4"/>
        <v>0x015E</v>
      </c>
      <c r="M42" s="364" t="str">
        <f t="shared" si="5"/>
        <v>0x019E</v>
      </c>
      <c r="N42" s="364" t="str">
        <f t="shared" si="6"/>
        <v>0x01DE</v>
      </c>
      <c r="O42" s="364" t="str">
        <f t="shared" si="7"/>
        <v>0x021E</v>
      </c>
      <c r="P42" s="364" t="str">
        <f t="shared" si="8"/>
        <v>0x025E</v>
      </c>
      <c r="Q42" s="364" t="str">
        <f t="shared" si="9"/>
        <v>0x029E</v>
      </c>
      <c r="R42" s="364" t="str">
        <f t="shared" si="10"/>
        <v>0x02DE</v>
      </c>
      <c r="S42" s="375" t="str">
        <f t="shared" si="11"/>
        <v>0x031E</v>
      </c>
      <c r="T42" s="376" t="str">
        <f t="shared" si="12"/>
        <v>0x035E</v>
      </c>
      <c r="U42" s="377" t="str">
        <f t="shared" si="13"/>
        <v>0x039E</v>
      </c>
    </row>
    <row r="43" spans="2:21" ht="13.9" customHeight="1" thickBot="1" x14ac:dyDescent="0.3">
      <c r="B43" s="402"/>
      <c r="C43" s="382" t="s">
        <v>762</v>
      </c>
      <c r="D43" s="401"/>
      <c r="E43" s="384">
        <v>31</v>
      </c>
      <c r="F43" s="385"/>
      <c r="G43" s="386" t="str">
        <f t="shared" si="14"/>
        <v>0x001F</v>
      </c>
      <c r="H43" s="387" t="str">
        <f t="shared" si="0"/>
        <v>0x005F</v>
      </c>
      <c r="I43" s="388" t="str">
        <f t="shared" si="1"/>
        <v>0x009F</v>
      </c>
      <c r="J43" s="388" t="str">
        <f t="shared" si="2"/>
        <v>0x00DF</v>
      </c>
      <c r="K43" s="388" t="str">
        <f t="shared" si="3"/>
        <v>0x011F</v>
      </c>
      <c r="L43" s="388" t="str">
        <f t="shared" si="4"/>
        <v>0x015F</v>
      </c>
      <c r="M43" s="388" t="str">
        <f t="shared" si="5"/>
        <v>0x019F</v>
      </c>
      <c r="N43" s="388" t="str">
        <f t="shared" si="6"/>
        <v>0x01DF</v>
      </c>
      <c r="O43" s="388" t="str">
        <f t="shared" si="7"/>
        <v>0x021F</v>
      </c>
      <c r="P43" s="388" t="str">
        <f t="shared" si="8"/>
        <v>0x025F</v>
      </c>
      <c r="Q43" s="388" t="str">
        <f t="shared" si="9"/>
        <v>0x029F</v>
      </c>
      <c r="R43" s="388" t="str">
        <f t="shared" si="10"/>
        <v>0x02DF</v>
      </c>
      <c r="S43" s="389" t="str">
        <f t="shared" si="11"/>
        <v>0x031F</v>
      </c>
      <c r="T43" s="390" t="str">
        <f t="shared" si="12"/>
        <v>0x035F</v>
      </c>
      <c r="U43" s="391" t="str">
        <f t="shared" si="13"/>
        <v>0x039F</v>
      </c>
    </row>
    <row r="44" spans="2:21" ht="14.25" customHeight="1" thickTop="1" x14ac:dyDescent="0.25">
      <c r="B44" s="402"/>
      <c r="C44" s="403" t="s">
        <v>763</v>
      </c>
      <c r="D44" s="401"/>
      <c r="E44" s="394">
        <v>32</v>
      </c>
      <c r="F44" s="395">
        <v>3</v>
      </c>
      <c r="G44" s="396" t="str">
        <f t="shared" si="14"/>
        <v>0x0020</v>
      </c>
      <c r="H44" s="397" t="str">
        <f t="shared" si="0"/>
        <v>0x0060</v>
      </c>
      <c r="I44" s="398" t="str">
        <f t="shared" si="1"/>
        <v>0x00A0</v>
      </c>
      <c r="J44" s="398" t="str">
        <f t="shared" si="2"/>
        <v>0x00E0</v>
      </c>
      <c r="K44" s="398" t="str">
        <f t="shared" si="3"/>
        <v>0x0120</v>
      </c>
      <c r="L44" s="398" t="str">
        <f t="shared" si="4"/>
        <v>0x0160</v>
      </c>
      <c r="M44" s="398" t="str">
        <f t="shared" si="5"/>
        <v>0x01A0</v>
      </c>
      <c r="N44" s="398" t="str">
        <f t="shared" si="6"/>
        <v>0x01E0</v>
      </c>
      <c r="O44" s="398" t="str">
        <f t="shared" si="7"/>
        <v>0x0220</v>
      </c>
      <c r="P44" s="398" t="str">
        <f t="shared" si="8"/>
        <v>0x0260</v>
      </c>
      <c r="Q44" s="398" t="str">
        <f t="shared" si="9"/>
        <v>0x02A0</v>
      </c>
      <c r="R44" s="398" t="str">
        <f t="shared" si="10"/>
        <v>0x02E0</v>
      </c>
      <c r="S44" s="365" t="str">
        <f t="shared" si="11"/>
        <v>0x0320</v>
      </c>
      <c r="T44" s="366" t="str">
        <f t="shared" si="12"/>
        <v>0x0360</v>
      </c>
      <c r="U44" s="367" t="str">
        <f t="shared" si="13"/>
        <v>0x03A0</v>
      </c>
    </row>
    <row r="45" spans="2:21" ht="13.9" customHeight="1" x14ac:dyDescent="0.25">
      <c r="B45" s="402"/>
      <c r="C45" s="404" t="s">
        <v>764</v>
      </c>
      <c r="D45" s="401"/>
      <c r="E45" s="371">
        <v>33</v>
      </c>
      <c r="F45" s="372"/>
      <c r="G45" s="373" t="str">
        <f t="shared" si="14"/>
        <v>0x0021</v>
      </c>
      <c r="H45" s="374" t="str">
        <f t="shared" si="0"/>
        <v>0x0061</v>
      </c>
      <c r="I45" s="364" t="str">
        <f t="shared" si="1"/>
        <v>0x00A1</v>
      </c>
      <c r="J45" s="364" t="str">
        <f t="shared" si="2"/>
        <v>0x00E1</v>
      </c>
      <c r="K45" s="364" t="str">
        <f t="shared" si="3"/>
        <v>0x0121</v>
      </c>
      <c r="L45" s="364" t="str">
        <f t="shared" si="4"/>
        <v>0x0161</v>
      </c>
      <c r="M45" s="364" t="str">
        <f t="shared" si="5"/>
        <v>0x01A1</v>
      </c>
      <c r="N45" s="364" t="str">
        <f t="shared" si="6"/>
        <v>0x01E1</v>
      </c>
      <c r="O45" s="364" t="str">
        <f t="shared" si="7"/>
        <v>0x0221</v>
      </c>
      <c r="P45" s="364" t="str">
        <f t="shared" si="8"/>
        <v>0x0261</v>
      </c>
      <c r="Q45" s="364" t="str">
        <f t="shared" si="9"/>
        <v>0x02A1</v>
      </c>
      <c r="R45" s="364" t="str">
        <f t="shared" si="10"/>
        <v>0x02E1</v>
      </c>
      <c r="S45" s="375" t="str">
        <f t="shared" si="11"/>
        <v>0x0321</v>
      </c>
      <c r="T45" s="376" t="str">
        <f t="shared" si="12"/>
        <v>0x0361</v>
      </c>
      <c r="U45" s="377" t="str">
        <f t="shared" si="13"/>
        <v>0x03A1</v>
      </c>
    </row>
    <row r="46" spans="2:21" ht="13.9" customHeight="1" x14ac:dyDescent="0.25">
      <c r="B46" s="402"/>
      <c r="C46" s="404" t="s">
        <v>765</v>
      </c>
      <c r="D46" s="401"/>
      <c r="E46" s="371">
        <v>34</v>
      </c>
      <c r="F46" s="372"/>
      <c r="G46" s="373" t="str">
        <f t="shared" si="14"/>
        <v>0x0022</v>
      </c>
      <c r="H46" s="374" t="str">
        <f t="shared" si="0"/>
        <v>0x0062</v>
      </c>
      <c r="I46" s="364" t="str">
        <f t="shared" si="1"/>
        <v>0x00A2</v>
      </c>
      <c r="J46" s="364" t="str">
        <f t="shared" si="2"/>
        <v>0x00E2</v>
      </c>
      <c r="K46" s="364" t="str">
        <f t="shared" si="3"/>
        <v>0x0122</v>
      </c>
      <c r="L46" s="364" t="str">
        <f t="shared" si="4"/>
        <v>0x0162</v>
      </c>
      <c r="M46" s="364" t="str">
        <f t="shared" si="5"/>
        <v>0x01A2</v>
      </c>
      <c r="N46" s="364" t="str">
        <f t="shared" si="6"/>
        <v>0x01E2</v>
      </c>
      <c r="O46" s="364" t="str">
        <f t="shared" si="7"/>
        <v>0x0222</v>
      </c>
      <c r="P46" s="364" t="str">
        <f t="shared" si="8"/>
        <v>0x0262</v>
      </c>
      <c r="Q46" s="364" t="str">
        <f t="shared" si="9"/>
        <v>0x02A2</v>
      </c>
      <c r="R46" s="364" t="str">
        <f t="shared" si="10"/>
        <v>0x02E2</v>
      </c>
      <c r="S46" s="375" t="str">
        <f t="shared" si="11"/>
        <v>0x0322</v>
      </c>
      <c r="T46" s="376" t="str">
        <f t="shared" si="12"/>
        <v>0x0362</v>
      </c>
      <c r="U46" s="377" t="str">
        <f t="shared" si="13"/>
        <v>0x03A2</v>
      </c>
    </row>
    <row r="47" spans="2:21" ht="13.9" customHeight="1" x14ac:dyDescent="0.25">
      <c r="B47" s="402"/>
      <c r="C47" s="404" t="s">
        <v>766</v>
      </c>
      <c r="D47" s="401"/>
      <c r="E47" s="371">
        <v>35</v>
      </c>
      <c r="F47" s="372"/>
      <c r="G47" s="373" t="str">
        <f t="shared" si="14"/>
        <v>0x0023</v>
      </c>
      <c r="H47" s="374" t="str">
        <f t="shared" si="0"/>
        <v>0x0063</v>
      </c>
      <c r="I47" s="364" t="str">
        <f t="shared" si="1"/>
        <v>0x00A3</v>
      </c>
      <c r="J47" s="364" t="str">
        <f t="shared" si="2"/>
        <v>0x00E3</v>
      </c>
      <c r="K47" s="364" t="str">
        <f t="shared" si="3"/>
        <v>0x0123</v>
      </c>
      <c r="L47" s="364" t="str">
        <f t="shared" si="4"/>
        <v>0x0163</v>
      </c>
      <c r="M47" s="364" t="str">
        <f t="shared" si="5"/>
        <v>0x01A3</v>
      </c>
      <c r="N47" s="364" t="str">
        <f t="shared" si="6"/>
        <v>0x01E3</v>
      </c>
      <c r="O47" s="364" t="str">
        <f t="shared" si="7"/>
        <v>0x0223</v>
      </c>
      <c r="P47" s="364" t="str">
        <f t="shared" si="8"/>
        <v>0x0263</v>
      </c>
      <c r="Q47" s="364" t="str">
        <f t="shared" si="9"/>
        <v>0x02A3</v>
      </c>
      <c r="R47" s="364" t="str">
        <f t="shared" si="10"/>
        <v>0x02E3</v>
      </c>
      <c r="S47" s="375" t="str">
        <f t="shared" si="11"/>
        <v>0x0323</v>
      </c>
      <c r="T47" s="376" t="str">
        <f t="shared" si="12"/>
        <v>0x0363</v>
      </c>
      <c r="U47" s="377" t="str">
        <f t="shared" si="13"/>
        <v>0x03A3</v>
      </c>
    </row>
    <row r="48" spans="2:21" ht="13.9" customHeight="1" x14ac:dyDescent="0.25">
      <c r="B48" s="402"/>
      <c r="C48" s="404" t="s">
        <v>737</v>
      </c>
      <c r="D48" s="401"/>
      <c r="E48" s="371">
        <v>36</v>
      </c>
      <c r="F48" s="372"/>
      <c r="G48" s="373" t="str">
        <f t="shared" si="14"/>
        <v>0x0024</v>
      </c>
      <c r="H48" s="374" t="str">
        <f t="shared" si="0"/>
        <v>0x0064</v>
      </c>
      <c r="I48" s="364" t="str">
        <f t="shared" si="1"/>
        <v>0x00A4</v>
      </c>
      <c r="J48" s="364" t="str">
        <f t="shared" si="2"/>
        <v>0x00E4</v>
      </c>
      <c r="K48" s="364" t="str">
        <f t="shared" si="3"/>
        <v>0x0124</v>
      </c>
      <c r="L48" s="364" t="str">
        <f t="shared" si="4"/>
        <v>0x0164</v>
      </c>
      <c r="M48" s="364" t="str">
        <f t="shared" si="5"/>
        <v>0x01A4</v>
      </c>
      <c r="N48" s="364" t="str">
        <f t="shared" si="6"/>
        <v>0x01E4</v>
      </c>
      <c r="O48" s="364" t="str">
        <f t="shared" si="7"/>
        <v>0x0224</v>
      </c>
      <c r="P48" s="364" t="str">
        <f t="shared" si="8"/>
        <v>0x0264</v>
      </c>
      <c r="Q48" s="364" t="str">
        <f t="shared" si="9"/>
        <v>0x02A4</v>
      </c>
      <c r="R48" s="364" t="str">
        <f t="shared" si="10"/>
        <v>0x02E4</v>
      </c>
      <c r="S48" s="375" t="str">
        <f t="shared" si="11"/>
        <v>0x0324</v>
      </c>
      <c r="T48" s="376" t="str">
        <f t="shared" si="12"/>
        <v>0x0364</v>
      </c>
      <c r="U48" s="377" t="str">
        <f t="shared" si="13"/>
        <v>0x03A4</v>
      </c>
    </row>
    <row r="49" spans="2:21" ht="13.9" customHeight="1" x14ac:dyDescent="0.25">
      <c r="B49" s="402"/>
      <c r="C49" s="404" t="s">
        <v>737</v>
      </c>
      <c r="D49" s="401"/>
      <c r="E49" s="371">
        <v>37</v>
      </c>
      <c r="F49" s="372"/>
      <c r="G49" s="373" t="str">
        <f t="shared" si="14"/>
        <v>0x0025</v>
      </c>
      <c r="H49" s="374" t="str">
        <f t="shared" si="0"/>
        <v>0x0065</v>
      </c>
      <c r="I49" s="364" t="str">
        <f t="shared" si="1"/>
        <v>0x00A5</v>
      </c>
      <c r="J49" s="364" t="str">
        <f t="shared" si="2"/>
        <v>0x00E5</v>
      </c>
      <c r="K49" s="364" t="str">
        <f t="shared" si="3"/>
        <v>0x0125</v>
      </c>
      <c r="L49" s="364" t="str">
        <f t="shared" si="4"/>
        <v>0x0165</v>
      </c>
      <c r="M49" s="364" t="str">
        <f t="shared" si="5"/>
        <v>0x01A5</v>
      </c>
      <c r="N49" s="364" t="str">
        <f t="shared" si="6"/>
        <v>0x01E5</v>
      </c>
      <c r="O49" s="364" t="str">
        <f t="shared" si="7"/>
        <v>0x0225</v>
      </c>
      <c r="P49" s="364" t="str">
        <f t="shared" si="8"/>
        <v>0x0265</v>
      </c>
      <c r="Q49" s="364" t="str">
        <f t="shared" si="9"/>
        <v>0x02A5</v>
      </c>
      <c r="R49" s="364" t="str">
        <f t="shared" si="10"/>
        <v>0x02E5</v>
      </c>
      <c r="S49" s="375" t="str">
        <f t="shared" si="11"/>
        <v>0x0325</v>
      </c>
      <c r="T49" s="376" t="str">
        <f t="shared" si="12"/>
        <v>0x0365</v>
      </c>
      <c r="U49" s="377" t="str">
        <f t="shared" si="13"/>
        <v>0x03A5</v>
      </c>
    </row>
    <row r="50" spans="2:21" ht="13.9" customHeight="1" x14ac:dyDescent="0.25">
      <c r="B50" s="402"/>
      <c r="C50" s="404" t="s">
        <v>737</v>
      </c>
      <c r="D50" s="401"/>
      <c r="E50" s="371">
        <v>38</v>
      </c>
      <c r="F50" s="372"/>
      <c r="G50" s="373" t="str">
        <f t="shared" si="14"/>
        <v>0x0026</v>
      </c>
      <c r="H50" s="374" t="str">
        <f t="shared" si="0"/>
        <v>0x0066</v>
      </c>
      <c r="I50" s="364" t="str">
        <f t="shared" si="1"/>
        <v>0x00A6</v>
      </c>
      <c r="J50" s="364" t="str">
        <f t="shared" si="2"/>
        <v>0x00E6</v>
      </c>
      <c r="K50" s="364" t="str">
        <f t="shared" si="3"/>
        <v>0x0126</v>
      </c>
      <c r="L50" s="364" t="str">
        <f t="shared" si="4"/>
        <v>0x0166</v>
      </c>
      <c r="M50" s="364" t="str">
        <f t="shared" si="5"/>
        <v>0x01A6</v>
      </c>
      <c r="N50" s="364" t="str">
        <f t="shared" si="6"/>
        <v>0x01E6</v>
      </c>
      <c r="O50" s="364" t="str">
        <f t="shared" si="7"/>
        <v>0x0226</v>
      </c>
      <c r="P50" s="364" t="str">
        <f t="shared" si="8"/>
        <v>0x0266</v>
      </c>
      <c r="Q50" s="364" t="str">
        <f t="shared" si="9"/>
        <v>0x02A6</v>
      </c>
      <c r="R50" s="364" t="str">
        <f t="shared" si="10"/>
        <v>0x02E6</v>
      </c>
      <c r="S50" s="375" t="str">
        <f t="shared" si="11"/>
        <v>0x0326</v>
      </c>
      <c r="T50" s="376" t="str">
        <f t="shared" si="12"/>
        <v>0x0366</v>
      </c>
      <c r="U50" s="377" t="str">
        <f t="shared" si="13"/>
        <v>0x03A6</v>
      </c>
    </row>
    <row r="51" spans="2:21" ht="13.9" customHeight="1" x14ac:dyDescent="0.25">
      <c r="B51" s="402"/>
      <c r="C51" s="404" t="s">
        <v>737</v>
      </c>
      <c r="D51" s="401"/>
      <c r="E51" s="371">
        <v>39</v>
      </c>
      <c r="F51" s="372"/>
      <c r="G51" s="373" t="str">
        <f t="shared" si="14"/>
        <v>0x0027</v>
      </c>
      <c r="H51" s="374" t="str">
        <f t="shared" si="0"/>
        <v>0x0067</v>
      </c>
      <c r="I51" s="364" t="str">
        <f t="shared" si="1"/>
        <v>0x00A7</v>
      </c>
      <c r="J51" s="364" t="str">
        <f t="shared" si="2"/>
        <v>0x00E7</v>
      </c>
      <c r="K51" s="364" t="str">
        <f t="shared" si="3"/>
        <v>0x0127</v>
      </c>
      <c r="L51" s="364" t="str">
        <f t="shared" si="4"/>
        <v>0x0167</v>
      </c>
      <c r="M51" s="364" t="str">
        <f t="shared" si="5"/>
        <v>0x01A7</v>
      </c>
      <c r="N51" s="364" t="str">
        <f t="shared" si="6"/>
        <v>0x01E7</v>
      </c>
      <c r="O51" s="364" t="str">
        <f t="shared" si="7"/>
        <v>0x0227</v>
      </c>
      <c r="P51" s="364" t="str">
        <f t="shared" si="8"/>
        <v>0x0267</v>
      </c>
      <c r="Q51" s="364" t="str">
        <f t="shared" si="9"/>
        <v>0x02A7</v>
      </c>
      <c r="R51" s="364" t="str">
        <f t="shared" si="10"/>
        <v>0x02E7</v>
      </c>
      <c r="S51" s="375" t="str">
        <f t="shared" si="11"/>
        <v>0x0327</v>
      </c>
      <c r="T51" s="376" t="str">
        <f t="shared" si="12"/>
        <v>0x0367</v>
      </c>
      <c r="U51" s="377" t="str">
        <f t="shared" si="13"/>
        <v>0x03A7</v>
      </c>
    </row>
    <row r="52" spans="2:21" ht="13.9" customHeight="1" x14ac:dyDescent="0.25">
      <c r="B52" s="402"/>
      <c r="C52" s="404" t="s">
        <v>737</v>
      </c>
      <c r="D52" s="401"/>
      <c r="E52" s="371">
        <v>40</v>
      </c>
      <c r="F52" s="372"/>
      <c r="G52" s="373" t="str">
        <f t="shared" si="14"/>
        <v>0x0028</v>
      </c>
      <c r="H52" s="374" t="str">
        <f t="shared" si="0"/>
        <v>0x0068</v>
      </c>
      <c r="I52" s="364" t="str">
        <f t="shared" si="1"/>
        <v>0x00A8</v>
      </c>
      <c r="J52" s="364" t="str">
        <f t="shared" si="2"/>
        <v>0x00E8</v>
      </c>
      <c r="K52" s="364" t="str">
        <f t="shared" si="3"/>
        <v>0x0128</v>
      </c>
      <c r="L52" s="364" t="str">
        <f t="shared" si="4"/>
        <v>0x0168</v>
      </c>
      <c r="M52" s="364" t="str">
        <f t="shared" si="5"/>
        <v>0x01A8</v>
      </c>
      <c r="N52" s="364" t="str">
        <f t="shared" si="6"/>
        <v>0x01E8</v>
      </c>
      <c r="O52" s="364" t="str">
        <f t="shared" si="7"/>
        <v>0x0228</v>
      </c>
      <c r="P52" s="364" t="str">
        <f t="shared" si="8"/>
        <v>0x0268</v>
      </c>
      <c r="Q52" s="364" t="str">
        <f t="shared" si="9"/>
        <v>0x02A8</v>
      </c>
      <c r="R52" s="364" t="str">
        <f t="shared" si="10"/>
        <v>0x02E8</v>
      </c>
      <c r="S52" s="375" t="str">
        <f t="shared" si="11"/>
        <v>0x0328</v>
      </c>
      <c r="T52" s="376" t="str">
        <f t="shared" si="12"/>
        <v>0x0368</v>
      </c>
      <c r="U52" s="377" t="str">
        <f t="shared" si="13"/>
        <v>0x03A8</v>
      </c>
    </row>
    <row r="53" spans="2:21" ht="13.9" customHeight="1" x14ac:dyDescent="0.25">
      <c r="B53" s="402"/>
      <c r="C53" s="404" t="s">
        <v>737</v>
      </c>
      <c r="D53" s="401"/>
      <c r="E53" s="371">
        <v>41</v>
      </c>
      <c r="F53" s="372"/>
      <c r="G53" s="373" t="str">
        <f t="shared" si="14"/>
        <v>0x0029</v>
      </c>
      <c r="H53" s="374" t="str">
        <f t="shared" si="0"/>
        <v>0x0069</v>
      </c>
      <c r="I53" s="364" t="str">
        <f t="shared" si="1"/>
        <v>0x00A9</v>
      </c>
      <c r="J53" s="364" t="str">
        <f t="shared" si="2"/>
        <v>0x00E9</v>
      </c>
      <c r="K53" s="364" t="str">
        <f t="shared" si="3"/>
        <v>0x0129</v>
      </c>
      <c r="L53" s="364" t="str">
        <f t="shared" si="4"/>
        <v>0x0169</v>
      </c>
      <c r="M53" s="364" t="str">
        <f t="shared" si="5"/>
        <v>0x01A9</v>
      </c>
      <c r="N53" s="364" t="str">
        <f t="shared" si="6"/>
        <v>0x01E9</v>
      </c>
      <c r="O53" s="364" t="str">
        <f t="shared" si="7"/>
        <v>0x0229</v>
      </c>
      <c r="P53" s="364" t="str">
        <f t="shared" si="8"/>
        <v>0x0269</v>
      </c>
      <c r="Q53" s="364" t="str">
        <f t="shared" si="9"/>
        <v>0x02A9</v>
      </c>
      <c r="R53" s="364" t="str">
        <f t="shared" si="10"/>
        <v>0x02E9</v>
      </c>
      <c r="S53" s="375" t="str">
        <f t="shared" si="11"/>
        <v>0x0329</v>
      </c>
      <c r="T53" s="376" t="str">
        <f t="shared" si="12"/>
        <v>0x0369</v>
      </c>
      <c r="U53" s="377" t="str">
        <f t="shared" si="13"/>
        <v>0x03A9</v>
      </c>
    </row>
    <row r="54" spans="2:21" ht="13.9" customHeight="1" x14ac:dyDescent="0.25">
      <c r="B54" s="402"/>
      <c r="C54" s="404" t="s">
        <v>737</v>
      </c>
      <c r="D54" s="401"/>
      <c r="E54" s="371">
        <v>42</v>
      </c>
      <c r="F54" s="372"/>
      <c r="G54" s="373" t="str">
        <f t="shared" si="14"/>
        <v>0x002A</v>
      </c>
      <c r="H54" s="374" t="str">
        <f t="shared" si="0"/>
        <v>0x006A</v>
      </c>
      <c r="I54" s="364" t="str">
        <f t="shared" si="1"/>
        <v>0x00AA</v>
      </c>
      <c r="J54" s="364" t="str">
        <f t="shared" si="2"/>
        <v>0x00EA</v>
      </c>
      <c r="K54" s="364" t="str">
        <f t="shared" si="3"/>
        <v>0x012A</v>
      </c>
      <c r="L54" s="364" t="str">
        <f t="shared" si="4"/>
        <v>0x016A</v>
      </c>
      <c r="M54" s="364" t="str">
        <f t="shared" si="5"/>
        <v>0x01AA</v>
      </c>
      <c r="N54" s="364" t="str">
        <f t="shared" si="6"/>
        <v>0x01EA</v>
      </c>
      <c r="O54" s="364" t="str">
        <f t="shared" si="7"/>
        <v>0x022A</v>
      </c>
      <c r="P54" s="364" t="str">
        <f t="shared" si="8"/>
        <v>0x026A</v>
      </c>
      <c r="Q54" s="364" t="str">
        <f t="shared" si="9"/>
        <v>0x02AA</v>
      </c>
      <c r="R54" s="364" t="str">
        <f t="shared" si="10"/>
        <v>0x02EA</v>
      </c>
      <c r="S54" s="375" t="str">
        <f t="shared" si="11"/>
        <v>0x032A</v>
      </c>
      <c r="T54" s="376" t="str">
        <f t="shared" si="12"/>
        <v>0x036A</v>
      </c>
      <c r="U54" s="377" t="str">
        <f t="shared" si="13"/>
        <v>0x03AA</v>
      </c>
    </row>
    <row r="55" spans="2:21" ht="13.9" customHeight="1" x14ac:dyDescent="0.25">
      <c r="B55" s="402"/>
      <c r="C55" s="404" t="s">
        <v>737</v>
      </c>
      <c r="D55" s="401"/>
      <c r="E55" s="371">
        <v>43</v>
      </c>
      <c r="F55" s="372"/>
      <c r="G55" s="373" t="str">
        <f t="shared" si="14"/>
        <v>0x002B</v>
      </c>
      <c r="H55" s="374" t="str">
        <f t="shared" si="0"/>
        <v>0x006B</v>
      </c>
      <c r="I55" s="364" t="str">
        <f t="shared" si="1"/>
        <v>0x00AB</v>
      </c>
      <c r="J55" s="364" t="str">
        <f t="shared" si="2"/>
        <v>0x00EB</v>
      </c>
      <c r="K55" s="364" t="str">
        <f t="shared" si="3"/>
        <v>0x012B</v>
      </c>
      <c r="L55" s="364" t="str">
        <f t="shared" si="4"/>
        <v>0x016B</v>
      </c>
      <c r="M55" s="364" t="str">
        <f t="shared" si="5"/>
        <v>0x01AB</v>
      </c>
      <c r="N55" s="364" t="str">
        <f t="shared" si="6"/>
        <v>0x01EB</v>
      </c>
      <c r="O55" s="364" t="str">
        <f t="shared" si="7"/>
        <v>0x022B</v>
      </c>
      <c r="P55" s="364" t="str">
        <f t="shared" si="8"/>
        <v>0x026B</v>
      </c>
      <c r="Q55" s="364" t="str">
        <f t="shared" si="9"/>
        <v>0x02AB</v>
      </c>
      <c r="R55" s="364" t="str">
        <f t="shared" si="10"/>
        <v>0x02EB</v>
      </c>
      <c r="S55" s="375" t="str">
        <f t="shared" si="11"/>
        <v>0x032B</v>
      </c>
      <c r="T55" s="376" t="str">
        <f t="shared" si="12"/>
        <v>0x036B</v>
      </c>
      <c r="U55" s="377" t="str">
        <f t="shared" si="13"/>
        <v>0x03AB</v>
      </c>
    </row>
    <row r="56" spans="2:21" ht="13.9" customHeight="1" x14ac:dyDescent="0.25">
      <c r="B56" s="402"/>
      <c r="C56" s="404" t="s">
        <v>737</v>
      </c>
      <c r="D56" s="401"/>
      <c r="E56" s="371">
        <v>44</v>
      </c>
      <c r="F56" s="372"/>
      <c r="G56" s="373" t="str">
        <f t="shared" si="14"/>
        <v>0x002C</v>
      </c>
      <c r="H56" s="374" t="str">
        <f t="shared" si="0"/>
        <v>0x006C</v>
      </c>
      <c r="I56" s="364" t="str">
        <f t="shared" si="1"/>
        <v>0x00AC</v>
      </c>
      <c r="J56" s="364" t="str">
        <f t="shared" si="2"/>
        <v>0x00EC</v>
      </c>
      <c r="K56" s="364" t="str">
        <f t="shared" si="3"/>
        <v>0x012C</v>
      </c>
      <c r="L56" s="364" t="str">
        <f t="shared" si="4"/>
        <v>0x016C</v>
      </c>
      <c r="M56" s="364" t="str">
        <f t="shared" si="5"/>
        <v>0x01AC</v>
      </c>
      <c r="N56" s="364" t="str">
        <f t="shared" si="6"/>
        <v>0x01EC</v>
      </c>
      <c r="O56" s="364" t="str">
        <f t="shared" si="7"/>
        <v>0x022C</v>
      </c>
      <c r="P56" s="364" t="str">
        <f t="shared" si="8"/>
        <v>0x026C</v>
      </c>
      <c r="Q56" s="364" t="str">
        <f t="shared" si="9"/>
        <v>0x02AC</v>
      </c>
      <c r="R56" s="364" t="str">
        <f t="shared" si="10"/>
        <v>0x02EC</v>
      </c>
      <c r="S56" s="375" t="str">
        <f t="shared" si="11"/>
        <v>0x032C</v>
      </c>
      <c r="T56" s="376" t="str">
        <f t="shared" si="12"/>
        <v>0x036C</v>
      </c>
      <c r="U56" s="377" t="str">
        <f t="shared" si="13"/>
        <v>0x03AC</v>
      </c>
    </row>
    <row r="57" spans="2:21" ht="13.9" customHeight="1" x14ac:dyDescent="0.25">
      <c r="B57" s="402"/>
      <c r="C57" s="404" t="s">
        <v>737</v>
      </c>
      <c r="D57" s="401"/>
      <c r="E57" s="371">
        <v>45</v>
      </c>
      <c r="F57" s="372"/>
      <c r="G57" s="373" t="str">
        <f t="shared" si="14"/>
        <v>0x002D</v>
      </c>
      <c r="H57" s="374" t="str">
        <f t="shared" si="0"/>
        <v>0x006D</v>
      </c>
      <c r="I57" s="364" t="str">
        <f t="shared" si="1"/>
        <v>0x00AD</v>
      </c>
      <c r="J57" s="364" t="str">
        <f t="shared" si="2"/>
        <v>0x00ED</v>
      </c>
      <c r="K57" s="364" t="str">
        <f t="shared" si="3"/>
        <v>0x012D</v>
      </c>
      <c r="L57" s="364" t="str">
        <f t="shared" si="4"/>
        <v>0x016D</v>
      </c>
      <c r="M57" s="364" t="str">
        <f t="shared" si="5"/>
        <v>0x01AD</v>
      </c>
      <c r="N57" s="364" t="str">
        <f t="shared" si="6"/>
        <v>0x01ED</v>
      </c>
      <c r="O57" s="364" t="str">
        <f t="shared" si="7"/>
        <v>0x022D</v>
      </c>
      <c r="P57" s="364" t="str">
        <f t="shared" si="8"/>
        <v>0x026D</v>
      </c>
      <c r="Q57" s="364" t="str">
        <f t="shared" si="9"/>
        <v>0x02AD</v>
      </c>
      <c r="R57" s="364" t="str">
        <f t="shared" si="10"/>
        <v>0x02ED</v>
      </c>
      <c r="S57" s="375" t="str">
        <f t="shared" si="11"/>
        <v>0x032D</v>
      </c>
      <c r="T57" s="376" t="str">
        <f t="shared" si="12"/>
        <v>0x036D</v>
      </c>
      <c r="U57" s="377" t="str">
        <f t="shared" si="13"/>
        <v>0x03AD</v>
      </c>
    </row>
    <row r="58" spans="2:21" ht="13.9" customHeight="1" x14ac:dyDescent="0.25">
      <c r="B58" s="402"/>
      <c r="C58" s="404" t="s">
        <v>737</v>
      </c>
      <c r="D58" s="401"/>
      <c r="E58" s="371">
        <v>46</v>
      </c>
      <c r="F58" s="372"/>
      <c r="G58" s="373" t="str">
        <f t="shared" si="14"/>
        <v>0x002E</v>
      </c>
      <c r="H58" s="374" t="str">
        <f t="shared" si="0"/>
        <v>0x006E</v>
      </c>
      <c r="I58" s="364" t="str">
        <f t="shared" si="1"/>
        <v>0x00AE</v>
      </c>
      <c r="J58" s="364" t="str">
        <f t="shared" si="2"/>
        <v>0x00EE</v>
      </c>
      <c r="K58" s="364" t="str">
        <f t="shared" si="3"/>
        <v>0x012E</v>
      </c>
      <c r="L58" s="364" t="str">
        <f t="shared" si="4"/>
        <v>0x016E</v>
      </c>
      <c r="M58" s="364" t="str">
        <f t="shared" si="5"/>
        <v>0x01AE</v>
      </c>
      <c r="N58" s="364" t="str">
        <f t="shared" si="6"/>
        <v>0x01EE</v>
      </c>
      <c r="O58" s="364" t="str">
        <f t="shared" si="7"/>
        <v>0x022E</v>
      </c>
      <c r="P58" s="364" t="str">
        <f t="shared" si="8"/>
        <v>0x026E</v>
      </c>
      <c r="Q58" s="364" t="str">
        <f t="shared" si="9"/>
        <v>0x02AE</v>
      </c>
      <c r="R58" s="364" t="str">
        <f t="shared" si="10"/>
        <v>0x02EE</v>
      </c>
      <c r="S58" s="375" t="str">
        <f t="shared" si="11"/>
        <v>0x032E</v>
      </c>
      <c r="T58" s="376" t="str">
        <f t="shared" si="12"/>
        <v>0x036E</v>
      </c>
      <c r="U58" s="377" t="str">
        <f t="shared" si="13"/>
        <v>0x03AE</v>
      </c>
    </row>
    <row r="59" spans="2:21" ht="13.9" customHeight="1" thickBot="1" x14ac:dyDescent="0.3">
      <c r="B59" s="402"/>
      <c r="C59" s="405" t="s">
        <v>737</v>
      </c>
      <c r="D59" s="406"/>
      <c r="E59" s="384">
        <v>47</v>
      </c>
      <c r="F59" s="385"/>
      <c r="G59" s="386" t="str">
        <f t="shared" si="14"/>
        <v>0x002F</v>
      </c>
      <c r="H59" s="387" t="str">
        <f t="shared" si="0"/>
        <v>0x006F</v>
      </c>
      <c r="I59" s="388" t="str">
        <f t="shared" si="1"/>
        <v>0x00AF</v>
      </c>
      <c r="J59" s="388" t="str">
        <f t="shared" si="2"/>
        <v>0x00EF</v>
      </c>
      <c r="K59" s="388" t="str">
        <f t="shared" si="3"/>
        <v>0x012F</v>
      </c>
      <c r="L59" s="388" t="str">
        <f t="shared" si="4"/>
        <v>0x016F</v>
      </c>
      <c r="M59" s="388" t="str">
        <f t="shared" si="5"/>
        <v>0x01AF</v>
      </c>
      <c r="N59" s="388" t="str">
        <f t="shared" si="6"/>
        <v>0x01EF</v>
      </c>
      <c r="O59" s="388" t="str">
        <f t="shared" si="7"/>
        <v>0x022F</v>
      </c>
      <c r="P59" s="388" t="str">
        <f t="shared" si="8"/>
        <v>0x026F</v>
      </c>
      <c r="Q59" s="388" t="str">
        <f t="shared" si="9"/>
        <v>0x02AF</v>
      </c>
      <c r="R59" s="388" t="str">
        <f t="shared" si="10"/>
        <v>0x02EF</v>
      </c>
      <c r="S59" s="389" t="str">
        <f t="shared" si="11"/>
        <v>0x032F</v>
      </c>
      <c r="T59" s="390" t="str">
        <f t="shared" si="12"/>
        <v>0x036F</v>
      </c>
      <c r="U59" s="391" t="str">
        <f t="shared" si="13"/>
        <v>0x03AF</v>
      </c>
    </row>
    <row r="60" spans="2:21" ht="14.25" customHeight="1" thickTop="1" x14ac:dyDescent="0.25">
      <c r="B60" s="402"/>
      <c r="C60" s="407" t="s">
        <v>737</v>
      </c>
      <c r="D60" s="408"/>
      <c r="E60" s="394">
        <v>48</v>
      </c>
      <c r="F60" s="409">
        <v>4</v>
      </c>
      <c r="G60" s="396" t="str">
        <f t="shared" si="14"/>
        <v>0x0030</v>
      </c>
      <c r="H60" s="397" t="str">
        <f t="shared" si="0"/>
        <v>0x0070</v>
      </c>
      <c r="I60" s="398" t="str">
        <f t="shared" si="1"/>
        <v>0x00B0</v>
      </c>
      <c r="J60" s="398" t="str">
        <f t="shared" si="2"/>
        <v>0x00F0</v>
      </c>
      <c r="K60" s="398" t="str">
        <f t="shared" si="3"/>
        <v>0x0130</v>
      </c>
      <c r="L60" s="398" t="str">
        <f t="shared" si="4"/>
        <v>0x0170</v>
      </c>
      <c r="M60" s="398" t="str">
        <f t="shared" si="5"/>
        <v>0x01B0</v>
      </c>
      <c r="N60" s="398" t="str">
        <f t="shared" si="6"/>
        <v>0x01F0</v>
      </c>
      <c r="O60" s="398" t="str">
        <f t="shared" si="7"/>
        <v>0x0230</v>
      </c>
      <c r="P60" s="398" t="str">
        <f t="shared" si="8"/>
        <v>0x0270</v>
      </c>
      <c r="Q60" s="398" t="str">
        <f t="shared" si="9"/>
        <v>0x02B0</v>
      </c>
      <c r="R60" s="398" t="str">
        <f t="shared" si="10"/>
        <v>0x02F0</v>
      </c>
      <c r="S60" s="365" t="str">
        <f t="shared" si="11"/>
        <v>0x0330</v>
      </c>
      <c r="T60" s="366" t="str">
        <f t="shared" si="12"/>
        <v>0x0370</v>
      </c>
      <c r="U60" s="367" t="str">
        <f t="shared" si="13"/>
        <v>0x03B0</v>
      </c>
    </row>
    <row r="61" spans="2:21" ht="13.5" customHeight="1" x14ac:dyDescent="0.25">
      <c r="B61" s="402"/>
      <c r="C61" s="410" t="s">
        <v>737</v>
      </c>
      <c r="D61" s="411"/>
      <c r="E61" s="371">
        <v>49</v>
      </c>
      <c r="F61" s="412"/>
      <c r="G61" s="373" t="str">
        <f t="shared" si="14"/>
        <v>0x0031</v>
      </c>
      <c r="H61" s="374" t="str">
        <f t="shared" si="0"/>
        <v>0x0071</v>
      </c>
      <c r="I61" s="364" t="str">
        <f t="shared" si="1"/>
        <v>0x00B1</v>
      </c>
      <c r="J61" s="364" t="str">
        <f t="shared" si="2"/>
        <v>0x00F1</v>
      </c>
      <c r="K61" s="364" t="str">
        <f t="shared" si="3"/>
        <v>0x0131</v>
      </c>
      <c r="L61" s="364" t="str">
        <f t="shared" si="4"/>
        <v>0x0171</v>
      </c>
      <c r="M61" s="364" t="str">
        <f t="shared" si="5"/>
        <v>0x01B1</v>
      </c>
      <c r="N61" s="364" t="str">
        <f t="shared" si="6"/>
        <v>0x01F1</v>
      </c>
      <c r="O61" s="364" t="str">
        <f t="shared" si="7"/>
        <v>0x0231</v>
      </c>
      <c r="P61" s="364" t="str">
        <f t="shared" si="8"/>
        <v>0x0271</v>
      </c>
      <c r="Q61" s="364" t="str">
        <f t="shared" si="9"/>
        <v>0x02B1</v>
      </c>
      <c r="R61" s="364" t="str">
        <f t="shared" si="10"/>
        <v>0x02F1</v>
      </c>
      <c r="S61" s="375" t="str">
        <f t="shared" si="11"/>
        <v>0x0331</v>
      </c>
      <c r="T61" s="376" t="str">
        <f t="shared" si="12"/>
        <v>0x0371</v>
      </c>
      <c r="U61" s="377" t="str">
        <f t="shared" si="13"/>
        <v>0x03B1</v>
      </c>
    </row>
    <row r="62" spans="2:21" ht="13.5" customHeight="1" x14ac:dyDescent="0.25">
      <c r="B62" s="402"/>
      <c r="C62" s="410" t="s">
        <v>737</v>
      </c>
      <c r="D62" s="411"/>
      <c r="E62" s="371">
        <v>50</v>
      </c>
      <c r="F62" s="412"/>
      <c r="G62" s="373" t="str">
        <f t="shared" si="14"/>
        <v>0x0032</v>
      </c>
      <c r="H62" s="374" t="str">
        <f t="shared" si="0"/>
        <v>0x0072</v>
      </c>
      <c r="I62" s="364" t="str">
        <f t="shared" si="1"/>
        <v>0x00B2</v>
      </c>
      <c r="J62" s="364" t="str">
        <f t="shared" si="2"/>
        <v>0x00F2</v>
      </c>
      <c r="K62" s="364" t="str">
        <f t="shared" si="3"/>
        <v>0x0132</v>
      </c>
      <c r="L62" s="364" t="str">
        <f t="shared" si="4"/>
        <v>0x0172</v>
      </c>
      <c r="M62" s="364" t="str">
        <f t="shared" si="5"/>
        <v>0x01B2</v>
      </c>
      <c r="N62" s="364" t="str">
        <f t="shared" si="6"/>
        <v>0x01F2</v>
      </c>
      <c r="O62" s="364" t="str">
        <f t="shared" si="7"/>
        <v>0x0232</v>
      </c>
      <c r="P62" s="364" t="str">
        <f t="shared" si="8"/>
        <v>0x0272</v>
      </c>
      <c r="Q62" s="364" t="str">
        <f t="shared" si="9"/>
        <v>0x02B2</v>
      </c>
      <c r="R62" s="364" t="str">
        <f t="shared" si="10"/>
        <v>0x02F2</v>
      </c>
      <c r="S62" s="375" t="str">
        <f t="shared" si="11"/>
        <v>0x0332</v>
      </c>
      <c r="T62" s="376" t="str">
        <f t="shared" si="12"/>
        <v>0x0372</v>
      </c>
      <c r="U62" s="377" t="str">
        <f t="shared" si="13"/>
        <v>0x03B2</v>
      </c>
    </row>
    <row r="63" spans="2:21" ht="13.5" customHeight="1" x14ac:dyDescent="0.25">
      <c r="B63" s="402"/>
      <c r="C63" s="410" t="s">
        <v>737</v>
      </c>
      <c r="D63" s="411"/>
      <c r="E63" s="371">
        <v>51</v>
      </c>
      <c r="F63" s="412"/>
      <c r="G63" s="373" t="str">
        <f t="shared" si="14"/>
        <v>0x0033</v>
      </c>
      <c r="H63" s="374" t="str">
        <f t="shared" si="0"/>
        <v>0x0073</v>
      </c>
      <c r="I63" s="364" t="str">
        <f t="shared" si="1"/>
        <v>0x00B3</v>
      </c>
      <c r="J63" s="364" t="str">
        <f t="shared" si="2"/>
        <v>0x00F3</v>
      </c>
      <c r="K63" s="364" t="str">
        <f t="shared" si="3"/>
        <v>0x0133</v>
      </c>
      <c r="L63" s="364" t="str">
        <f t="shared" si="4"/>
        <v>0x0173</v>
      </c>
      <c r="M63" s="364" t="str">
        <f t="shared" si="5"/>
        <v>0x01B3</v>
      </c>
      <c r="N63" s="364" t="str">
        <f t="shared" si="6"/>
        <v>0x01F3</v>
      </c>
      <c r="O63" s="364" t="str">
        <f t="shared" si="7"/>
        <v>0x0233</v>
      </c>
      <c r="P63" s="364" t="str">
        <f t="shared" si="8"/>
        <v>0x0273</v>
      </c>
      <c r="Q63" s="364" t="str">
        <f t="shared" si="9"/>
        <v>0x02B3</v>
      </c>
      <c r="R63" s="364" t="str">
        <f t="shared" si="10"/>
        <v>0x02F3</v>
      </c>
      <c r="S63" s="375" t="str">
        <f t="shared" si="11"/>
        <v>0x0333</v>
      </c>
      <c r="T63" s="376" t="str">
        <f t="shared" si="12"/>
        <v>0x0373</v>
      </c>
      <c r="U63" s="377" t="str">
        <f t="shared" si="13"/>
        <v>0x03B3</v>
      </c>
    </row>
    <row r="64" spans="2:21" ht="13.5" customHeight="1" x14ac:dyDescent="0.25">
      <c r="B64" s="402"/>
      <c r="C64" s="410" t="s">
        <v>737</v>
      </c>
      <c r="D64" s="411"/>
      <c r="E64" s="371">
        <v>52</v>
      </c>
      <c r="F64" s="412"/>
      <c r="G64" s="373" t="str">
        <f t="shared" si="14"/>
        <v>0x0034</v>
      </c>
      <c r="H64" s="374" t="str">
        <f t="shared" si="0"/>
        <v>0x0074</v>
      </c>
      <c r="I64" s="364" t="str">
        <f t="shared" si="1"/>
        <v>0x00B4</v>
      </c>
      <c r="J64" s="364" t="str">
        <f t="shared" si="2"/>
        <v>0x00F4</v>
      </c>
      <c r="K64" s="364" t="str">
        <f t="shared" si="3"/>
        <v>0x0134</v>
      </c>
      <c r="L64" s="364" t="str">
        <f t="shared" si="4"/>
        <v>0x0174</v>
      </c>
      <c r="M64" s="364" t="str">
        <f t="shared" si="5"/>
        <v>0x01B4</v>
      </c>
      <c r="N64" s="364" t="str">
        <f t="shared" si="6"/>
        <v>0x01F4</v>
      </c>
      <c r="O64" s="364" t="str">
        <f t="shared" si="7"/>
        <v>0x0234</v>
      </c>
      <c r="P64" s="364" t="str">
        <f t="shared" si="8"/>
        <v>0x0274</v>
      </c>
      <c r="Q64" s="364" t="str">
        <f t="shared" si="9"/>
        <v>0x02B4</v>
      </c>
      <c r="R64" s="364" t="str">
        <f t="shared" si="10"/>
        <v>0x02F4</v>
      </c>
      <c r="S64" s="375" t="str">
        <f t="shared" si="11"/>
        <v>0x0334</v>
      </c>
      <c r="T64" s="376" t="str">
        <f t="shared" si="12"/>
        <v>0x0374</v>
      </c>
      <c r="U64" s="377" t="str">
        <f t="shared" si="13"/>
        <v>0x03B4</v>
      </c>
    </row>
    <row r="65" spans="2:22" ht="13.5" customHeight="1" x14ac:dyDescent="0.25">
      <c r="B65" s="402"/>
      <c r="C65" s="410" t="s">
        <v>737</v>
      </c>
      <c r="D65" s="411"/>
      <c r="E65" s="371">
        <v>53</v>
      </c>
      <c r="F65" s="412"/>
      <c r="G65" s="373" t="str">
        <f t="shared" si="14"/>
        <v>0x0035</v>
      </c>
      <c r="H65" s="374" t="str">
        <f t="shared" si="0"/>
        <v>0x0075</v>
      </c>
      <c r="I65" s="364" t="str">
        <f t="shared" si="1"/>
        <v>0x00B5</v>
      </c>
      <c r="J65" s="364" t="str">
        <f t="shared" si="2"/>
        <v>0x00F5</v>
      </c>
      <c r="K65" s="364" t="str">
        <f t="shared" si="3"/>
        <v>0x0135</v>
      </c>
      <c r="L65" s="364" t="str">
        <f t="shared" si="4"/>
        <v>0x0175</v>
      </c>
      <c r="M65" s="364" t="str">
        <f t="shared" si="5"/>
        <v>0x01B5</v>
      </c>
      <c r="N65" s="364" t="str">
        <f t="shared" si="6"/>
        <v>0x01F5</v>
      </c>
      <c r="O65" s="364" t="str">
        <f t="shared" si="7"/>
        <v>0x0235</v>
      </c>
      <c r="P65" s="364" t="str">
        <f t="shared" si="8"/>
        <v>0x0275</v>
      </c>
      <c r="Q65" s="364" t="str">
        <f t="shared" si="9"/>
        <v>0x02B5</v>
      </c>
      <c r="R65" s="364" t="str">
        <f t="shared" si="10"/>
        <v>0x02F5</v>
      </c>
      <c r="S65" s="375" t="str">
        <f t="shared" si="11"/>
        <v>0x0335</v>
      </c>
      <c r="T65" s="376" t="str">
        <f t="shared" si="12"/>
        <v>0x0375</v>
      </c>
      <c r="U65" s="377" t="str">
        <f t="shared" si="13"/>
        <v>0x03B5</v>
      </c>
    </row>
    <row r="66" spans="2:22" ht="13.5" customHeight="1" x14ac:dyDescent="0.25">
      <c r="B66" s="402"/>
      <c r="C66" s="410" t="s">
        <v>737</v>
      </c>
      <c r="D66" s="411"/>
      <c r="E66" s="371">
        <v>54</v>
      </c>
      <c r="F66" s="412"/>
      <c r="G66" s="373" t="str">
        <f t="shared" si="14"/>
        <v>0x0036</v>
      </c>
      <c r="H66" s="374" t="str">
        <f t="shared" si="0"/>
        <v>0x0076</v>
      </c>
      <c r="I66" s="364" t="str">
        <f t="shared" si="1"/>
        <v>0x00B6</v>
      </c>
      <c r="J66" s="364" t="str">
        <f t="shared" si="2"/>
        <v>0x00F6</v>
      </c>
      <c r="K66" s="364" t="str">
        <f t="shared" si="3"/>
        <v>0x0136</v>
      </c>
      <c r="L66" s="364" t="str">
        <f t="shared" si="4"/>
        <v>0x0176</v>
      </c>
      <c r="M66" s="364" t="str">
        <f t="shared" si="5"/>
        <v>0x01B6</v>
      </c>
      <c r="N66" s="364" t="str">
        <f t="shared" si="6"/>
        <v>0x01F6</v>
      </c>
      <c r="O66" s="364" t="str">
        <f t="shared" si="7"/>
        <v>0x0236</v>
      </c>
      <c r="P66" s="364" t="str">
        <f t="shared" si="8"/>
        <v>0x0276</v>
      </c>
      <c r="Q66" s="364" t="str">
        <f t="shared" si="9"/>
        <v>0x02B6</v>
      </c>
      <c r="R66" s="364" t="str">
        <f t="shared" si="10"/>
        <v>0x02F6</v>
      </c>
      <c r="S66" s="375" t="str">
        <f t="shared" si="11"/>
        <v>0x0336</v>
      </c>
      <c r="T66" s="376" t="str">
        <f t="shared" si="12"/>
        <v>0x0376</v>
      </c>
      <c r="U66" s="377" t="str">
        <f t="shared" si="13"/>
        <v>0x03B6</v>
      </c>
    </row>
    <row r="67" spans="2:22" ht="13.5" customHeight="1" x14ac:dyDescent="0.25">
      <c r="B67" s="402"/>
      <c r="C67" s="410" t="s">
        <v>737</v>
      </c>
      <c r="D67" s="411"/>
      <c r="E67" s="371">
        <v>55</v>
      </c>
      <c r="F67" s="412"/>
      <c r="G67" s="373" t="str">
        <f t="shared" si="14"/>
        <v>0x0037</v>
      </c>
      <c r="H67" s="374" t="str">
        <f t="shared" si="0"/>
        <v>0x0077</v>
      </c>
      <c r="I67" s="364" t="str">
        <f t="shared" si="1"/>
        <v>0x00B7</v>
      </c>
      <c r="J67" s="364" t="str">
        <f t="shared" si="2"/>
        <v>0x00F7</v>
      </c>
      <c r="K67" s="364" t="str">
        <f t="shared" si="3"/>
        <v>0x0137</v>
      </c>
      <c r="L67" s="364" t="str">
        <f t="shared" si="4"/>
        <v>0x0177</v>
      </c>
      <c r="M67" s="364" t="str">
        <f t="shared" si="5"/>
        <v>0x01B7</v>
      </c>
      <c r="N67" s="364" t="str">
        <f t="shared" si="6"/>
        <v>0x01F7</v>
      </c>
      <c r="O67" s="364" t="str">
        <f t="shared" si="7"/>
        <v>0x0237</v>
      </c>
      <c r="P67" s="364" t="str">
        <f t="shared" si="8"/>
        <v>0x0277</v>
      </c>
      <c r="Q67" s="364" t="str">
        <f t="shared" si="9"/>
        <v>0x02B7</v>
      </c>
      <c r="R67" s="364" t="str">
        <f t="shared" si="10"/>
        <v>0x02F7</v>
      </c>
      <c r="S67" s="375" t="str">
        <f t="shared" si="11"/>
        <v>0x0337</v>
      </c>
      <c r="T67" s="376" t="str">
        <f t="shared" si="12"/>
        <v>0x0377</v>
      </c>
      <c r="U67" s="377" t="str">
        <f t="shared" si="13"/>
        <v>0x03B7</v>
      </c>
    </row>
    <row r="68" spans="2:22" ht="13.5" customHeight="1" x14ac:dyDescent="0.25">
      <c r="B68" s="402"/>
      <c r="C68" s="410" t="s">
        <v>737</v>
      </c>
      <c r="D68" s="411"/>
      <c r="E68" s="371">
        <v>56</v>
      </c>
      <c r="F68" s="412"/>
      <c r="G68" s="373" t="str">
        <f t="shared" si="14"/>
        <v>0x0038</v>
      </c>
      <c r="H68" s="374" t="str">
        <f t="shared" si="0"/>
        <v>0x0078</v>
      </c>
      <c r="I68" s="364" t="str">
        <f t="shared" si="1"/>
        <v>0x00B8</v>
      </c>
      <c r="J68" s="364" t="str">
        <f t="shared" si="2"/>
        <v>0x00F8</v>
      </c>
      <c r="K68" s="364" t="str">
        <f t="shared" si="3"/>
        <v>0x0138</v>
      </c>
      <c r="L68" s="364" t="str">
        <f t="shared" si="4"/>
        <v>0x0178</v>
      </c>
      <c r="M68" s="364" t="str">
        <f t="shared" si="5"/>
        <v>0x01B8</v>
      </c>
      <c r="N68" s="364" t="str">
        <f t="shared" si="6"/>
        <v>0x01F8</v>
      </c>
      <c r="O68" s="364" t="str">
        <f t="shared" si="7"/>
        <v>0x0238</v>
      </c>
      <c r="P68" s="364" t="str">
        <f t="shared" si="8"/>
        <v>0x0278</v>
      </c>
      <c r="Q68" s="364" t="str">
        <f t="shared" si="9"/>
        <v>0x02B8</v>
      </c>
      <c r="R68" s="364" t="str">
        <f t="shared" si="10"/>
        <v>0x02F8</v>
      </c>
      <c r="S68" s="375" t="str">
        <f t="shared" si="11"/>
        <v>0x0338</v>
      </c>
      <c r="T68" s="376" t="str">
        <f t="shared" si="12"/>
        <v>0x0378</v>
      </c>
      <c r="U68" s="377" t="str">
        <f t="shared" si="13"/>
        <v>0x03B8</v>
      </c>
    </row>
    <row r="69" spans="2:22" ht="13.5" customHeight="1" x14ac:dyDescent="0.25">
      <c r="B69" s="402"/>
      <c r="C69" s="410" t="s">
        <v>737</v>
      </c>
      <c r="D69" s="411"/>
      <c r="E69" s="371">
        <v>57</v>
      </c>
      <c r="F69" s="412"/>
      <c r="G69" s="373" t="str">
        <f t="shared" si="14"/>
        <v>0x0039</v>
      </c>
      <c r="H69" s="374" t="str">
        <f t="shared" si="0"/>
        <v>0x0079</v>
      </c>
      <c r="I69" s="364" t="str">
        <f t="shared" si="1"/>
        <v>0x00B9</v>
      </c>
      <c r="J69" s="364" t="str">
        <f t="shared" si="2"/>
        <v>0x00F9</v>
      </c>
      <c r="K69" s="364" t="str">
        <f t="shared" si="3"/>
        <v>0x0139</v>
      </c>
      <c r="L69" s="364" t="str">
        <f t="shared" si="4"/>
        <v>0x0179</v>
      </c>
      <c r="M69" s="364" t="str">
        <f t="shared" si="5"/>
        <v>0x01B9</v>
      </c>
      <c r="N69" s="364" t="str">
        <f t="shared" si="6"/>
        <v>0x01F9</v>
      </c>
      <c r="O69" s="364" t="str">
        <f t="shared" si="7"/>
        <v>0x0239</v>
      </c>
      <c r="P69" s="364" t="str">
        <f t="shared" si="8"/>
        <v>0x0279</v>
      </c>
      <c r="Q69" s="364" t="str">
        <f t="shared" si="9"/>
        <v>0x02B9</v>
      </c>
      <c r="R69" s="364" t="str">
        <f t="shared" si="10"/>
        <v>0x02F9</v>
      </c>
      <c r="S69" s="375" t="str">
        <f t="shared" si="11"/>
        <v>0x0339</v>
      </c>
      <c r="T69" s="376" t="str">
        <f t="shared" si="12"/>
        <v>0x0379</v>
      </c>
      <c r="U69" s="377" t="str">
        <f t="shared" si="13"/>
        <v>0x03B9</v>
      </c>
    </row>
    <row r="70" spans="2:22" ht="13.5" customHeight="1" x14ac:dyDescent="0.25">
      <c r="B70" s="402"/>
      <c r="C70" s="410" t="s">
        <v>737</v>
      </c>
      <c r="D70" s="411"/>
      <c r="E70" s="371">
        <v>58</v>
      </c>
      <c r="F70" s="412"/>
      <c r="G70" s="373" t="str">
        <f t="shared" si="14"/>
        <v>0x003A</v>
      </c>
      <c r="H70" s="374" t="str">
        <f t="shared" si="0"/>
        <v>0x007A</v>
      </c>
      <c r="I70" s="364" t="str">
        <f t="shared" si="1"/>
        <v>0x00BA</v>
      </c>
      <c r="J70" s="364" t="str">
        <f t="shared" si="2"/>
        <v>0x00FA</v>
      </c>
      <c r="K70" s="364" t="str">
        <f t="shared" si="3"/>
        <v>0x013A</v>
      </c>
      <c r="L70" s="364" t="str">
        <f t="shared" si="4"/>
        <v>0x017A</v>
      </c>
      <c r="M70" s="364" t="str">
        <f t="shared" si="5"/>
        <v>0x01BA</v>
      </c>
      <c r="N70" s="364" t="str">
        <f t="shared" si="6"/>
        <v>0x01FA</v>
      </c>
      <c r="O70" s="364" t="str">
        <f t="shared" si="7"/>
        <v>0x023A</v>
      </c>
      <c r="P70" s="364" t="str">
        <f t="shared" si="8"/>
        <v>0x027A</v>
      </c>
      <c r="Q70" s="364" t="str">
        <f t="shared" si="9"/>
        <v>0x02BA</v>
      </c>
      <c r="R70" s="364" t="str">
        <f t="shared" si="10"/>
        <v>0x02FA</v>
      </c>
      <c r="S70" s="375" t="str">
        <f t="shared" si="11"/>
        <v>0x033A</v>
      </c>
      <c r="T70" s="376" t="str">
        <f t="shared" si="12"/>
        <v>0x037A</v>
      </c>
      <c r="U70" s="377" t="str">
        <f t="shared" si="13"/>
        <v>0x03BA</v>
      </c>
    </row>
    <row r="71" spans="2:22" ht="13.5" customHeight="1" x14ac:dyDescent="0.25">
      <c r="B71" s="402"/>
      <c r="C71" s="410" t="s">
        <v>737</v>
      </c>
      <c r="D71" s="411"/>
      <c r="E71" s="371">
        <v>59</v>
      </c>
      <c r="F71" s="412"/>
      <c r="G71" s="373" t="str">
        <f t="shared" si="14"/>
        <v>0x003B</v>
      </c>
      <c r="H71" s="374" t="str">
        <f t="shared" si="0"/>
        <v>0x007B</v>
      </c>
      <c r="I71" s="364" t="str">
        <f t="shared" si="1"/>
        <v>0x00BB</v>
      </c>
      <c r="J71" s="364" t="str">
        <f t="shared" si="2"/>
        <v>0x00FB</v>
      </c>
      <c r="K71" s="364" t="str">
        <f t="shared" si="3"/>
        <v>0x013B</v>
      </c>
      <c r="L71" s="364" t="str">
        <f t="shared" si="4"/>
        <v>0x017B</v>
      </c>
      <c r="M71" s="364" t="str">
        <f t="shared" si="5"/>
        <v>0x01BB</v>
      </c>
      <c r="N71" s="364" t="str">
        <f t="shared" si="6"/>
        <v>0x01FB</v>
      </c>
      <c r="O71" s="364" t="str">
        <f t="shared" si="7"/>
        <v>0x023B</v>
      </c>
      <c r="P71" s="364" t="str">
        <f t="shared" si="8"/>
        <v>0x027B</v>
      </c>
      <c r="Q71" s="364" t="str">
        <f t="shared" si="9"/>
        <v>0x02BB</v>
      </c>
      <c r="R71" s="364" t="str">
        <f t="shared" si="10"/>
        <v>0x02FB</v>
      </c>
      <c r="S71" s="375" t="str">
        <f t="shared" si="11"/>
        <v>0x033B</v>
      </c>
      <c r="T71" s="376" t="str">
        <f t="shared" si="12"/>
        <v>0x037B</v>
      </c>
      <c r="U71" s="377" t="str">
        <f t="shared" si="13"/>
        <v>0x03BB</v>
      </c>
    </row>
    <row r="72" spans="2:22" ht="13.5" customHeight="1" x14ac:dyDescent="0.25">
      <c r="B72" s="402"/>
      <c r="C72" s="410" t="s">
        <v>737</v>
      </c>
      <c r="D72" s="411"/>
      <c r="E72" s="371">
        <v>60</v>
      </c>
      <c r="F72" s="412"/>
      <c r="G72" s="373" t="str">
        <f t="shared" si="14"/>
        <v>0x003C</v>
      </c>
      <c r="H72" s="374" t="str">
        <f t="shared" si="0"/>
        <v>0x007C</v>
      </c>
      <c r="I72" s="364" t="str">
        <f t="shared" si="1"/>
        <v>0x00BC</v>
      </c>
      <c r="J72" s="364" t="str">
        <f t="shared" si="2"/>
        <v>0x00FC</v>
      </c>
      <c r="K72" s="364" t="str">
        <f t="shared" si="3"/>
        <v>0x013C</v>
      </c>
      <c r="L72" s="364" t="str">
        <f t="shared" si="4"/>
        <v>0x017C</v>
      </c>
      <c r="M72" s="364" t="str">
        <f t="shared" si="5"/>
        <v>0x01BC</v>
      </c>
      <c r="N72" s="364" t="str">
        <f t="shared" si="6"/>
        <v>0x01FC</v>
      </c>
      <c r="O72" s="364" t="str">
        <f t="shared" si="7"/>
        <v>0x023C</v>
      </c>
      <c r="P72" s="364" t="str">
        <f t="shared" si="8"/>
        <v>0x027C</v>
      </c>
      <c r="Q72" s="364" t="str">
        <f t="shared" si="9"/>
        <v>0x02BC</v>
      </c>
      <c r="R72" s="364" t="str">
        <f t="shared" si="10"/>
        <v>0x02FC</v>
      </c>
      <c r="S72" s="375" t="str">
        <f t="shared" si="11"/>
        <v>0x033C</v>
      </c>
      <c r="T72" s="376" t="str">
        <f t="shared" si="12"/>
        <v>0x037C</v>
      </c>
      <c r="U72" s="377" t="str">
        <f t="shared" si="13"/>
        <v>0x03BC</v>
      </c>
    </row>
    <row r="73" spans="2:22" ht="13.5" customHeight="1" x14ac:dyDescent="0.25">
      <c r="B73" s="402"/>
      <c r="C73" s="410" t="s">
        <v>737</v>
      </c>
      <c r="D73" s="411"/>
      <c r="E73" s="371">
        <v>61</v>
      </c>
      <c r="F73" s="412"/>
      <c r="G73" s="373" t="str">
        <f t="shared" si="14"/>
        <v>0x003D</v>
      </c>
      <c r="H73" s="374" t="str">
        <f t="shared" si="0"/>
        <v>0x007D</v>
      </c>
      <c r="I73" s="364" t="str">
        <f t="shared" si="1"/>
        <v>0x00BD</v>
      </c>
      <c r="J73" s="364" t="str">
        <f t="shared" si="2"/>
        <v>0x00FD</v>
      </c>
      <c r="K73" s="364" t="str">
        <f t="shared" si="3"/>
        <v>0x013D</v>
      </c>
      <c r="L73" s="364" t="str">
        <f t="shared" si="4"/>
        <v>0x017D</v>
      </c>
      <c r="M73" s="364" t="str">
        <f t="shared" si="5"/>
        <v>0x01BD</v>
      </c>
      <c r="N73" s="364" t="str">
        <f t="shared" si="6"/>
        <v>0x01FD</v>
      </c>
      <c r="O73" s="364" t="str">
        <f t="shared" si="7"/>
        <v>0x023D</v>
      </c>
      <c r="P73" s="364" t="str">
        <f t="shared" si="8"/>
        <v>0x027D</v>
      </c>
      <c r="Q73" s="364" t="str">
        <f t="shared" si="9"/>
        <v>0x02BD</v>
      </c>
      <c r="R73" s="364" t="str">
        <f t="shared" si="10"/>
        <v>0x02FD</v>
      </c>
      <c r="S73" s="375" t="str">
        <f t="shared" si="11"/>
        <v>0x033D</v>
      </c>
      <c r="T73" s="376" t="str">
        <f t="shared" si="12"/>
        <v>0x037D</v>
      </c>
      <c r="U73" s="377" t="str">
        <f t="shared" si="13"/>
        <v>0x03BD</v>
      </c>
    </row>
    <row r="74" spans="2:22" ht="14.25" customHeight="1" x14ac:dyDescent="0.25">
      <c r="B74" s="402"/>
      <c r="C74" s="410" t="s">
        <v>737</v>
      </c>
      <c r="D74" s="411"/>
      <c r="E74" s="371">
        <v>62</v>
      </c>
      <c r="F74" s="412"/>
      <c r="G74" s="373" t="str">
        <f t="shared" si="14"/>
        <v>0x003E</v>
      </c>
      <c r="H74" s="374" t="str">
        <f t="shared" si="0"/>
        <v>0x007E</v>
      </c>
      <c r="I74" s="364" t="str">
        <f t="shared" si="1"/>
        <v>0x00BE</v>
      </c>
      <c r="J74" s="364" t="str">
        <f t="shared" si="2"/>
        <v>0x00FE</v>
      </c>
      <c r="K74" s="364" t="str">
        <f t="shared" si="3"/>
        <v>0x013E</v>
      </c>
      <c r="L74" s="364" t="str">
        <f t="shared" si="4"/>
        <v>0x017E</v>
      </c>
      <c r="M74" s="364" t="str">
        <f t="shared" si="5"/>
        <v>0x01BE</v>
      </c>
      <c r="N74" s="364" t="str">
        <f t="shared" si="6"/>
        <v>0x01FE</v>
      </c>
      <c r="O74" s="364" t="str">
        <f t="shared" si="7"/>
        <v>0x023E</v>
      </c>
      <c r="P74" s="364" t="str">
        <f t="shared" si="8"/>
        <v>0x027E</v>
      </c>
      <c r="Q74" s="364" t="str">
        <f t="shared" si="9"/>
        <v>0x02BE</v>
      </c>
      <c r="R74" s="364" t="str">
        <f t="shared" si="10"/>
        <v>0x02FE</v>
      </c>
      <c r="S74" s="375" t="str">
        <f t="shared" si="11"/>
        <v>0x033E</v>
      </c>
      <c r="T74" s="376" t="str">
        <f t="shared" si="12"/>
        <v>0x037E</v>
      </c>
      <c r="U74" s="377" t="str">
        <f t="shared" si="13"/>
        <v>0x03BE</v>
      </c>
    </row>
    <row r="75" spans="2:22" ht="14.25" customHeight="1" thickBot="1" x14ac:dyDescent="0.3">
      <c r="B75" s="413"/>
      <c r="C75" s="405" t="s">
        <v>737</v>
      </c>
      <c r="D75" s="414"/>
      <c r="E75" s="384">
        <v>63</v>
      </c>
      <c r="F75" s="415"/>
      <c r="G75" s="386" t="str">
        <f t="shared" si="14"/>
        <v>0x003F</v>
      </c>
      <c r="H75" s="387" t="str">
        <f t="shared" si="0"/>
        <v>0x007F</v>
      </c>
      <c r="I75" s="388" t="str">
        <f t="shared" si="1"/>
        <v>0x00BF</v>
      </c>
      <c r="J75" s="388" t="str">
        <f t="shared" si="2"/>
        <v>0x00FF</v>
      </c>
      <c r="K75" s="388" t="str">
        <f t="shared" si="3"/>
        <v>0x013F</v>
      </c>
      <c r="L75" s="388" t="str">
        <f t="shared" si="4"/>
        <v>0x017F</v>
      </c>
      <c r="M75" s="388" t="str">
        <f t="shared" si="5"/>
        <v>0x01BF</v>
      </c>
      <c r="N75" s="388" t="str">
        <f t="shared" si="6"/>
        <v>0x01FF</v>
      </c>
      <c r="O75" s="388" t="str">
        <f t="shared" si="7"/>
        <v>0x023F</v>
      </c>
      <c r="P75" s="388" t="str">
        <f t="shared" si="8"/>
        <v>0x027F</v>
      </c>
      <c r="Q75" s="388" t="str">
        <f t="shared" si="9"/>
        <v>0x02BF</v>
      </c>
      <c r="R75" s="388" t="str">
        <f t="shared" si="10"/>
        <v>0x02FF</v>
      </c>
      <c r="S75" s="416" t="str">
        <f t="shared" si="11"/>
        <v>0x033F</v>
      </c>
      <c r="T75" s="417" t="str">
        <f t="shared" si="12"/>
        <v>0x037F</v>
      </c>
      <c r="U75" s="418" t="str">
        <f t="shared" si="13"/>
        <v>0x03BF</v>
      </c>
    </row>
    <row r="76" spans="2:22" ht="14.5" thickTop="1" x14ac:dyDescent="0.25">
      <c r="C76" s="419"/>
      <c r="D76" s="419"/>
      <c r="E76" s="419"/>
      <c r="N76" s="420"/>
      <c r="O76" s="420"/>
      <c r="P76" s="420"/>
      <c r="Q76" s="420"/>
      <c r="R76" s="420"/>
      <c r="S76" s="421"/>
      <c r="T76" s="422"/>
      <c r="U76" s="422"/>
    </row>
    <row r="77" spans="2:22" ht="14" x14ac:dyDescent="0.25">
      <c r="C77" s="419"/>
      <c r="D77" s="419"/>
      <c r="E77" s="419"/>
      <c r="N77" s="420"/>
      <c r="O77" s="420"/>
      <c r="P77" s="420"/>
      <c r="Q77" s="420"/>
      <c r="R77" s="420"/>
      <c r="S77" s="420"/>
    </row>
    <row r="78" spans="2:22" ht="14.5" thickBot="1" x14ac:dyDescent="0.3">
      <c r="C78" s="419"/>
      <c r="D78" s="419"/>
      <c r="E78" s="419"/>
      <c r="G78" s="326" t="s">
        <v>703</v>
      </c>
      <c r="H78" s="326">
        <f>HEX2DEC(80)</f>
        <v>128</v>
      </c>
      <c r="N78" s="420"/>
      <c r="O78" s="420"/>
      <c r="P78" s="420"/>
      <c r="Q78" s="420"/>
      <c r="R78" s="420"/>
      <c r="S78" s="420"/>
    </row>
    <row r="79" spans="2:22" ht="22.9" customHeight="1" thickTop="1" thickBot="1" x14ac:dyDescent="0.3">
      <c r="C79" s="423" t="s">
        <v>767</v>
      </c>
      <c r="D79" s="424"/>
      <c r="E79" s="425"/>
      <c r="F79" s="426" t="s">
        <v>705</v>
      </c>
      <c r="G79" s="333">
        <v>30101</v>
      </c>
      <c r="H79" s="333">
        <v>30102</v>
      </c>
      <c r="I79" s="333">
        <v>30103</v>
      </c>
      <c r="J79" s="333">
        <v>30104</v>
      </c>
      <c r="K79" s="333">
        <v>30201</v>
      </c>
      <c r="L79" s="333">
        <v>30202</v>
      </c>
      <c r="M79" s="333">
        <v>30203</v>
      </c>
      <c r="N79" s="333">
        <v>30204</v>
      </c>
      <c r="O79" s="333">
        <v>30301</v>
      </c>
      <c r="P79" s="333">
        <v>30302</v>
      </c>
      <c r="Q79" s="333">
        <v>30303</v>
      </c>
      <c r="R79" s="333">
        <v>30304</v>
      </c>
      <c r="S79" s="333">
        <v>30501</v>
      </c>
      <c r="T79" s="333">
        <v>30502</v>
      </c>
      <c r="U79" s="333">
        <v>30503</v>
      </c>
      <c r="V79" s="325" t="s">
        <v>706</v>
      </c>
    </row>
    <row r="80" spans="2:22" ht="22.9" customHeight="1" thickBot="1" x14ac:dyDescent="0.3">
      <c r="C80" s="427"/>
      <c r="D80" s="428"/>
      <c r="E80" s="429"/>
      <c r="F80" s="430" t="s">
        <v>707</v>
      </c>
      <c r="G80" s="431" t="s">
        <v>708</v>
      </c>
      <c r="H80" s="432" t="s">
        <v>709</v>
      </c>
      <c r="I80" s="433" t="s">
        <v>710</v>
      </c>
      <c r="J80" s="433" t="s">
        <v>711</v>
      </c>
      <c r="K80" s="433" t="s">
        <v>712</v>
      </c>
      <c r="L80" s="433" t="s">
        <v>713</v>
      </c>
      <c r="M80" s="433" t="s">
        <v>712</v>
      </c>
      <c r="N80" s="433" t="s">
        <v>713</v>
      </c>
      <c r="O80" s="434" t="s">
        <v>714</v>
      </c>
      <c r="P80" s="434" t="s">
        <v>714</v>
      </c>
      <c r="Q80" s="434" t="s">
        <v>715</v>
      </c>
      <c r="R80" s="434" t="s">
        <v>715</v>
      </c>
      <c r="S80" s="434" t="s">
        <v>716</v>
      </c>
      <c r="T80" s="434" t="s">
        <v>716</v>
      </c>
      <c r="U80" s="434" t="s">
        <v>716</v>
      </c>
    </row>
    <row r="81" spans="2:21" ht="22.9" customHeight="1" thickTop="1" thickBot="1" x14ac:dyDescent="0.3">
      <c r="C81" s="427"/>
      <c r="D81" s="428"/>
      <c r="E81" s="429"/>
      <c r="F81" s="430" t="s">
        <v>717</v>
      </c>
      <c r="G81" s="435" t="s">
        <v>718</v>
      </c>
      <c r="H81" s="343" t="s">
        <v>719</v>
      </c>
      <c r="I81" s="343" t="s">
        <v>710</v>
      </c>
      <c r="J81" s="343" t="s">
        <v>711</v>
      </c>
      <c r="K81" s="341" t="s">
        <v>712</v>
      </c>
      <c r="L81" s="341" t="s">
        <v>713</v>
      </c>
      <c r="M81" s="341" t="s">
        <v>712</v>
      </c>
      <c r="N81" s="341" t="s">
        <v>713</v>
      </c>
      <c r="O81" s="342" t="s">
        <v>714</v>
      </c>
      <c r="P81" s="342" t="s">
        <v>714</v>
      </c>
      <c r="Q81" s="342" t="s">
        <v>715</v>
      </c>
      <c r="R81" s="342" t="s">
        <v>715</v>
      </c>
      <c r="S81" s="434" t="s">
        <v>716</v>
      </c>
      <c r="T81" s="434" t="s">
        <v>716</v>
      </c>
      <c r="U81" s="434" t="s">
        <v>716</v>
      </c>
    </row>
    <row r="82" spans="2:21" ht="22.9" customHeight="1" thickTop="1" thickBot="1" x14ac:dyDescent="0.3">
      <c r="C82" s="427"/>
      <c r="D82" s="428"/>
      <c r="E82" s="429"/>
      <c r="F82" s="430" t="s">
        <v>720</v>
      </c>
      <c r="G82" s="435" t="s">
        <v>708</v>
      </c>
      <c r="H82" s="339" t="s">
        <v>709</v>
      </c>
      <c r="I82" s="340" t="s">
        <v>710</v>
      </c>
      <c r="J82" s="340" t="s">
        <v>711</v>
      </c>
      <c r="K82" s="341" t="s">
        <v>712</v>
      </c>
      <c r="L82" s="341" t="s">
        <v>713</v>
      </c>
      <c r="M82" s="341" t="s">
        <v>712</v>
      </c>
      <c r="N82" s="341" t="s">
        <v>713</v>
      </c>
      <c r="O82" s="342" t="s">
        <v>714</v>
      </c>
      <c r="P82" s="342" t="s">
        <v>714</v>
      </c>
      <c r="Q82" s="342" t="s">
        <v>715</v>
      </c>
      <c r="R82" s="342" t="s">
        <v>715</v>
      </c>
      <c r="S82" s="434" t="s">
        <v>716</v>
      </c>
      <c r="T82" s="434" t="s">
        <v>716</v>
      </c>
      <c r="U82" s="434" t="s">
        <v>716</v>
      </c>
    </row>
    <row r="83" spans="2:21" ht="22.9" customHeight="1" thickTop="1" thickBot="1" x14ac:dyDescent="0.3">
      <c r="C83" s="427"/>
      <c r="D83" s="428"/>
      <c r="E83" s="429"/>
      <c r="F83" s="430" t="s">
        <v>721</v>
      </c>
      <c r="G83" s="435" t="s">
        <v>708</v>
      </c>
      <c r="H83" s="339" t="s">
        <v>709</v>
      </c>
      <c r="I83" s="340" t="s">
        <v>710</v>
      </c>
      <c r="J83" s="340" t="s">
        <v>711</v>
      </c>
      <c r="K83" s="341" t="s">
        <v>712</v>
      </c>
      <c r="L83" s="341" t="s">
        <v>713</v>
      </c>
      <c r="M83" s="341" t="s">
        <v>712</v>
      </c>
      <c r="N83" s="341" t="s">
        <v>713</v>
      </c>
      <c r="O83" s="342" t="s">
        <v>714</v>
      </c>
      <c r="P83" s="342" t="s">
        <v>714</v>
      </c>
      <c r="Q83" s="342" t="s">
        <v>715</v>
      </c>
      <c r="R83" s="342" t="s">
        <v>715</v>
      </c>
      <c r="S83" s="434" t="s">
        <v>716</v>
      </c>
      <c r="T83" s="434" t="s">
        <v>716</v>
      </c>
      <c r="U83" s="434" t="s">
        <v>716</v>
      </c>
    </row>
    <row r="84" spans="2:21" ht="22.9" customHeight="1" thickTop="1" thickBot="1" x14ac:dyDescent="0.3">
      <c r="C84" s="427"/>
      <c r="D84" s="428"/>
      <c r="E84" s="429"/>
      <c r="F84" s="436" t="s">
        <v>722</v>
      </c>
      <c r="G84" s="437" t="s">
        <v>708</v>
      </c>
      <c r="H84" s="341" t="s">
        <v>709</v>
      </c>
      <c r="I84" s="340" t="s">
        <v>710</v>
      </c>
      <c r="J84" s="340" t="s">
        <v>711</v>
      </c>
      <c r="K84" s="339" t="s">
        <v>712</v>
      </c>
      <c r="L84" s="339" t="s">
        <v>713</v>
      </c>
      <c r="M84" s="341" t="s">
        <v>712</v>
      </c>
      <c r="N84" s="341" t="s">
        <v>713</v>
      </c>
      <c r="O84" s="342" t="s">
        <v>714</v>
      </c>
      <c r="P84" s="342" t="s">
        <v>714</v>
      </c>
      <c r="Q84" s="342" t="s">
        <v>715</v>
      </c>
      <c r="R84" s="342" t="s">
        <v>715</v>
      </c>
      <c r="S84" s="434" t="s">
        <v>716</v>
      </c>
      <c r="T84" s="434" t="s">
        <v>716</v>
      </c>
      <c r="U84" s="434" t="s">
        <v>716</v>
      </c>
    </row>
    <row r="85" spans="2:21" ht="22.9" customHeight="1" thickTop="1" thickBot="1" x14ac:dyDescent="0.3">
      <c r="C85" s="427"/>
      <c r="D85" s="428"/>
      <c r="E85" s="429"/>
      <c r="F85" s="436" t="s">
        <v>724</v>
      </c>
      <c r="G85" s="435" t="s">
        <v>708</v>
      </c>
      <c r="H85" s="341" t="s">
        <v>709</v>
      </c>
      <c r="I85" s="340" t="s">
        <v>710</v>
      </c>
      <c r="J85" s="340" t="s">
        <v>711</v>
      </c>
      <c r="K85" s="341" t="s">
        <v>712</v>
      </c>
      <c r="L85" s="341" t="s">
        <v>713</v>
      </c>
      <c r="M85" s="341" t="s">
        <v>712</v>
      </c>
      <c r="N85" s="341" t="s">
        <v>713</v>
      </c>
      <c r="O85" s="342" t="s">
        <v>714</v>
      </c>
      <c r="P85" s="342" t="s">
        <v>714</v>
      </c>
      <c r="Q85" s="342" t="s">
        <v>715</v>
      </c>
      <c r="R85" s="342" t="s">
        <v>715</v>
      </c>
      <c r="S85" s="434" t="s">
        <v>716</v>
      </c>
      <c r="T85" s="434" t="s">
        <v>716</v>
      </c>
      <c r="U85" s="434" t="s">
        <v>716</v>
      </c>
    </row>
    <row r="86" spans="2:21" ht="22.9" customHeight="1" thickTop="1" thickBot="1" x14ac:dyDescent="0.3">
      <c r="C86" s="427"/>
      <c r="D86" s="428"/>
      <c r="E86" s="429"/>
      <c r="F86" s="430" t="s">
        <v>725</v>
      </c>
      <c r="G86" s="435" t="s">
        <v>708</v>
      </c>
      <c r="H86" s="339" t="s">
        <v>709</v>
      </c>
      <c r="I86" s="340" t="s">
        <v>710</v>
      </c>
      <c r="J86" s="340" t="s">
        <v>711</v>
      </c>
      <c r="K86" s="341" t="s">
        <v>712</v>
      </c>
      <c r="L86" s="341" t="s">
        <v>713</v>
      </c>
      <c r="M86" s="341" t="s">
        <v>712</v>
      </c>
      <c r="N86" s="341" t="s">
        <v>713</v>
      </c>
      <c r="O86" s="342" t="s">
        <v>714</v>
      </c>
      <c r="P86" s="342" t="s">
        <v>714</v>
      </c>
      <c r="Q86" s="342" t="s">
        <v>715</v>
      </c>
      <c r="R86" s="342" t="s">
        <v>715</v>
      </c>
      <c r="S86" s="434" t="s">
        <v>716</v>
      </c>
      <c r="T86" s="434" t="s">
        <v>716</v>
      </c>
      <c r="U86" s="434" t="s">
        <v>716</v>
      </c>
    </row>
    <row r="87" spans="2:21" ht="22.9" customHeight="1" thickTop="1" thickBot="1" x14ac:dyDescent="0.3">
      <c r="C87" s="438"/>
      <c r="D87" s="439"/>
      <c r="E87" s="440"/>
      <c r="F87" s="441" t="s">
        <v>726</v>
      </c>
      <c r="G87" s="437" t="s">
        <v>708</v>
      </c>
      <c r="H87" s="341" t="s">
        <v>709</v>
      </c>
      <c r="I87" s="340" t="s">
        <v>710</v>
      </c>
      <c r="J87" s="340" t="s">
        <v>711</v>
      </c>
      <c r="K87" s="341" t="s">
        <v>712</v>
      </c>
      <c r="L87" s="341" t="s">
        <v>713</v>
      </c>
      <c r="M87" s="341" t="s">
        <v>712</v>
      </c>
      <c r="N87" s="341" t="s">
        <v>713</v>
      </c>
      <c r="O87" s="333" t="s">
        <v>714</v>
      </c>
      <c r="P87" s="333" t="s">
        <v>714</v>
      </c>
      <c r="Q87" s="333" t="s">
        <v>715</v>
      </c>
      <c r="R87" s="333" t="s">
        <v>715</v>
      </c>
      <c r="S87" s="434" t="s">
        <v>716</v>
      </c>
      <c r="T87" s="434" t="s">
        <v>716</v>
      </c>
      <c r="U87" s="434" t="s">
        <v>716</v>
      </c>
    </row>
    <row r="88" spans="2:21" ht="14.5" thickBot="1" x14ac:dyDescent="0.3">
      <c r="B88" s="350" t="s">
        <v>196</v>
      </c>
      <c r="C88" s="442" t="s">
        <v>727</v>
      </c>
      <c r="D88" s="442" t="s">
        <v>728</v>
      </c>
      <c r="E88" s="442" t="s">
        <v>768</v>
      </c>
      <c r="F88" s="352" t="s">
        <v>204</v>
      </c>
      <c r="G88" s="355" t="s">
        <v>769</v>
      </c>
      <c r="H88" s="355" t="s">
        <v>769</v>
      </c>
      <c r="I88" s="355" t="s">
        <v>769</v>
      </c>
      <c r="J88" s="355" t="s">
        <v>769</v>
      </c>
      <c r="K88" s="355" t="s">
        <v>769</v>
      </c>
      <c r="L88" s="355" t="s">
        <v>769</v>
      </c>
      <c r="M88" s="355" t="s">
        <v>769</v>
      </c>
      <c r="N88" s="355" t="s">
        <v>769</v>
      </c>
      <c r="O88" s="355" t="s">
        <v>769</v>
      </c>
      <c r="P88" s="355" t="s">
        <v>769</v>
      </c>
      <c r="Q88" s="355" t="s">
        <v>769</v>
      </c>
      <c r="R88" s="355" t="s">
        <v>769</v>
      </c>
      <c r="S88" s="355" t="s">
        <v>769</v>
      </c>
      <c r="T88" s="355" t="s">
        <v>769</v>
      </c>
      <c r="U88" s="355" t="s">
        <v>769</v>
      </c>
    </row>
    <row r="89" spans="2:21" ht="16.5" customHeight="1" x14ac:dyDescent="0.25">
      <c r="B89" s="443" t="s">
        <v>770</v>
      </c>
      <c r="C89" s="444" t="s">
        <v>525</v>
      </c>
      <c r="D89" s="445" t="s">
        <v>771</v>
      </c>
      <c r="E89" s="446">
        <v>0</v>
      </c>
      <c r="F89" s="372">
        <v>1</v>
      </c>
      <c r="G89" s="447" t="str">
        <f>CONCATENATE("0x",DEC2HEX(E89,4))</f>
        <v>0x0000</v>
      </c>
      <c r="H89" s="374" t="str">
        <f t="shared" ref="H89:H152" si="15">CONCATENATE("0x",DEC2HEX(E89 + (128 * 1),4))</f>
        <v>0x0080</v>
      </c>
      <c r="I89" s="374" t="str">
        <f t="shared" ref="I89:I152" si="16">CONCATENATE("0x",DEC2HEX(E89 + (128 * 2),4))</f>
        <v>0x0100</v>
      </c>
      <c r="J89" s="374" t="str">
        <f t="shared" ref="J89:J152" si="17">CONCATENATE("0x",DEC2HEX(E89 + (128 * 3),4))</f>
        <v>0x0180</v>
      </c>
      <c r="K89" s="374" t="str">
        <f t="shared" ref="K89:K152" si="18">CONCATENATE("0x",DEC2HEX(E89 + (128 * 4),4))</f>
        <v>0x0200</v>
      </c>
      <c r="L89" s="374" t="str">
        <f t="shared" ref="L89:L152" si="19">CONCATENATE("0x",DEC2HEX(E89 + (128 * 5),4))</f>
        <v>0x0280</v>
      </c>
      <c r="M89" s="374" t="str">
        <f t="shared" ref="M89:M152" si="20">CONCATENATE("0x",DEC2HEX(E89 + (128 * 6),4))</f>
        <v>0x0300</v>
      </c>
      <c r="N89" s="374" t="str">
        <f t="shared" ref="N89:N152" si="21">CONCATENATE("0x",DEC2HEX(E89 + (128 * 7),4))</f>
        <v>0x0380</v>
      </c>
      <c r="O89" s="374" t="str">
        <f t="shared" ref="O89:O152" si="22">CONCATENATE("0x",DEC2HEX(E89 + (128 * 8),4))</f>
        <v>0x0400</v>
      </c>
      <c r="P89" s="374" t="str">
        <f t="shared" ref="P89:P152" si="23">CONCATENATE("0x",DEC2HEX(E89 + (128 * 9),4))</f>
        <v>0x0480</v>
      </c>
      <c r="Q89" s="374" t="str">
        <f t="shared" ref="Q89:Q152" si="24">CONCATENATE("0x",DEC2HEX(E89 + (128 * 10),4))</f>
        <v>0x0500</v>
      </c>
      <c r="R89" s="374" t="str">
        <f t="shared" ref="R89:R152" si="25">CONCATENATE("0x",DEC2HEX(E89 + (128 * 11),4))</f>
        <v>0x0580</v>
      </c>
      <c r="S89" s="374" t="str">
        <f>CONCATENATE("0x",DEC2HEX(E89 + (128 * 12),4))</f>
        <v>0x0600</v>
      </c>
      <c r="T89" s="374" t="str">
        <f>CONCATENATE("0x",DEC2HEX(E89 + (128 * 13),4))</f>
        <v>0x0680</v>
      </c>
      <c r="U89" s="374" t="str">
        <f>CONCATENATE("0x",DEC2HEX(E89 + (128 * 14),4))</f>
        <v>0x0700</v>
      </c>
    </row>
    <row r="90" spans="2:21" ht="16.5" customHeight="1" x14ac:dyDescent="0.25">
      <c r="B90" s="448"/>
      <c r="C90" s="444" t="s">
        <v>530</v>
      </c>
      <c r="D90" s="449"/>
      <c r="E90" s="446">
        <v>1</v>
      </c>
      <c r="F90" s="450"/>
      <c r="G90" s="451" t="str">
        <f t="shared" ref="G90:G153" si="26">CONCATENATE("0x",DEC2HEX(E90,4))</f>
        <v>0x0001</v>
      </c>
      <c r="H90" s="374" t="str">
        <f t="shared" si="15"/>
        <v>0x0081</v>
      </c>
      <c r="I90" s="374" t="str">
        <f t="shared" si="16"/>
        <v>0x0101</v>
      </c>
      <c r="J90" s="374" t="str">
        <f t="shared" si="17"/>
        <v>0x0181</v>
      </c>
      <c r="K90" s="374" t="str">
        <f t="shared" si="18"/>
        <v>0x0201</v>
      </c>
      <c r="L90" s="374" t="str">
        <f t="shared" si="19"/>
        <v>0x0281</v>
      </c>
      <c r="M90" s="374" t="str">
        <f t="shared" si="20"/>
        <v>0x0301</v>
      </c>
      <c r="N90" s="374" t="str">
        <f t="shared" si="21"/>
        <v>0x0381</v>
      </c>
      <c r="O90" s="374" t="str">
        <f t="shared" si="22"/>
        <v>0x0401</v>
      </c>
      <c r="P90" s="374" t="str">
        <f t="shared" si="23"/>
        <v>0x0481</v>
      </c>
      <c r="Q90" s="374" t="str">
        <f t="shared" si="24"/>
        <v>0x0501</v>
      </c>
      <c r="R90" s="374" t="str">
        <f t="shared" si="25"/>
        <v>0x0581</v>
      </c>
      <c r="S90" s="374" t="str">
        <f t="shared" ref="S90:S153" si="27">CONCATENATE("0x",DEC2HEX(E90 + (128 * 12),4))</f>
        <v>0x0601</v>
      </c>
      <c r="T90" s="374" t="str">
        <f t="shared" ref="T90:T153" si="28">CONCATENATE("0x",DEC2HEX(E90 + (128 * 13),4))</f>
        <v>0x0681</v>
      </c>
      <c r="U90" s="374" t="str">
        <f t="shared" ref="U90:U153" si="29">CONCATENATE("0x",DEC2HEX(E90 + (128 * 14),4))</f>
        <v>0x0701</v>
      </c>
    </row>
    <row r="91" spans="2:21" ht="16.5" customHeight="1" x14ac:dyDescent="0.25">
      <c r="B91" s="448"/>
      <c r="C91" s="444" t="s">
        <v>532</v>
      </c>
      <c r="D91" s="449"/>
      <c r="E91" s="446">
        <v>2</v>
      </c>
      <c r="F91" s="450"/>
      <c r="G91" s="451" t="str">
        <f t="shared" si="26"/>
        <v>0x0002</v>
      </c>
      <c r="H91" s="374" t="str">
        <f t="shared" si="15"/>
        <v>0x0082</v>
      </c>
      <c r="I91" s="374" t="str">
        <f t="shared" si="16"/>
        <v>0x0102</v>
      </c>
      <c r="J91" s="374" t="str">
        <f t="shared" si="17"/>
        <v>0x0182</v>
      </c>
      <c r="K91" s="374" t="str">
        <f t="shared" si="18"/>
        <v>0x0202</v>
      </c>
      <c r="L91" s="374" t="str">
        <f t="shared" si="19"/>
        <v>0x0282</v>
      </c>
      <c r="M91" s="374" t="str">
        <f t="shared" si="20"/>
        <v>0x0302</v>
      </c>
      <c r="N91" s="374" t="str">
        <f t="shared" si="21"/>
        <v>0x0382</v>
      </c>
      <c r="O91" s="374" t="str">
        <f t="shared" si="22"/>
        <v>0x0402</v>
      </c>
      <c r="P91" s="374" t="str">
        <f t="shared" si="23"/>
        <v>0x0482</v>
      </c>
      <c r="Q91" s="374" t="str">
        <f t="shared" si="24"/>
        <v>0x0502</v>
      </c>
      <c r="R91" s="374" t="str">
        <f t="shared" si="25"/>
        <v>0x0582</v>
      </c>
      <c r="S91" s="374" t="str">
        <f t="shared" si="27"/>
        <v>0x0602</v>
      </c>
      <c r="T91" s="374" t="str">
        <f t="shared" si="28"/>
        <v>0x0682</v>
      </c>
      <c r="U91" s="374" t="str">
        <f t="shared" si="29"/>
        <v>0x0702</v>
      </c>
    </row>
    <row r="92" spans="2:21" ht="16.5" customHeight="1" x14ac:dyDescent="0.25">
      <c r="B92" s="448"/>
      <c r="C92" s="444" t="s">
        <v>772</v>
      </c>
      <c r="D92" s="449"/>
      <c r="E92" s="446">
        <v>3</v>
      </c>
      <c r="F92" s="450"/>
      <c r="G92" s="451" t="str">
        <f t="shared" si="26"/>
        <v>0x0003</v>
      </c>
      <c r="H92" s="374" t="str">
        <f t="shared" si="15"/>
        <v>0x0083</v>
      </c>
      <c r="I92" s="374" t="str">
        <f t="shared" si="16"/>
        <v>0x0103</v>
      </c>
      <c r="J92" s="374" t="str">
        <f t="shared" si="17"/>
        <v>0x0183</v>
      </c>
      <c r="K92" s="374" t="str">
        <f t="shared" si="18"/>
        <v>0x0203</v>
      </c>
      <c r="L92" s="374" t="str">
        <f t="shared" si="19"/>
        <v>0x0283</v>
      </c>
      <c r="M92" s="374" t="str">
        <f t="shared" si="20"/>
        <v>0x0303</v>
      </c>
      <c r="N92" s="374" t="str">
        <f t="shared" si="21"/>
        <v>0x0383</v>
      </c>
      <c r="O92" s="374" t="str">
        <f t="shared" si="22"/>
        <v>0x0403</v>
      </c>
      <c r="P92" s="374" t="str">
        <f t="shared" si="23"/>
        <v>0x0483</v>
      </c>
      <c r="Q92" s="374" t="str">
        <f t="shared" si="24"/>
        <v>0x0503</v>
      </c>
      <c r="R92" s="374" t="str">
        <f t="shared" si="25"/>
        <v>0x0583</v>
      </c>
      <c r="S92" s="374" t="str">
        <f t="shared" si="27"/>
        <v>0x0603</v>
      </c>
      <c r="T92" s="374" t="str">
        <f t="shared" si="28"/>
        <v>0x0683</v>
      </c>
      <c r="U92" s="374" t="str">
        <f t="shared" si="29"/>
        <v>0x0703</v>
      </c>
    </row>
    <row r="93" spans="2:21" ht="16.5" customHeight="1" x14ac:dyDescent="0.25">
      <c r="B93" s="452"/>
      <c r="C93" s="453"/>
      <c r="D93" s="449"/>
      <c r="E93" s="446">
        <v>4</v>
      </c>
      <c r="F93" s="450"/>
      <c r="G93" s="451" t="str">
        <f t="shared" si="26"/>
        <v>0x0004</v>
      </c>
      <c r="H93" s="374" t="str">
        <f t="shared" si="15"/>
        <v>0x0084</v>
      </c>
      <c r="I93" s="374" t="str">
        <f t="shared" si="16"/>
        <v>0x0104</v>
      </c>
      <c r="J93" s="374" t="str">
        <f t="shared" si="17"/>
        <v>0x0184</v>
      </c>
      <c r="K93" s="374" t="str">
        <f t="shared" si="18"/>
        <v>0x0204</v>
      </c>
      <c r="L93" s="374" t="str">
        <f t="shared" si="19"/>
        <v>0x0284</v>
      </c>
      <c r="M93" s="374" t="str">
        <f t="shared" si="20"/>
        <v>0x0304</v>
      </c>
      <c r="N93" s="374" t="str">
        <f t="shared" si="21"/>
        <v>0x0384</v>
      </c>
      <c r="O93" s="374" t="str">
        <f t="shared" si="22"/>
        <v>0x0404</v>
      </c>
      <c r="P93" s="374" t="str">
        <f t="shared" si="23"/>
        <v>0x0484</v>
      </c>
      <c r="Q93" s="374" t="str">
        <f t="shared" si="24"/>
        <v>0x0504</v>
      </c>
      <c r="R93" s="374" t="str">
        <f t="shared" si="25"/>
        <v>0x0584</v>
      </c>
      <c r="S93" s="374" t="str">
        <f t="shared" si="27"/>
        <v>0x0604</v>
      </c>
      <c r="T93" s="374" t="str">
        <f t="shared" si="28"/>
        <v>0x0684</v>
      </c>
      <c r="U93" s="374" t="str">
        <f t="shared" si="29"/>
        <v>0x0704</v>
      </c>
    </row>
    <row r="94" spans="2:21" ht="16.5" customHeight="1" x14ac:dyDescent="0.25">
      <c r="B94" s="452"/>
      <c r="C94" s="444"/>
      <c r="D94" s="449"/>
      <c r="E94" s="446">
        <v>5</v>
      </c>
      <c r="F94" s="450"/>
      <c r="G94" s="451" t="str">
        <f t="shared" si="26"/>
        <v>0x0005</v>
      </c>
      <c r="H94" s="374" t="str">
        <f t="shared" si="15"/>
        <v>0x0085</v>
      </c>
      <c r="I94" s="374" t="str">
        <f t="shared" si="16"/>
        <v>0x0105</v>
      </c>
      <c r="J94" s="374" t="str">
        <f t="shared" si="17"/>
        <v>0x0185</v>
      </c>
      <c r="K94" s="374" t="str">
        <f t="shared" si="18"/>
        <v>0x0205</v>
      </c>
      <c r="L94" s="374" t="str">
        <f t="shared" si="19"/>
        <v>0x0285</v>
      </c>
      <c r="M94" s="374" t="str">
        <f t="shared" si="20"/>
        <v>0x0305</v>
      </c>
      <c r="N94" s="374" t="str">
        <f t="shared" si="21"/>
        <v>0x0385</v>
      </c>
      <c r="O94" s="374" t="str">
        <f t="shared" si="22"/>
        <v>0x0405</v>
      </c>
      <c r="P94" s="374" t="str">
        <f t="shared" si="23"/>
        <v>0x0485</v>
      </c>
      <c r="Q94" s="374" t="str">
        <f t="shared" si="24"/>
        <v>0x0505</v>
      </c>
      <c r="R94" s="374" t="str">
        <f t="shared" si="25"/>
        <v>0x0585</v>
      </c>
      <c r="S94" s="374" t="str">
        <f t="shared" si="27"/>
        <v>0x0605</v>
      </c>
      <c r="T94" s="374" t="str">
        <f t="shared" si="28"/>
        <v>0x0685</v>
      </c>
      <c r="U94" s="374" t="str">
        <f t="shared" si="29"/>
        <v>0x0705</v>
      </c>
    </row>
    <row r="95" spans="2:21" ht="16.5" customHeight="1" x14ac:dyDescent="0.25">
      <c r="B95" s="454" t="s">
        <v>773</v>
      </c>
      <c r="C95" s="444"/>
      <c r="D95" s="449"/>
      <c r="E95" s="446">
        <v>6</v>
      </c>
      <c r="F95" s="450"/>
      <c r="G95" s="451" t="str">
        <f t="shared" si="26"/>
        <v>0x0006</v>
      </c>
      <c r="H95" s="374" t="str">
        <f t="shared" si="15"/>
        <v>0x0086</v>
      </c>
      <c r="I95" s="374" t="str">
        <f t="shared" si="16"/>
        <v>0x0106</v>
      </c>
      <c r="J95" s="374" t="str">
        <f t="shared" si="17"/>
        <v>0x0186</v>
      </c>
      <c r="K95" s="374" t="str">
        <f t="shared" si="18"/>
        <v>0x0206</v>
      </c>
      <c r="L95" s="374" t="str">
        <f t="shared" si="19"/>
        <v>0x0286</v>
      </c>
      <c r="M95" s="374" t="str">
        <f t="shared" si="20"/>
        <v>0x0306</v>
      </c>
      <c r="N95" s="374" t="str">
        <f t="shared" si="21"/>
        <v>0x0386</v>
      </c>
      <c r="O95" s="374" t="str">
        <f t="shared" si="22"/>
        <v>0x0406</v>
      </c>
      <c r="P95" s="374" t="str">
        <f t="shared" si="23"/>
        <v>0x0486</v>
      </c>
      <c r="Q95" s="374" t="str">
        <f t="shared" si="24"/>
        <v>0x0506</v>
      </c>
      <c r="R95" s="374" t="str">
        <f t="shared" si="25"/>
        <v>0x0586</v>
      </c>
      <c r="S95" s="374" t="str">
        <f t="shared" si="27"/>
        <v>0x0606</v>
      </c>
      <c r="T95" s="374" t="str">
        <f t="shared" si="28"/>
        <v>0x0686</v>
      </c>
      <c r="U95" s="374" t="str">
        <f t="shared" si="29"/>
        <v>0x0706</v>
      </c>
    </row>
    <row r="96" spans="2:21" ht="16.5" customHeight="1" x14ac:dyDescent="0.25">
      <c r="B96" s="454" t="s">
        <v>774</v>
      </c>
      <c r="C96" s="444"/>
      <c r="D96" s="455"/>
      <c r="E96" s="446">
        <v>7</v>
      </c>
      <c r="F96" s="450"/>
      <c r="G96" s="451" t="str">
        <f t="shared" si="26"/>
        <v>0x0007</v>
      </c>
      <c r="H96" s="374" t="str">
        <f t="shared" si="15"/>
        <v>0x0087</v>
      </c>
      <c r="I96" s="374" t="str">
        <f t="shared" si="16"/>
        <v>0x0107</v>
      </c>
      <c r="J96" s="374" t="str">
        <f t="shared" si="17"/>
        <v>0x0187</v>
      </c>
      <c r="K96" s="374" t="str">
        <f t="shared" si="18"/>
        <v>0x0207</v>
      </c>
      <c r="L96" s="374" t="str">
        <f t="shared" si="19"/>
        <v>0x0287</v>
      </c>
      <c r="M96" s="374" t="str">
        <f t="shared" si="20"/>
        <v>0x0307</v>
      </c>
      <c r="N96" s="374" t="str">
        <f t="shared" si="21"/>
        <v>0x0387</v>
      </c>
      <c r="O96" s="374" t="str">
        <f t="shared" si="22"/>
        <v>0x0407</v>
      </c>
      <c r="P96" s="374" t="str">
        <f t="shared" si="23"/>
        <v>0x0487</v>
      </c>
      <c r="Q96" s="374" t="str">
        <f t="shared" si="24"/>
        <v>0x0507</v>
      </c>
      <c r="R96" s="374" t="str">
        <f t="shared" si="25"/>
        <v>0x0587</v>
      </c>
      <c r="S96" s="374" t="str">
        <f t="shared" si="27"/>
        <v>0x0607</v>
      </c>
      <c r="T96" s="374" t="str">
        <f t="shared" si="28"/>
        <v>0x0687</v>
      </c>
      <c r="U96" s="374" t="str">
        <f t="shared" si="29"/>
        <v>0x0707</v>
      </c>
    </row>
    <row r="97" spans="2:24" ht="16.5" customHeight="1" x14ac:dyDescent="0.25">
      <c r="B97" s="452"/>
      <c r="C97" s="444" t="s">
        <v>775</v>
      </c>
      <c r="D97" s="445" t="s">
        <v>776</v>
      </c>
      <c r="E97" s="446">
        <v>8</v>
      </c>
      <c r="F97" s="450"/>
      <c r="G97" s="451" t="str">
        <f t="shared" si="26"/>
        <v>0x0008</v>
      </c>
      <c r="H97" s="374" t="str">
        <f t="shared" si="15"/>
        <v>0x0088</v>
      </c>
      <c r="I97" s="374" t="str">
        <f t="shared" si="16"/>
        <v>0x0108</v>
      </c>
      <c r="J97" s="374" t="str">
        <f t="shared" si="17"/>
        <v>0x0188</v>
      </c>
      <c r="K97" s="374" t="str">
        <f t="shared" si="18"/>
        <v>0x0208</v>
      </c>
      <c r="L97" s="374" t="str">
        <f t="shared" si="19"/>
        <v>0x0288</v>
      </c>
      <c r="M97" s="374" t="str">
        <f t="shared" si="20"/>
        <v>0x0308</v>
      </c>
      <c r="N97" s="374" t="str">
        <f t="shared" si="21"/>
        <v>0x0388</v>
      </c>
      <c r="O97" s="374" t="str">
        <f t="shared" si="22"/>
        <v>0x0408</v>
      </c>
      <c r="P97" s="374" t="str">
        <f t="shared" si="23"/>
        <v>0x0488</v>
      </c>
      <c r="Q97" s="374" t="str">
        <f t="shared" si="24"/>
        <v>0x0508</v>
      </c>
      <c r="R97" s="374" t="str">
        <f t="shared" si="25"/>
        <v>0x0588</v>
      </c>
      <c r="S97" s="374" t="str">
        <f t="shared" si="27"/>
        <v>0x0608</v>
      </c>
      <c r="T97" s="374" t="str">
        <f t="shared" si="28"/>
        <v>0x0688</v>
      </c>
      <c r="U97" s="374" t="str">
        <f t="shared" si="29"/>
        <v>0x0708</v>
      </c>
    </row>
    <row r="98" spans="2:24" ht="16.5" customHeight="1" x14ac:dyDescent="0.25">
      <c r="B98" s="456" t="s">
        <v>777</v>
      </c>
      <c r="C98" s="444" t="s">
        <v>531</v>
      </c>
      <c r="D98" s="449"/>
      <c r="E98" s="446">
        <v>9</v>
      </c>
      <c r="F98" s="450"/>
      <c r="G98" s="451" t="str">
        <f t="shared" si="26"/>
        <v>0x0009</v>
      </c>
      <c r="H98" s="374" t="str">
        <f t="shared" si="15"/>
        <v>0x0089</v>
      </c>
      <c r="I98" s="374" t="str">
        <f t="shared" si="16"/>
        <v>0x0109</v>
      </c>
      <c r="J98" s="374" t="str">
        <f t="shared" si="17"/>
        <v>0x0189</v>
      </c>
      <c r="K98" s="374" t="str">
        <f t="shared" si="18"/>
        <v>0x0209</v>
      </c>
      <c r="L98" s="374" t="str">
        <f t="shared" si="19"/>
        <v>0x0289</v>
      </c>
      <c r="M98" s="374" t="str">
        <f t="shared" si="20"/>
        <v>0x0309</v>
      </c>
      <c r="N98" s="374" t="str">
        <f t="shared" si="21"/>
        <v>0x0389</v>
      </c>
      <c r="O98" s="374" t="str">
        <f t="shared" si="22"/>
        <v>0x0409</v>
      </c>
      <c r="P98" s="374" t="str">
        <f t="shared" si="23"/>
        <v>0x0489</v>
      </c>
      <c r="Q98" s="374" t="str">
        <f t="shared" si="24"/>
        <v>0x0509</v>
      </c>
      <c r="R98" s="374" t="str">
        <f t="shared" si="25"/>
        <v>0x0589</v>
      </c>
      <c r="S98" s="374" t="str">
        <f t="shared" si="27"/>
        <v>0x0609</v>
      </c>
      <c r="T98" s="374" t="str">
        <f t="shared" si="28"/>
        <v>0x0689</v>
      </c>
      <c r="U98" s="374" t="str">
        <f t="shared" si="29"/>
        <v>0x0709</v>
      </c>
      <c r="X98" s="457" t="s">
        <v>778</v>
      </c>
    </row>
    <row r="99" spans="2:24" ht="16.5" customHeight="1" x14ac:dyDescent="0.25">
      <c r="B99" s="456" t="s">
        <v>779</v>
      </c>
      <c r="C99" s="444" t="s">
        <v>780</v>
      </c>
      <c r="D99" s="449"/>
      <c r="E99" s="446">
        <v>10</v>
      </c>
      <c r="F99" s="450"/>
      <c r="G99" s="451" t="str">
        <f t="shared" si="26"/>
        <v>0x000A</v>
      </c>
      <c r="H99" s="374" t="str">
        <f t="shared" si="15"/>
        <v>0x008A</v>
      </c>
      <c r="I99" s="374" t="str">
        <f t="shared" si="16"/>
        <v>0x010A</v>
      </c>
      <c r="J99" s="374" t="str">
        <f t="shared" si="17"/>
        <v>0x018A</v>
      </c>
      <c r="K99" s="374" t="str">
        <f t="shared" si="18"/>
        <v>0x020A</v>
      </c>
      <c r="L99" s="374" t="str">
        <f t="shared" si="19"/>
        <v>0x028A</v>
      </c>
      <c r="M99" s="374" t="str">
        <f t="shared" si="20"/>
        <v>0x030A</v>
      </c>
      <c r="N99" s="374" t="str">
        <f t="shared" si="21"/>
        <v>0x038A</v>
      </c>
      <c r="O99" s="374" t="str">
        <f t="shared" si="22"/>
        <v>0x040A</v>
      </c>
      <c r="P99" s="374" t="str">
        <f t="shared" si="23"/>
        <v>0x048A</v>
      </c>
      <c r="Q99" s="374" t="str">
        <f t="shared" si="24"/>
        <v>0x050A</v>
      </c>
      <c r="R99" s="374" t="str">
        <f t="shared" si="25"/>
        <v>0x058A</v>
      </c>
      <c r="S99" s="374" t="str">
        <f t="shared" si="27"/>
        <v>0x060A</v>
      </c>
      <c r="T99" s="374" t="str">
        <f t="shared" si="28"/>
        <v>0x068A</v>
      </c>
      <c r="U99" s="374" t="str">
        <f t="shared" si="29"/>
        <v>0x070A</v>
      </c>
      <c r="X99" s="458" t="s">
        <v>781</v>
      </c>
    </row>
    <row r="100" spans="2:24" ht="16.5" customHeight="1" x14ac:dyDescent="0.25">
      <c r="B100" s="456" t="s">
        <v>782</v>
      </c>
      <c r="C100" s="444" t="s">
        <v>783</v>
      </c>
      <c r="D100" s="449"/>
      <c r="E100" s="371">
        <v>11</v>
      </c>
      <c r="F100" s="450"/>
      <c r="G100" s="451" t="str">
        <f t="shared" si="26"/>
        <v>0x000B</v>
      </c>
      <c r="H100" s="374" t="str">
        <f t="shared" si="15"/>
        <v>0x008B</v>
      </c>
      <c r="I100" s="374" t="str">
        <f t="shared" si="16"/>
        <v>0x010B</v>
      </c>
      <c r="J100" s="374" t="str">
        <f t="shared" si="17"/>
        <v>0x018B</v>
      </c>
      <c r="K100" s="374" t="str">
        <f t="shared" si="18"/>
        <v>0x020B</v>
      </c>
      <c r="L100" s="374" t="str">
        <f t="shared" si="19"/>
        <v>0x028B</v>
      </c>
      <c r="M100" s="374" t="str">
        <f t="shared" si="20"/>
        <v>0x030B</v>
      </c>
      <c r="N100" s="374" t="str">
        <f t="shared" si="21"/>
        <v>0x038B</v>
      </c>
      <c r="O100" s="374" t="str">
        <f t="shared" si="22"/>
        <v>0x040B</v>
      </c>
      <c r="P100" s="374" t="str">
        <f t="shared" si="23"/>
        <v>0x048B</v>
      </c>
      <c r="Q100" s="374" t="str">
        <f t="shared" si="24"/>
        <v>0x050B</v>
      </c>
      <c r="R100" s="374" t="str">
        <f t="shared" si="25"/>
        <v>0x058B</v>
      </c>
      <c r="S100" s="374" t="str">
        <f t="shared" si="27"/>
        <v>0x060B</v>
      </c>
      <c r="T100" s="374" t="str">
        <f t="shared" si="28"/>
        <v>0x068B</v>
      </c>
      <c r="U100" s="374" t="str">
        <f t="shared" si="29"/>
        <v>0x070B</v>
      </c>
      <c r="X100" s="457" t="s">
        <v>784</v>
      </c>
    </row>
    <row r="101" spans="2:24" ht="16.5" customHeight="1" x14ac:dyDescent="0.25">
      <c r="B101" s="456" t="s">
        <v>785</v>
      </c>
      <c r="C101" s="444" t="s">
        <v>786</v>
      </c>
      <c r="D101" s="449"/>
      <c r="E101" s="371">
        <v>12</v>
      </c>
      <c r="F101" s="450"/>
      <c r="G101" s="451" t="str">
        <f t="shared" si="26"/>
        <v>0x000C</v>
      </c>
      <c r="H101" s="374" t="str">
        <f t="shared" si="15"/>
        <v>0x008C</v>
      </c>
      <c r="I101" s="374" t="str">
        <f t="shared" si="16"/>
        <v>0x010C</v>
      </c>
      <c r="J101" s="374" t="str">
        <f t="shared" si="17"/>
        <v>0x018C</v>
      </c>
      <c r="K101" s="374" t="str">
        <f t="shared" si="18"/>
        <v>0x020C</v>
      </c>
      <c r="L101" s="374" t="str">
        <f t="shared" si="19"/>
        <v>0x028C</v>
      </c>
      <c r="M101" s="374" t="str">
        <f t="shared" si="20"/>
        <v>0x030C</v>
      </c>
      <c r="N101" s="374" t="str">
        <f t="shared" si="21"/>
        <v>0x038C</v>
      </c>
      <c r="O101" s="374" t="str">
        <f t="shared" si="22"/>
        <v>0x040C</v>
      </c>
      <c r="P101" s="374" t="str">
        <f t="shared" si="23"/>
        <v>0x048C</v>
      </c>
      <c r="Q101" s="374" t="str">
        <f t="shared" si="24"/>
        <v>0x050C</v>
      </c>
      <c r="R101" s="374" t="str">
        <f t="shared" si="25"/>
        <v>0x058C</v>
      </c>
      <c r="S101" s="374" t="str">
        <f t="shared" si="27"/>
        <v>0x060C</v>
      </c>
      <c r="T101" s="374" t="str">
        <f t="shared" si="28"/>
        <v>0x068C</v>
      </c>
      <c r="U101" s="374" t="str">
        <f t="shared" si="29"/>
        <v>0x070C</v>
      </c>
      <c r="X101" s="457" t="s">
        <v>787</v>
      </c>
    </row>
    <row r="102" spans="2:24" ht="16.5" customHeight="1" x14ac:dyDescent="0.25">
      <c r="B102" s="452"/>
      <c r="C102" s="444" t="s">
        <v>788</v>
      </c>
      <c r="D102" s="449"/>
      <c r="E102" s="371">
        <v>13</v>
      </c>
      <c r="F102" s="450"/>
      <c r="G102" s="451" t="str">
        <f t="shared" si="26"/>
        <v>0x000D</v>
      </c>
      <c r="H102" s="374" t="str">
        <f t="shared" si="15"/>
        <v>0x008D</v>
      </c>
      <c r="I102" s="374" t="str">
        <f t="shared" si="16"/>
        <v>0x010D</v>
      </c>
      <c r="J102" s="374" t="str">
        <f t="shared" si="17"/>
        <v>0x018D</v>
      </c>
      <c r="K102" s="374" t="str">
        <f t="shared" si="18"/>
        <v>0x020D</v>
      </c>
      <c r="L102" s="374" t="str">
        <f t="shared" si="19"/>
        <v>0x028D</v>
      </c>
      <c r="M102" s="374" t="str">
        <f t="shared" si="20"/>
        <v>0x030D</v>
      </c>
      <c r="N102" s="374" t="str">
        <f t="shared" si="21"/>
        <v>0x038D</v>
      </c>
      <c r="O102" s="374" t="str">
        <f t="shared" si="22"/>
        <v>0x040D</v>
      </c>
      <c r="P102" s="374" t="str">
        <f t="shared" si="23"/>
        <v>0x048D</v>
      </c>
      <c r="Q102" s="374" t="str">
        <f t="shared" si="24"/>
        <v>0x050D</v>
      </c>
      <c r="R102" s="374" t="str">
        <f t="shared" si="25"/>
        <v>0x058D</v>
      </c>
      <c r="S102" s="374" t="str">
        <f t="shared" si="27"/>
        <v>0x060D</v>
      </c>
      <c r="T102" s="374" t="str">
        <f t="shared" si="28"/>
        <v>0x068D</v>
      </c>
      <c r="U102" s="374" t="str">
        <f t="shared" si="29"/>
        <v>0x070D</v>
      </c>
      <c r="X102" s="457" t="s">
        <v>789</v>
      </c>
    </row>
    <row r="103" spans="2:24" ht="16.5" customHeight="1" x14ac:dyDescent="0.25">
      <c r="B103" s="452"/>
      <c r="C103" s="444"/>
      <c r="D103" s="449"/>
      <c r="E103" s="371">
        <v>14</v>
      </c>
      <c r="F103" s="450"/>
      <c r="G103" s="451" t="str">
        <f t="shared" si="26"/>
        <v>0x000E</v>
      </c>
      <c r="H103" s="374" t="str">
        <f t="shared" si="15"/>
        <v>0x008E</v>
      </c>
      <c r="I103" s="374" t="str">
        <f t="shared" si="16"/>
        <v>0x010E</v>
      </c>
      <c r="J103" s="374" t="str">
        <f t="shared" si="17"/>
        <v>0x018E</v>
      </c>
      <c r="K103" s="374" t="str">
        <f t="shared" si="18"/>
        <v>0x020E</v>
      </c>
      <c r="L103" s="374" t="str">
        <f t="shared" si="19"/>
        <v>0x028E</v>
      </c>
      <c r="M103" s="374" t="str">
        <f t="shared" si="20"/>
        <v>0x030E</v>
      </c>
      <c r="N103" s="374" t="str">
        <f t="shared" si="21"/>
        <v>0x038E</v>
      </c>
      <c r="O103" s="374" t="str">
        <f t="shared" si="22"/>
        <v>0x040E</v>
      </c>
      <c r="P103" s="374" t="str">
        <f t="shared" si="23"/>
        <v>0x048E</v>
      </c>
      <c r="Q103" s="374" t="str">
        <f t="shared" si="24"/>
        <v>0x050E</v>
      </c>
      <c r="R103" s="374" t="str">
        <f t="shared" si="25"/>
        <v>0x058E</v>
      </c>
      <c r="S103" s="374" t="str">
        <f t="shared" si="27"/>
        <v>0x060E</v>
      </c>
      <c r="T103" s="374" t="str">
        <f t="shared" si="28"/>
        <v>0x068E</v>
      </c>
      <c r="U103" s="374" t="str">
        <f t="shared" si="29"/>
        <v>0x070E</v>
      </c>
    </row>
    <row r="104" spans="2:24" ht="16.5" customHeight="1" thickBot="1" x14ac:dyDescent="0.3">
      <c r="B104" s="452"/>
      <c r="C104" s="459"/>
      <c r="D104" s="460"/>
      <c r="E104" s="384">
        <v>15</v>
      </c>
      <c r="F104" s="461"/>
      <c r="G104" s="462" t="str">
        <f t="shared" si="26"/>
        <v>0x000F</v>
      </c>
      <c r="H104" s="387" t="str">
        <f t="shared" si="15"/>
        <v>0x008F</v>
      </c>
      <c r="I104" s="387" t="str">
        <f t="shared" si="16"/>
        <v>0x010F</v>
      </c>
      <c r="J104" s="387" t="str">
        <f t="shared" si="17"/>
        <v>0x018F</v>
      </c>
      <c r="K104" s="387" t="str">
        <f t="shared" si="18"/>
        <v>0x020F</v>
      </c>
      <c r="L104" s="387" t="str">
        <f t="shared" si="19"/>
        <v>0x028F</v>
      </c>
      <c r="M104" s="387" t="str">
        <f t="shared" si="20"/>
        <v>0x030F</v>
      </c>
      <c r="N104" s="387" t="str">
        <f t="shared" si="21"/>
        <v>0x038F</v>
      </c>
      <c r="O104" s="387" t="str">
        <f t="shared" si="22"/>
        <v>0x040F</v>
      </c>
      <c r="P104" s="387" t="str">
        <f t="shared" si="23"/>
        <v>0x048F</v>
      </c>
      <c r="Q104" s="387" t="str">
        <f t="shared" si="24"/>
        <v>0x050F</v>
      </c>
      <c r="R104" s="387" t="str">
        <f t="shared" si="25"/>
        <v>0x058F</v>
      </c>
      <c r="S104" s="387" t="str">
        <f t="shared" si="27"/>
        <v>0x060F</v>
      </c>
      <c r="T104" s="387" t="str">
        <f t="shared" si="28"/>
        <v>0x068F</v>
      </c>
      <c r="U104" s="387" t="str">
        <f t="shared" si="29"/>
        <v>0x070F</v>
      </c>
    </row>
    <row r="105" spans="2:24" ht="16.5" customHeight="1" thickTop="1" x14ac:dyDescent="0.25">
      <c r="B105" s="452"/>
      <c r="C105" s="463" t="s">
        <v>790</v>
      </c>
      <c r="D105" s="464" t="s">
        <v>791</v>
      </c>
      <c r="E105" s="465">
        <v>16</v>
      </c>
      <c r="F105" s="466">
        <v>2</v>
      </c>
      <c r="G105" s="467" t="str">
        <f t="shared" si="26"/>
        <v>0x0010</v>
      </c>
      <c r="H105" s="397" t="str">
        <f t="shared" si="15"/>
        <v>0x0090</v>
      </c>
      <c r="I105" s="397" t="str">
        <f t="shared" si="16"/>
        <v>0x0110</v>
      </c>
      <c r="J105" s="397" t="str">
        <f t="shared" si="17"/>
        <v>0x0190</v>
      </c>
      <c r="K105" s="397" t="str">
        <f t="shared" si="18"/>
        <v>0x0210</v>
      </c>
      <c r="L105" s="397" t="str">
        <f t="shared" si="19"/>
        <v>0x0290</v>
      </c>
      <c r="M105" s="397" t="str">
        <f t="shared" si="20"/>
        <v>0x0310</v>
      </c>
      <c r="N105" s="397" t="str">
        <f t="shared" si="21"/>
        <v>0x0390</v>
      </c>
      <c r="O105" s="397" t="str">
        <f t="shared" si="22"/>
        <v>0x0410</v>
      </c>
      <c r="P105" s="397" t="str">
        <f t="shared" si="23"/>
        <v>0x0490</v>
      </c>
      <c r="Q105" s="397" t="str">
        <f t="shared" si="24"/>
        <v>0x0510</v>
      </c>
      <c r="R105" s="397" t="str">
        <f t="shared" si="25"/>
        <v>0x0590</v>
      </c>
      <c r="S105" s="468" t="str">
        <f t="shared" si="27"/>
        <v>0x0610</v>
      </c>
      <c r="T105" s="468" t="str">
        <f t="shared" si="28"/>
        <v>0x0690</v>
      </c>
      <c r="U105" s="468" t="str">
        <f t="shared" si="29"/>
        <v>0x0710</v>
      </c>
    </row>
    <row r="106" spans="2:24" ht="16.5" customHeight="1" x14ac:dyDescent="0.25">
      <c r="B106" s="456" t="s">
        <v>792</v>
      </c>
      <c r="C106" s="469" t="s">
        <v>793</v>
      </c>
      <c r="D106" s="470"/>
      <c r="E106" s="446">
        <v>17</v>
      </c>
      <c r="F106" s="471"/>
      <c r="G106" s="451" t="str">
        <f t="shared" si="26"/>
        <v>0x0011</v>
      </c>
      <c r="H106" s="374" t="str">
        <f t="shared" si="15"/>
        <v>0x0091</v>
      </c>
      <c r="I106" s="374" t="str">
        <f t="shared" si="16"/>
        <v>0x0111</v>
      </c>
      <c r="J106" s="374" t="str">
        <f t="shared" si="17"/>
        <v>0x0191</v>
      </c>
      <c r="K106" s="374" t="str">
        <f t="shared" si="18"/>
        <v>0x0211</v>
      </c>
      <c r="L106" s="374" t="str">
        <f t="shared" si="19"/>
        <v>0x0291</v>
      </c>
      <c r="M106" s="374" t="str">
        <f t="shared" si="20"/>
        <v>0x0311</v>
      </c>
      <c r="N106" s="374" t="str">
        <f t="shared" si="21"/>
        <v>0x0391</v>
      </c>
      <c r="O106" s="374" t="str">
        <f t="shared" si="22"/>
        <v>0x0411</v>
      </c>
      <c r="P106" s="374" t="str">
        <f t="shared" si="23"/>
        <v>0x0491</v>
      </c>
      <c r="Q106" s="374" t="str">
        <f t="shared" si="24"/>
        <v>0x0511</v>
      </c>
      <c r="R106" s="374" t="str">
        <f t="shared" si="25"/>
        <v>0x0591</v>
      </c>
      <c r="S106" s="374" t="str">
        <f t="shared" si="27"/>
        <v>0x0611</v>
      </c>
      <c r="T106" s="374" t="str">
        <f t="shared" si="28"/>
        <v>0x0691</v>
      </c>
      <c r="U106" s="374" t="str">
        <f t="shared" si="29"/>
        <v>0x0711</v>
      </c>
    </row>
    <row r="107" spans="2:24" ht="16.5" customHeight="1" x14ac:dyDescent="0.25">
      <c r="B107" s="456" t="s">
        <v>794</v>
      </c>
      <c r="C107" s="469" t="s">
        <v>795</v>
      </c>
      <c r="D107" s="470"/>
      <c r="E107" s="446">
        <v>18</v>
      </c>
      <c r="F107" s="471"/>
      <c r="G107" s="451" t="str">
        <f t="shared" si="26"/>
        <v>0x0012</v>
      </c>
      <c r="H107" s="374" t="str">
        <f t="shared" si="15"/>
        <v>0x0092</v>
      </c>
      <c r="I107" s="374" t="str">
        <f t="shared" si="16"/>
        <v>0x0112</v>
      </c>
      <c r="J107" s="374" t="str">
        <f t="shared" si="17"/>
        <v>0x0192</v>
      </c>
      <c r="K107" s="374" t="str">
        <f t="shared" si="18"/>
        <v>0x0212</v>
      </c>
      <c r="L107" s="374" t="str">
        <f t="shared" si="19"/>
        <v>0x0292</v>
      </c>
      <c r="M107" s="374" t="str">
        <f t="shared" si="20"/>
        <v>0x0312</v>
      </c>
      <c r="N107" s="374" t="str">
        <f t="shared" si="21"/>
        <v>0x0392</v>
      </c>
      <c r="O107" s="374" t="str">
        <f t="shared" si="22"/>
        <v>0x0412</v>
      </c>
      <c r="P107" s="374" t="str">
        <f t="shared" si="23"/>
        <v>0x0492</v>
      </c>
      <c r="Q107" s="374" t="str">
        <f t="shared" si="24"/>
        <v>0x0512</v>
      </c>
      <c r="R107" s="374" t="str">
        <f t="shared" si="25"/>
        <v>0x0592</v>
      </c>
      <c r="S107" s="374" t="str">
        <f t="shared" si="27"/>
        <v>0x0612</v>
      </c>
      <c r="T107" s="374" t="str">
        <f t="shared" si="28"/>
        <v>0x0692</v>
      </c>
      <c r="U107" s="374" t="str">
        <f t="shared" si="29"/>
        <v>0x0712</v>
      </c>
    </row>
    <row r="108" spans="2:24" ht="16.5" customHeight="1" x14ac:dyDescent="0.25">
      <c r="B108" s="456" t="s">
        <v>796</v>
      </c>
      <c r="C108" s="469" t="s">
        <v>797</v>
      </c>
      <c r="D108" s="470"/>
      <c r="E108" s="446">
        <v>19</v>
      </c>
      <c r="F108" s="471"/>
      <c r="G108" s="451" t="str">
        <f t="shared" si="26"/>
        <v>0x0013</v>
      </c>
      <c r="H108" s="374" t="str">
        <f t="shared" si="15"/>
        <v>0x0093</v>
      </c>
      <c r="I108" s="374" t="str">
        <f t="shared" si="16"/>
        <v>0x0113</v>
      </c>
      <c r="J108" s="374" t="str">
        <f t="shared" si="17"/>
        <v>0x0193</v>
      </c>
      <c r="K108" s="374" t="str">
        <f t="shared" si="18"/>
        <v>0x0213</v>
      </c>
      <c r="L108" s="374" t="str">
        <f t="shared" si="19"/>
        <v>0x0293</v>
      </c>
      <c r="M108" s="374" t="str">
        <f t="shared" si="20"/>
        <v>0x0313</v>
      </c>
      <c r="N108" s="374" t="str">
        <f t="shared" si="21"/>
        <v>0x0393</v>
      </c>
      <c r="O108" s="374" t="str">
        <f t="shared" si="22"/>
        <v>0x0413</v>
      </c>
      <c r="P108" s="374" t="str">
        <f t="shared" si="23"/>
        <v>0x0493</v>
      </c>
      <c r="Q108" s="374" t="str">
        <f t="shared" si="24"/>
        <v>0x0513</v>
      </c>
      <c r="R108" s="374" t="str">
        <f t="shared" si="25"/>
        <v>0x0593</v>
      </c>
      <c r="S108" s="374" t="str">
        <f t="shared" si="27"/>
        <v>0x0613</v>
      </c>
      <c r="T108" s="374" t="str">
        <f t="shared" si="28"/>
        <v>0x0693</v>
      </c>
      <c r="U108" s="374" t="str">
        <f t="shared" si="29"/>
        <v>0x0713</v>
      </c>
    </row>
    <row r="109" spans="2:24" ht="16.5" customHeight="1" x14ac:dyDescent="0.25">
      <c r="B109" s="456" t="s">
        <v>798</v>
      </c>
      <c r="C109" s="469" t="s">
        <v>799</v>
      </c>
      <c r="D109" s="470"/>
      <c r="E109" s="446">
        <v>20</v>
      </c>
      <c r="F109" s="471"/>
      <c r="G109" s="451" t="str">
        <f t="shared" si="26"/>
        <v>0x0014</v>
      </c>
      <c r="H109" s="374" t="str">
        <f t="shared" si="15"/>
        <v>0x0094</v>
      </c>
      <c r="I109" s="374" t="str">
        <f t="shared" si="16"/>
        <v>0x0114</v>
      </c>
      <c r="J109" s="374" t="str">
        <f t="shared" si="17"/>
        <v>0x0194</v>
      </c>
      <c r="K109" s="374" t="str">
        <f t="shared" si="18"/>
        <v>0x0214</v>
      </c>
      <c r="L109" s="374" t="str">
        <f t="shared" si="19"/>
        <v>0x0294</v>
      </c>
      <c r="M109" s="374" t="str">
        <f t="shared" si="20"/>
        <v>0x0314</v>
      </c>
      <c r="N109" s="374" t="str">
        <f t="shared" si="21"/>
        <v>0x0394</v>
      </c>
      <c r="O109" s="374" t="str">
        <f t="shared" si="22"/>
        <v>0x0414</v>
      </c>
      <c r="P109" s="374" t="str">
        <f t="shared" si="23"/>
        <v>0x0494</v>
      </c>
      <c r="Q109" s="374" t="str">
        <f t="shared" si="24"/>
        <v>0x0514</v>
      </c>
      <c r="R109" s="374" t="str">
        <f t="shared" si="25"/>
        <v>0x0594</v>
      </c>
      <c r="S109" s="374" t="str">
        <f t="shared" si="27"/>
        <v>0x0614</v>
      </c>
      <c r="T109" s="374" t="str">
        <f t="shared" si="28"/>
        <v>0x0694</v>
      </c>
      <c r="U109" s="374" t="str">
        <f t="shared" si="29"/>
        <v>0x0714</v>
      </c>
    </row>
    <row r="110" spans="2:24" ht="16.5" customHeight="1" x14ac:dyDescent="0.25">
      <c r="B110" s="456" t="s">
        <v>800</v>
      </c>
      <c r="C110" s="469" t="s">
        <v>801</v>
      </c>
      <c r="D110" s="470"/>
      <c r="E110" s="446">
        <v>21</v>
      </c>
      <c r="F110" s="471"/>
      <c r="G110" s="451" t="str">
        <f t="shared" si="26"/>
        <v>0x0015</v>
      </c>
      <c r="H110" s="374" t="str">
        <f t="shared" si="15"/>
        <v>0x0095</v>
      </c>
      <c r="I110" s="374" t="str">
        <f t="shared" si="16"/>
        <v>0x0115</v>
      </c>
      <c r="J110" s="374" t="str">
        <f t="shared" si="17"/>
        <v>0x0195</v>
      </c>
      <c r="K110" s="374" t="str">
        <f t="shared" si="18"/>
        <v>0x0215</v>
      </c>
      <c r="L110" s="374" t="str">
        <f t="shared" si="19"/>
        <v>0x0295</v>
      </c>
      <c r="M110" s="374" t="str">
        <f t="shared" si="20"/>
        <v>0x0315</v>
      </c>
      <c r="N110" s="374" t="str">
        <f t="shared" si="21"/>
        <v>0x0395</v>
      </c>
      <c r="O110" s="374" t="str">
        <f t="shared" si="22"/>
        <v>0x0415</v>
      </c>
      <c r="P110" s="374" t="str">
        <f t="shared" si="23"/>
        <v>0x0495</v>
      </c>
      <c r="Q110" s="374" t="str">
        <f t="shared" si="24"/>
        <v>0x0515</v>
      </c>
      <c r="R110" s="374" t="str">
        <f t="shared" si="25"/>
        <v>0x0595</v>
      </c>
      <c r="S110" s="374" t="str">
        <f t="shared" si="27"/>
        <v>0x0615</v>
      </c>
      <c r="T110" s="374" t="str">
        <f t="shared" si="28"/>
        <v>0x0695</v>
      </c>
      <c r="U110" s="374" t="str">
        <f t="shared" si="29"/>
        <v>0x0715</v>
      </c>
    </row>
    <row r="111" spans="2:24" ht="16.5" customHeight="1" x14ac:dyDescent="0.25">
      <c r="B111" s="452"/>
      <c r="C111" s="469" t="s">
        <v>802</v>
      </c>
      <c r="D111" s="470"/>
      <c r="E111" s="446">
        <v>22</v>
      </c>
      <c r="F111" s="471"/>
      <c r="G111" s="451" t="str">
        <f t="shared" si="26"/>
        <v>0x0016</v>
      </c>
      <c r="H111" s="374" t="str">
        <f t="shared" si="15"/>
        <v>0x0096</v>
      </c>
      <c r="I111" s="374" t="str">
        <f t="shared" si="16"/>
        <v>0x0116</v>
      </c>
      <c r="J111" s="374" t="str">
        <f t="shared" si="17"/>
        <v>0x0196</v>
      </c>
      <c r="K111" s="374" t="str">
        <f t="shared" si="18"/>
        <v>0x0216</v>
      </c>
      <c r="L111" s="374" t="str">
        <f t="shared" si="19"/>
        <v>0x0296</v>
      </c>
      <c r="M111" s="374" t="str">
        <f t="shared" si="20"/>
        <v>0x0316</v>
      </c>
      <c r="N111" s="374" t="str">
        <f t="shared" si="21"/>
        <v>0x0396</v>
      </c>
      <c r="O111" s="374" t="str">
        <f t="shared" si="22"/>
        <v>0x0416</v>
      </c>
      <c r="P111" s="374" t="str">
        <f t="shared" si="23"/>
        <v>0x0496</v>
      </c>
      <c r="Q111" s="374" t="str">
        <f t="shared" si="24"/>
        <v>0x0516</v>
      </c>
      <c r="R111" s="374" t="str">
        <f t="shared" si="25"/>
        <v>0x0596</v>
      </c>
      <c r="S111" s="374" t="str">
        <f t="shared" si="27"/>
        <v>0x0616</v>
      </c>
      <c r="T111" s="374" t="str">
        <f t="shared" si="28"/>
        <v>0x0696</v>
      </c>
      <c r="U111" s="374" t="str">
        <f t="shared" si="29"/>
        <v>0x0716</v>
      </c>
    </row>
    <row r="112" spans="2:24" ht="16.5" customHeight="1" x14ac:dyDescent="0.25">
      <c r="B112" s="456" t="s">
        <v>803</v>
      </c>
      <c r="C112" s="469" t="s">
        <v>804</v>
      </c>
      <c r="D112" s="472"/>
      <c r="E112" s="446">
        <v>23</v>
      </c>
      <c r="F112" s="471"/>
      <c r="G112" s="451" t="str">
        <f t="shared" si="26"/>
        <v>0x0017</v>
      </c>
      <c r="H112" s="374" t="str">
        <f t="shared" si="15"/>
        <v>0x0097</v>
      </c>
      <c r="I112" s="374" t="str">
        <f t="shared" si="16"/>
        <v>0x0117</v>
      </c>
      <c r="J112" s="374" t="str">
        <f t="shared" si="17"/>
        <v>0x0197</v>
      </c>
      <c r="K112" s="374" t="str">
        <f t="shared" si="18"/>
        <v>0x0217</v>
      </c>
      <c r="L112" s="374" t="str">
        <f t="shared" si="19"/>
        <v>0x0297</v>
      </c>
      <c r="M112" s="374" t="str">
        <f t="shared" si="20"/>
        <v>0x0317</v>
      </c>
      <c r="N112" s="374" t="str">
        <f t="shared" si="21"/>
        <v>0x0397</v>
      </c>
      <c r="O112" s="374" t="str">
        <f t="shared" si="22"/>
        <v>0x0417</v>
      </c>
      <c r="P112" s="374" t="str">
        <f t="shared" si="23"/>
        <v>0x0497</v>
      </c>
      <c r="Q112" s="374" t="str">
        <f t="shared" si="24"/>
        <v>0x0517</v>
      </c>
      <c r="R112" s="374" t="str">
        <f t="shared" si="25"/>
        <v>0x0597</v>
      </c>
      <c r="S112" s="374" t="str">
        <f t="shared" si="27"/>
        <v>0x0617</v>
      </c>
      <c r="T112" s="374" t="str">
        <f t="shared" si="28"/>
        <v>0x0697</v>
      </c>
      <c r="U112" s="374" t="str">
        <f t="shared" si="29"/>
        <v>0x0717</v>
      </c>
    </row>
    <row r="113" spans="2:21" ht="16.5" customHeight="1" x14ac:dyDescent="0.25">
      <c r="B113" s="456" t="s">
        <v>805</v>
      </c>
      <c r="C113" s="469" t="s">
        <v>806</v>
      </c>
      <c r="D113" s="470" t="s">
        <v>807</v>
      </c>
      <c r="E113" s="446">
        <v>24</v>
      </c>
      <c r="F113" s="471"/>
      <c r="G113" s="451" t="str">
        <f t="shared" si="26"/>
        <v>0x0018</v>
      </c>
      <c r="H113" s="374" t="str">
        <f t="shared" si="15"/>
        <v>0x0098</v>
      </c>
      <c r="I113" s="374" t="str">
        <f t="shared" si="16"/>
        <v>0x0118</v>
      </c>
      <c r="J113" s="374" t="str">
        <f t="shared" si="17"/>
        <v>0x0198</v>
      </c>
      <c r="K113" s="374" t="str">
        <f t="shared" si="18"/>
        <v>0x0218</v>
      </c>
      <c r="L113" s="374" t="str">
        <f t="shared" si="19"/>
        <v>0x0298</v>
      </c>
      <c r="M113" s="374" t="str">
        <f t="shared" si="20"/>
        <v>0x0318</v>
      </c>
      <c r="N113" s="374" t="str">
        <f t="shared" si="21"/>
        <v>0x0398</v>
      </c>
      <c r="O113" s="374" t="str">
        <f t="shared" si="22"/>
        <v>0x0418</v>
      </c>
      <c r="P113" s="374" t="str">
        <f t="shared" si="23"/>
        <v>0x0498</v>
      </c>
      <c r="Q113" s="374" t="str">
        <f t="shared" si="24"/>
        <v>0x0518</v>
      </c>
      <c r="R113" s="374" t="str">
        <f t="shared" si="25"/>
        <v>0x0598</v>
      </c>
      <c r="S113" s="374" t="str">
        <f t="shared" si="27"/>
        <v>0x0618</v>
      </c>
      <c r="T113" s="374" t="str">
        <f t="shared" si="28"/>
        <v>0x0698</v>
      </c>
      <c r="U113" s="374" t="str">
        <f t="shared" si="29"/>
        <v>0x0718</v>
      </c>
    </row>
    <row r="114" spans="2:21" ht="16.5" customHeight="1" x14ac:dyDescent="0.25">
      <c r="B114" s="456" t="s">
        <v>808</v>
      </c>
      <c r="C114" s="469" t="s">
        <v>809</v>
      </c>
      <c r="D114" s="470"/>
      <c r="E114" s="446">
        <v>25</v>
      </c>
      <c r="F114" s="471"/>
      <c r="G114" s="451" t="str">
        <f t="shared" si="26"/>
        <v>0x0019</v>
      </c>
      <c r="H114" s="374" t="str">
        <f t="shared" si="15"/>
        <v>0x0099</v>
      </c>
      <c r="I114" s="374" t="str">
        <f t="shared" si="16"/>
        <v>0x0119</v>
      </c>
      <c r="J114" s="374" t="str">
        <f t="shared" si="17"/>
        <v>0x0199</v>
      </c>
      <c r="K114" s="374" t="str">
        <f t="shared" si="18"/>
        <v>0x0219</v>
      </c>
      <c r="L114" s="374" t="str">
        <f t="shared" si="19"/>
        <v>0x0299</v>
      </c>
      <c r="M114" s="374" t="str">
        <f t="shared" si="20"/>
        <v>0x0319</v>
      </c>
      <c r="N114" s="374" t="str">
        <f t="shared" si="21"/>
        <v>0x0399</v>
      </c>
      <c r="O114" s="374" t="str">
        <f t="shared" si="22"/>
        <v>0x0419</v>
      </c>
      <c r="P114" s="374" t="str">
        <f t="shared" si="23"/>
        <v>0x0499</v>
      </c>
      <c r="Q114" s="374" t="str">
        <f t="shared" si="24"/>
        <v>0x0519</v>
      </c>
      <c r="R114" s="374" t="str">
        <f t="shared" si="25"/>
        <v>0x0599</v>
      </c>
      <c r="S114" s="374" t="str">
        <f t="shared" si="27"/>
        <v>0x0619</v>
      </c>
      <c r="T114" s="374" t="str">
        <f t="shared" si="28"/>
        <v>0x0699</v>
      </c>
      <c r="U114" s="374" t="str">
        <f t="shared" si="29"/>
        <v>0x0719</v>
      </c>
    </row>
    <row r="115" spans="2:21" ht="16.5" customHeight="1" x14ac:dyDescent="0.25">
      <c r="B115" s="473" t="s">
        <v>810</v>
      </c>
      <c r="C115" s="469" t="s">
        <v>811</v>
      </c>
      <c r="D115" s="474"/>
      <c r="E115" s="446">
        <v>26</v>
      </c>
      <c r="F115" s="471"/>
      <c r="G115" s="451" t="str">
        <f t="shared" si="26"/>
        <v>0x001A</v>
      </c>
      <c r="H115" s="374" t="str">
        <f t="shared" si="15"/>
        <v>0x009A</v>
      </c>
      <c r="I115" s="374" t="str">
        <f t="shared" si="16"/>
        <v>0x011A</v>
      </c>
      <c r="J115" s="374" t="str">
        <f t="shared" si="17"/>
        <v>0x019A</v>
      </c>
      <c r="K115" s="374" t="str">
        <f t="shared" si="18"/>
        <v>0x021A</v>
      </c>
      <c r="L115" s="374" t="str">
        <f t="shared" si="19"/>
        <v>0x029A</v>
      </c>
      <c r="M115" s="374" t="str">
        <f t="shared" si="20"/>
        <v>0x031A</v>
      </c>
      <c r="N115" s="374" t="str">
        <f t="shared" si="21"/>
        <v>0x039A</v>
      </c>
      <c r="O115" s="374" t="str">
        <f t="shared" si="22"/>
        <v>0x041A</v>
      </c>
      <c r="P115" s="374" t="str">
        <f t="shared" si="23"/>
        <v>0x049A</v>
      </c>
      <c r="Q115" s="374" t="str">
        <f t="shared" si="24"/>
        <v>0x051A</v>
      </c>
      <c r="R115" s="374" t="str">
        <f t="shared" si="25"/>
        <v>0x059A</v>
      </c>
      <c r="S115" s="374" t="str">
        <f t="shared" si="27"/>
        <v>0x061A</v>
      </c>
      <c r="T115" s="374" t="str">
        <f t="shared" si="28"/>
        <v>0x069A</v>
      </c>
      <c r="U115" s="374" t="str">
        <f t="shared" si="29"/>
        <v>0x071A</v>
      </c>
    </row>
    <row r="116" spans="2:21" ht="16.5" customHeight="1" x14ac:dyDescent="0.25">
      <c r="B116" s="473" t="s">
        <v>812</v>
      </c>
      <c r="C116" s="469" t="s">
        <v>813</v>
      </c>
      <c r="D116" s="470" t="s">
        <v>814</v>
      </c>
      <c r="E116" s="446">
        <v>27</v>
      </c>
      <c r="F116" s="471"/>
      <c r="G116" s="451" t="str">
        <f t="shared" si="26"/>
        <v>0x001B</v>
      </c>
      <c r="H116" s="374" t="str">
        <f t="shared" si="15"/>
        <v>0x009B</v>
      </c>
      <c r="I116" s="374" t="str">
        <f t="shared" si="16"/>
        <v>0x011B</v>
      </c>
      <c r="J116" s="374" t="str">
        <f t="shared" si="17"/>
        <v>0x019B</v>
      </c>
      <c r="K116" s="374" t="str">
        <f t="shared" si="18"/>
        <v>0x021B</v>
      </c>
      <c r="L116" s="374" t="str">
        <f t="shared" si="19"/>
        <v>0x029B</v>
      </c>
      <c r="M116" s="374" t="str">
        <f t="shared" si="20"/>
        <v>0x031B</v>
      </c>
      <c r="N116" s="374" t="str">
        <f t="shared" si="21"/>
        <v>0x039B</v>
      </c>
      <c r="O116" s="374" t="str">
        <f t="shared" si="22"/>
        <v>0x041B</v>
      </c>
      <c r="P116" s="374" t="str">
        <f t="shared" si="23"/>
        <v>0x049B</v>
      </c>
      <c r="Q116" s="374" t="str">
        <f t="shared" si="24"/>
        <v>0x051B</v>
      </c>
      <c r="R116" s="374" t="str">
        <f t="shared" si="25"/>
        <v>0x059B</v>
      </c>
      <c r="S116" s="374" t="str">
        <f t="shared" si="27"/>
        <v>0x061B</v>
      </c>
      <c r="T116" s="374" t="str">
        <f t="shared" si="28"/>
        <v>0x069B</v>
      </c>
      <c r="U116" s="374" t="str">
        <f t="shared" si="29"/>
        <v>0x071B</v>
      </c>
    </row>
    <row r="117" spans="2:21" ht="16.5" customHeight="1" x14ac:dyDescent="0.25">
      <c r="B117" s="475" t="s">
        <v>815</v>
      </c>
      <c r="C117" s="469"/>
      <c r="D117" s="476"/>
      <c r="E117" s="446">
        <v>28</v>
      </c>
      <c r="F117" s="471"/>
      <c r="G117" s="451" t="str">
        <f t="shared" si="26"/>
        <v>0x001C</v>
      </c>
      <c r="H117" s="374" t="str">
        <f t="shared" si="15"/>
        <v>0x009C</v>
      </c>
      <c r="I117" s="374" t="str">
        <f t="shared" si="16"/>
        <v>0x011C</v>
      </c>
      <c r="J117" s="374" t="str">
        <f t="shared" si="17"/>
        <v>0x019C</v>
      </c>
      <c r="K117" s="374" t="str">
        <f t="shared" si="18"/>
        <v>0x021C</v>
      </c>
      <c r="L117" s="374" t="str">
        <f t="shared" si="19"/>
        <v>0x029C</v>
      </c>
      <c r="M117" s="374" t="str">
        <f t="shared" si="20"/>
        <v>0x031C</v>
      </c>
      <c r="N117" s="374" t="str">
        <f t="shared" si="21"/>
        <v>0x039C</v>
      </c>
      <c r="O117" s="374" t="str">
        <f t="shared" si="22"/>
        <v>0x041C</v>
      </c>
      <c r="P117" s="374" t="str">
        <f t="shared" si="23"/>
        <v>0x049C</v>
      </c>
      <c r="Q117" s="374" t="str">
        <f t="shared" si="24"/>
        <v>0x051C</v>
      </c>
      <c r="R117" s="374" t="str">
        <f t="shared" si="25"/>
        <v>0x059C</v>
      </c>
      <c r="S117" s="374" t="str">
        <f t="shared" si="27"/>
        <v>0x061C</v>
      </c>
      <c r="T117" s="374" t="str">
        <f t="shared" si="28"/>
        <v>0x069C</v>
      </c>
      <c r="U117" s="374" t="str">
        <f t="shared" si="29"/>
        <v>0x071C</v>
      </c>
    </row>
    <row r="118" spans="2:21" ht="16.5" customHeight="1" x14ac:dyDescent="0.25">
      <c r="B118" s="473" t="s">
        <v>816</v>
      </c>
      <c r="C118" s="469"/>
      <c r="D118" s="474"/>
      <c r="E118" s="446">
        <v>29</v>
      </c>
      <c r="F118" s="471"/>
      <c r="G118" s="451" t="str">
        <f t="shared" si="26"/>
        <v>0x001D</v>
      </c>
      <c r="H118" s="374" t="str">
        <f t="shared" si="15"/>
        <v>0x009D</v>
      </c>
      <c r="I118" s="374" t="str">
        <f t="shared" si="16"/>
        <v>0x011D</v>
      </c>
      <c r="J118" s="374" t="str">
        <f t="shared" si="17"/>
        <v>0x019D</v>
      </c>
      <c r="K118" s="374" t="str">
        <f t="shared" si="18"/>
        <v>0x021D</v>
      </c>
      <c r="L118" s="374" t="str">
        <f t="shared" si="19"/>
        <v>0x029D</v>
      </c>
      <c r="M118" s="374" t="str">
        <f t="shared" si="20"/>
        <v>0x031D</v>
      </c>
      <c r="N118" s="374" t="str">
        <f t="shared" si="21"/>
        <v>0x039D</v>
      </c>
      <c r="O118" s="374" t="str">
        <f t="shared" si="22"/>
        <v>0x041D</v>
      </c>
      <c r="P118" s="374" t="str">
        <f t="shared" si="23"/>
        <v>0x049D</v>
      </c>
      <c r="Q118" s="374" t="str">
        <f t="shared" si="24"/>
        <v>0x051D</v>
      </c>
      <c r="R118" s="374" t="str">
        <f t="shared" si="25"/>
        <v>0x059D</v>
      </c>
      <c r="S118" s="374" t="str">
        <f t="shared" si="27"/>
        <v>0x061D</v>
      </c>
      <c r="T118" s="374" t="str">
        <f t="shared" si="28"/>
        <v>0x069D</v>
      </c>
      <c r="U118" s="374" t="str">
        <f t="shared" si="29"/>
        <v>0x071D</v>
      </c>
    </row>
    <row r="119" spans="2:21" ht="16.5" customHeight="1" x14ac:dyDescent="0.3">
      <c r="B119" s="452"/>
      <c r="C119" s="477" t="s">
        <v>817</v>
      </c>
      <c r="D119" s="478" t="s">
        <v>310</v>
      </c>
      <c r="E119" s="446">
        <v>30</v>
      </c>
      <c r="F119" s="471"/>
      <c r="G119" s="451" t="str">
        <f t="shared" si="26"/>
        <v>0x001E</v>
      </c>
      <c r="H119" s="374" t="str">
        <f t="shared" si="15"/>
        <v>0x009E</v>
      </c>
      <c r="I119" s="374" t="str">
        <f t="shared" si="16"/>
        <v>0x011E</v>
      </c>
      <c r="J119" s="374" t="str">
        <f t="shared" si="17"/>
        <v>0x019E</v>
      </c>
      <c r="K119" s="374" t="str">
        <f t="shared" si="18"/>
        <v>0x021E</v>
      </c>
      <c r="L119" s="374" t="str">
        <f t="shared" si="19"/>
        <v>0x029E</v>
      </c>
      <c r="M119" s="374" t="str">
        <f t="shared" si="20"/>
        <v>0x031E</v>
      </c>
      <c r="N119" s="374" t="str">
        <f t="shared" si="21"/>
        <v>0x039E</v>
      </c>
      <c r="O119" s="374" t="str">
        <f t="shared" si="22"/>
        <v>0x041E</v>
      </c>
      <c r="P119" s="374" t="str">
        <f t="shared" si="23"/>
        <v>0x049E</v>
      </c>
      <c r="Q119" s="374" t="str">
        <f t="shared" si="24"/>
        <v>0x051E</v>
      </c>
      <c r="R119" s="374" t="str">
        <f t="shared" si="25"/>
        <v>0x059E</v>
      </c>
      <c r="S119" s="374" t="str">
        <f t="shared" si="27"/>
        <v>0x061E</v>
      </c>
      <c r="T119" s="374" t="str">
        <f t="shared" si="28"/>
        <v>0x069E</v>
      </c>
      <c r="U119" s="374" t="str">
        <f t="shared" si="29"/>
        <v>0x071E</v>
      </c>
    </row>
    <row r="120" spans="2:21" ht="16.5" customHeight="1" thickBot="1" x14ac:dyDescent="0.3">
      <c r="B120" s="473" t="s">
        <v>818</v>
      </c>
      <c r="C120" s="479"/>
      <c r="D120" s="480"/>
      <c r="E120" s="481">
        <v>31</v>
      </c>
      <c r="F120" s="482"/>
      <c r="G120" s="462" t="str">
        <f t="shared" si="26"/>
        <v>0x001F</v>
      </c>
      <c r="H120" s="387" t="str">
        <f t="shared" si="15"/>
        <v>0x009F</v>
      </c>
      <c r="I120" s="387" t="str">
        <f t="shared" si="16"/>
        <v>0x011F</v>
      </c>
      <c r="J120" s="387" t="str">
        <f t="shared" si="17"/>
        <v>0x019F</v>
      </c>
      <c r="K120" s="387" t="str">
        <f t="shared" si="18"/>
        <v>0x021F</v>
      </c>
      <c r="L120" s="387" t="str">
        <f t="shared" si="19"/>
        <v>0x029F</v>
      </c>
      <c r="M120" s="387" t="str">
        <f t="shared" si="20"/>
        <v>0x031F</v>
      </c>
      <c r="N120" s="387" t="str">
        <f t="shared" si="21"/>
        <v>0x039F</v>
      </c>
      <c r="O120" s="387" t="str">
        <f t="shared" si="22"/>
        <v>0x041F</v>
      </c>
      <c r="P120" s="387" t="str">
        <f t="shared" si="23"/>
        <v>0x049F</v>
      </c>
      <c r="Q120" s="387" t="str">
        <f t="shared" si="24"/>
        <v>0x051F</v>
      </c>
      <c r="R120" s="387" t="str">
        <f t="shared" si="25"/>
        <v>0x059F</v>
      </c>
      <c r="S120" s="387" t="str">
        <f t="shared" si="27"/>
        <v>0x061F</v>
      </c>
      <c r="T120" s="387" t="str">
        <f t="shared" si="28"/>
        <v>0x069F</v>
      </c>
      <c r="U120" s="387" t="str">
        <f t="shared" si="29"/>
        <v>0x071F</v>
      </c>
    </row>
    <row r="121" spans="2:21" ht="16.5" customHeight="1" thickTop="1" x14ac:dyDescent="0.25">
      <c r="B121" s="452"/>
      <c r="C121" s="483" t="s">
        <v>819</v>
      </c>
      <c r="D121" s="484" t="s">
        <v>820</v>
      </c>
      <c r="E121" s="465">
        <v>32</v>
      </c>
      <c r="F121" s="466">
        <v>3</v>
      </c>
      <c r="G121" s="467" t="str">
        <f t="shared" si="26"/>
        <v>0x0020</v>
      </c>
      <c r="H121" s="397" t="str">
        <f t="shared" si="15"/>
        <v>0x00A0</v>
      </c>
      <c r="I121" s="397" t="str">
        <f t="shared" si="16"/>
        <v>0x0120</v>
      </c>
      <c r="J121" s="397" t="str">
        <f t="shared" si="17"/>
        <v>0x01A0</v>
      </c>
      <c r="K121" s="397" t="str">
        <f t="shared" si="18"/>
        <v>0x0220</v>
      </c>
      <c r="L121" s="397" t="str">
        <f t="shared" si="19"/>
        <v>0x02A0</v>
      </c>
      <c r="M121" s="397" t="str">
        <f t="shared" si="20"/>
        <v>0x0320</v>
      </c>
      <c r="N121" s="397" t="str">
        <f t="shared" si="21"/>
        <v>0x03A0</v>
      </c>
      <c r="O121" s="397" t="str">
        <f t="shared" si="22"/>
        <v>0x0420</v>
      </c>
      <c r="P121" s="397" t="str">
        <f t="shared" si="23"/>
        <v>0x04A0</v>
      </c>
      <c r="Q121" s="397" t="str">
        <f t="shared" si="24"/>
        <v>0x0520</v>
      </c>
      <c r="R121" s="397" t="str">
        <f t="shared" si="25"/>
        <v>0x05A0</v>
      </c>
      <c r="S121" s="468" t="str">
        <f t="shared" si="27"/>
        <v>0x0620</v>
      </c>
      <c r="T121" s="468" t="str">
        <f t="shared" si="28"/>
        <v>0x06A0</v>
      </c>
      <c r="U121" s="468" t="str">
        <f t="shared" si="29"/>
        <v>0x0720</v>
      </c>
    </row>
    <row r="122" spans="2:21" ht="16.5" customHeight="1" x14ac:dyDescent="0.25">
      <c r="B122" s="456" t="s">
        <v>821</v>
      </c>
      <c r="C122" s="469" t="s">
        <v>822</v>
      </c>
      <c r="D122" s="470" t="s">
        <v>820</v>
      </c>
      <c r="E122" s="446">
        <v>33</v>
      </c>
      <c r="F122" s="471"/>
      <c r="G122" s="451" t="str">
        <f t="shared" si="26"/>
        <v>0x0021</v>
      </c>
      <c r="H122" s="374" t="str">
        <f t="shared" si="15"/>
        <v>0x00A1</v>
      </c>
      <c r="I122" s="374" t="str">
        <f t="shared" si="16"/>
        <v>0x0121</v>
      </c>
      <c r="J122" s="374" t="str">
        <f t="shared" si="17"/>
        <v>0x01A1</v>
      </c>
      <c r="K122" s="374" t="str">
        <f t="shared" si="18"/>
        <v>0x0221</v>
      </c>
      <c r="L122" s="374" t="str">
        <f t="shared" si="19"/>
        <v>0x02A1</v>
      </c>
      <c r="M122" s="374" t="str">
        <f t="shared" si="20"/>
        <v>0x0321</v>
      </c>
      <c r="N122" s="374" t="str">
        <f t="shared" si="21"/>
        <v>0x03A1</v>
      </c>
      <c r="O122" s="374" t="str">
        <f t="shared" si="22"/>
        <v>0x0421</v>
      </c>
      <c r="P122" s="374" t="str">
        <f t="shared" si="23"/>
        <v>0x04A1</v>
      </c>
      <c r="Q122" s="374" t="str">
        <f t="shared" si="24"/>
        <v>0x0521</v>
      </c>
      <c r="R122" s="374" t="str">
        <f t="shared" si="25"/>
        <v>0x05A1</v>
      </c>
      <c r="S122" s="374" t="str">
        <f t="shared" si="27"/>
        <v>0x0621</v>
      </c>
      <c r="T122" s="374" t="str">
        <f t="shared" si="28"/>
        <v>0x06A1</v>
      </c>
      <c r="U122" s="374" t="str">
        <f t="shared" si="29"/>
        <v>0x0721</v>
      </c>
    </row>
    <row r="123" spans="2:21" ht="16.5" customHeight="1" x14ac:dyDescent="0.25">
      <c r="B123" s="456" t="s">
        <v>823</v>
      </c>
      <c r="C123" s="469"/>
      <c r="D123" s="470"/>
      <c r="E123" s="446">
        <v>34</v>
      </c>
      <c r="F123" s="471"/>
      <c r="G123" s="451" t="str">
        <f t="shared" si="26"/>
        <v>0x0022</v>
      </c>
      <c r="H123" s="374" t="str">
        <f t="shared" si="15"/>
        <v>0x00A2</v>
      </c>
      <c r="I123" s="374" t="str">
        <f t="shared" si="16"/>
        <v>0x0122</v>
      </c>
      <c r="J123" s="374" t="str">
        <f t="shared" si="17"/>
        <v>0x01A2</v>
      </c>
      <c r="K123" s="374" t="str">
        <f t="shared" si="18"/>
        <v>0x0222</v>
      </c>
      <c r="L123" s="374" t="str">
        <f t="shared" si="19"/>
        <v>0x02A2</v>
      </c>
      <c r="M123" s="374" t="str">
        <f t="shared" si="20"/>
        <v>0x0322</v>
      </c>
      <c r="N123" s="374" t="str">
        <f t="shared" si="21"/>
        <v>0x03A2</v>
      </c>
      <c r="O123" s="374" t="str">
        <f t="shared" si="22"/>
        <v>0x0422</v>
      </c>
      <c r="P123" s="374" t="str">
        <f t="shared" si="23"/>
        <v>0x04A2</v>
      </c>
      <c r="Q123" s="374" t="str">
        <f t="shared" si="24"/>
        <v>0x0522</v>
      </c>
      <c r="R123" s="374" t="str">
        <f t="shared" si="25"/>
        <v>0x05A2</v>
      </c>
      <c r="S123" s="374" t="str">
        <f t="shared" si="27"/>
        <v>0x0622</v>
      </c>
      <c r="T123" s="374" t="str">
        <f t="shared" si="28"/>
        <v>0x06A2</v>
      </c>
      <c r="U123" s="374" t="str">
        <f t="shared" si="29"/>
        <v>0x0722</v>
      </c>
    </row>
    <row r="124" spans="2:21" ht="16.5" customHeight="1" x14ac:dyDescent="0.25">
      <c r="B124" s="452"/>
      <c r="C124" s="485" t="s">
        <v>824</v>
      </c>
      <c r="D124" s="470"/>
      <c r="E124" s="446">
        <v>35</v>
      </c>
      <c r="F124" s="471"/>
      <c r="G124" s="451" t="str">
        <f t="shared" si="26"/>
        <v>0x0023</v>
      </c>
      <c r="H124" s="374" t="str">
        <f t="shared" si="15"/>
        <v>0x00A3</v>
      </c>
      <c r="I124" s="374" t="str">
        <f t="shared" si="16"/>
        <v>0x0123</v>
      </c>
      <c r="J124" s="374" t="str">
        <f t="shared" si="17"/>
        <v>0x01A3</v>
      </c>
      <c r="K124" s="374" t="str">
        <f t="shared" si="18"/>
        <v>0x0223</v>
      </c>
      <c r="L124" s="374" t="str">
        <f t="shared" si="19"/>
        <v>0x02A3</v>
      </c>
      <c r="M124" s="374" t="str">
        <f t="shared" si="20"/>
        <v>0x0323</v>
      </c>
      <c r="N124" s="374" t="str">
        <f t="shared" si="21"/>
        <v>0x03A3</v>
      </c>
      <c r="O124" s="374" t="str">
        <f t="shared" si="22"/>
        <v>0x0423</v>
      </c>
      <c r="P124" s="374" t="str">
        <f t="shared" si="23"/>
        <v>0x04A3</v>
      </c>
      <c r="Q124" s="374" t="str">
        <f t="shared" si="24"/>
        <v>0x0523</v>
      </c>
      <c r="R124" s="374" t="str">
        <f t="shared" si="25"/>
        <v>0x05A3</v>
      </c>
      <c r="S124" s="374" t="str">
        <f t="shared" si="27"/>
        <v>0x0623</v>
      </c>
      <c r="T124" s="374" t="str">
        <f t="shared" si="28"/>
        <v>0x06A3</v>
      </c>
      <c r="U124" s="374" t="str">
        <f t="shared" si="29"/>
        <v>0x0723</v>
      </c>
    </row>
    <row r="125" spans="2:21" ht="16.5" customHeight="1" x14ac:dyDescent="0.25">
      <c r="B125" s="452"/>
      <c r="C125" s="485" t="s">
        <v>825</v>
      </c>
      <c r="D125" s="470"/>
      <c r="E125" s="446">
        <v>36</v>
      </c>
      <c r="F125" s="471"/>
      <c r="G125" s="451" t="str">
        <f t="shared" si="26"/>
        <v>0x0024</v>
      </c>
      <c r="H125" s="374" t="str">
        <f t="shared" si="15"/>
        <v>0x00A4</v>
      </c>
      <c r="I125" s="374" t="str">
        <f t="shared" si="16"/>
        <v>0x0124</v>
      </c>
      <c r="J125" s="374" t="str">
        <f t="shared" si="17"/>
        <v>0x01A4</v>
      </c>
      <c r="K125" s="374" t="str">
        <f t="shared" si="18"/>
        <v>0x0224</v>
      </c>
      <c r="L125" s="374" t="str">
        <f t="shared" si="19"/>
        <v>0x02A4</v>
      </c>
      <c r="M125" s="374" t="str">
        <f t="shared" si="20"/>
        <v>0x0324</v>
      </c>
      <c r="N125" s="374" t="str">
        <f t="shared" si="21"/>
        <v>0x03A4</v>
      </c>
      <c r="O125" s="374" t="str">
        <f t="shared" si="22"/>
        <v>0x0424</v>
      </c>
      <c r="P125" s="374" t="str">
        <f t="shared" si="23"/>
        <v>0x04A4</v>
      </c>
      <c r="Q125" s="374" t="str">
        <f t="shared" si="24"/>
        <v>0x0524</v>
      </c>
      <c r="R125" s="374" t="str">
        <f t="shared" si="25"/>
        <v>0x05A4</v>
      </c>
      <c r="S125" s="374" t="str">
        <f t="shared" si="27"/>
        <v>0x0624</v>
      </c>
      <c r="T125" s="374" t="str">
        <f t="shared" si="28"/>
        <v>0x06A4</v>
      </c>
      <c r="U125" s="374" t="str">
        <f t="shared" si="29"/>
        <v>0x0724</v>
      </c>
    </row>
    <row r="126" spans="2:21" ht="16.5" customHeight="1" x14ac:dyDescent="0.25">
      <c r="B126" s="452"/>
      <c r="C126" s="486" t="s">
        <v>826</v>
      </c>
      <c r="D126" s="470"/>
      <c r="E126" s="446">
        <v>37</v>
      </c>
      <c r="F126" s="471"/>
      <c r="G126" s="451" t="str">
        <f t="shared" si="26"/>
        <v>0x0025</v>
      </c>
      <c r="H126" s="374" t="str">
        <f t="shared" si="15"/>
        <v>0x00A5</v>
      </c>
      <c r="I126" s="374" t="str">
        <f t="shared" si="16"/>
        <v>0x0125</v>
      </c>
      <c r="J126" s="374" t="str">
        <f t="shared" si="17"/>
        <v>0x01A5</v>
      </c>
      <c r="K126" s="374" t="str">
        <f t="shared" si="18"/>
        <v>0x0225</v>
      </c>
      <c r="L126" s="374" t="str">
        <f t="shared" si="19"/>
        <v>0x02A5</v>
      </c>
      <c r="M126" s="374" t="str">
        <f t="shared" si="20"/>
        <v>0x0325</v>
      </c>
      <c r="N126" s="374" t="str">
        <f t="shared" si="21"/>
        <v>0x03A5</v>
      </c>
      <c r="O126" s="374" t="str">
        <f t="shared" si="22"/>
        <v>0x0425</v>
      </c>
      <c r="P126" s="374" t="str">
        <f t="shared" si="23"/>
        <v>0x04A5</v>
      </c>
      <c r="Q126" s="374" t="str">
        <f t="shared" si="24"/>
        <v>0x0525</v>
      </c>
      <c r="R126" s="374" t="str">
        <f t="shared" si="25"/>
        <v>0x05A5</v>
      </c>
      <c r="S126" s="374" t="str">
        <f t="shared" si="27"/>
        <v>0x0625</v>
      </c>
      <c r="T126" s="374" t="str">
        <f t="shared" si="28"/>
        <v>0x06A5</v>
      </c>
      <c r="U126" s="374" t="str">
        <f t="shared" si="29"/>
        <v>0x0725</v>
      </c>
    </row>
    <row r="127" spans="2:21" ht="16.5" customHeight="1" x14ac:dyDescent="0.25">
      <c r="B127" s="452"/>
      <c r="C127" s="486" t="s">
        <v>737</v>
      </c>
      <c r="D127" s="470"/>
      <c r="E127" s="446">
        <v>38</v>
      </c>
      <c r="F127" s="471"/>
      <c r="G127" s="451" t="str">
        <f t="shared" si="26"/>
        <v>0x0026</v>
      </c>
      <c r="H127" s="374" t="str">
        <f t="shared" si="15"/>
        <v>0x00A6</v>
      </c>
      <c r="I127" s="374" t="str">
        <f t="shared" si="16"/>
        <v>0x0126</v>
      </c>
      <c r="J127" s="374" t="str">
        <f t="shared" si="17"/>
        <v>0x01A6</v>
      </c>
      <c r="K127" s="374" t="str">
        <f t="shared" si="18"/>
        <v>0x0226</v>
      </c>
      <c r="L127" s="374" t="str">
        <f t="shared" si="19"/>
        <v>0x02A6</v>
      </c>
      <c r="M127" s="374" t="str">
        <f t="shared" si="20"/>
        <v>0x0326</v>
      </c>
      <c r="N127" s="374" t="str">
        <f t="shared" si="21"/>
        <v>0x03A6</v>
      </c>
      <c r="O127" s="374" t="str">
        <f t="shared" si="22"/>
        <v>0x0426</v>
      </c>
      <c r="P127" s="374" t="str">
        <f t="shared" si="23"/>
        <v>0x04A6</v>
      </c>
      <c r="Q127" s="374" t="str">
        <f t="shared" si="24"/>
        <v>0x0526</v>
      </c>
      <c r="R127" s="374" t="str">
        <f t="shared" si="25"/>
        <v>0x05A6</v>
      </c>
      <c r="S127" s="374" t="str">
        <f t="shared" si="27"/>
        <v>0x0626</v>
      </c>
      <c r="T127" s="374" t="str">
        <f t="shared" si="28"/>
        <v>0x06A6</v>
      </c>
      <c r="U127" s="374" t="str">
        <f t="shared" si="29"/>
        <v>0x0726</v>
      </c>
    </row>
    <row r="128" spans="2:21" ht="16.5" customHeight="1" x14ac:dyDescent="0.25">
      <c r="B128" s="452"/>
      <c r="C128" s="487" t="s">
        <v>737</v>
      </c>
      <c r="D128" s="470"/>
      <c r="E128" s="446">
        <v>39</v>
      </c>
      <c r="F128" s="471"/>
      <c r="G128" s="451" t="str">
        <f t="shared" si="26"/>
        <v>0x0027</v>
      </c>
      <c r="H128" s="374" t="str">
        <f t="shared" si="15"/>
        <v>0x00A7</v>
      </c>
      <c r="I128" s="374" t="str">
        <f t="shared" si="16"/>
        <v>0x0127</v>
      </c>
      <c r="J128" s="374" t="str">
        <f t="shared" si="17"/>
        <v>0x01A7</v>
      </c>
      <c r="K128" s="374" t="str">
        <f t="shared" si="18"/>
        <v>0x0227</v>
      </c>
      <c r="L128" s="374" t="str">
        <f t="shared" si="19"/>
        <v>0x02A7</v>
      </c>
      <c r="M128" s="374" t="str">
        <f t="shared" si="20"/>
        <v>0x0327</v>
      </c>
      <c r="N128" s="374" t="str">
        <f t="shared" si="21"/>
        <v>0x03A7</v>
      </c>
      <c r="O128" s="374" t="str">
        <f t="shared" si="22"/>
        <v>0x0427</v>
      </c>
      <c r="P128" s="374" t="str">
        <f t="shared" si="23"/>
        <v>0x04A7</v>
      </c>
      <c r="Q128" s="374" t="str">
        <f t="shared" si="24"/>
        <v>0x0527</v>
      </c>
      <c r="R128" s="374" t="str">
        <f t="shared" si="25"/>
        <v>0x05A7</v>
      </c>
      <c r="S128" s="374" t="str">
        <f t="shared" si="27"/>
        <v>0x0627</v>
      </c>
      <c r="T128" s="374" t="str">
        <f t="shared" si="28"/>
        <v>0x06A7</v>
      </c>
      <c r="U128" s="374" t="str">
        <f t="shared" si="29"/>
        <v>0x0727</v>
      </c>
    </row>
    <row r="129" spans="2:21" ht="16.5" customHeight="1" x14ac:dyDescent="0.25">
      <c r="B129" s="452"/>
      <c r="C129" s="488" t="s">
        <v>827</v>
      </c>
      <c r="D129" s="470"/>
      <c r="E129" s="446">
        <v>40</v>
      </c>
      <c r="F129" s="471"/>
      <c r="G129" s="451" t="str">
        <f t="shared" si="26"/>
        <v>0x0028</v>
      </c>
      <c r="H129" s="374" t="str">
        <f t="shared" si="15"/>
        <v>0x00A8</v>
      </c>
      <c r="I129" s="374" t="str">
        <f t="shared" si="16"/>
        <v>0x0128</v>
      </c>
      <c r="J129" s="374" t="str">
        <f t="shared" si="17"/>
        <v>0x01A8</v>
      </c>
      <c r="K129" s="374" t="str">
        <f t="shared" si="18"/>
        <v>0x0228</v>
      </c>
      <c r="L129" s="374" t="str">
        <f t="shared" si="19"/>
        <v>0x02A8</v>
      </c>
      <c r="M129" s="374" t="str">
        <f t="shared" si="20"/>
        <v>0x0328</v>
      </c>
      <c r="N129" s="374" t="str">
        <f t="shared" si="21"/>
        <v>0x03A8</v>
      </c>
      <c r="O129" s="374" t="str">
        <f t="shared" si="22"/>
        <v>0x0428</v>
      </c>
      <c r="P129" s="374" t="str">
        <f t="shared" si="23"/>
        <v>0x04A8</v>
      </c>
      <c r="Q129" s="374" t="str">
        <f t="shared" si="24"/>
        <v>0x0528</v>
      </c>
      <c r="R129" s="374" t="str">
        <f t="shared" si="25"/>
        <v>0x05A8</v>
      </c>
      <c r="S129" s="374" t="str">
        <f t="shared" si="27"/>
        <v>0x0628</v>
      </c>
      <c r="T129" s="374" t="str">
        <f t="shared" si="28"/>
        <v>0x06A8</v>
      </c>
      <c r="U129" s="374" t="str">
        <f t="shared" si="29"/>
        <v>0x0728</v>
      </c>
    </row>
    <row r="130" spans="2:21" ht="16.5" customHeight="1" x14ac:dyDescent="0.25">
      <c r="B130" s="452"/>
      <c r="C130" s="488" t="s">
        <v>828</v>
      </c>
      <c r="D130" s="470"/>
      <c r="E130" s="446">
        <v>41</v>
      </c>
      <c r="F130" s="471"/>
      <c r="G130" s="451" t="str">
        <f t="shared" si="26"/>
        <v>0x0029</v>
      </c>
      <c r="H130" s="374" t="str">
        <f t="shared" si="15"/>
        <v>0x00A9</v>
      </c>
      <c r="I130" s="374" t="str">
        <f t="shared" si="16"/>
        <v>0x0129</v>
      </c>
      <c r="J130" s="374" t="str">
        <f t="shared" si="17"/>
        <v>0x01A9</v>
      </c>
      <c r="K130" s="374" t="str">
        <f t="shared" si="18"/>
        <v>0x0229</v>
      </c>
      <c r="L130" s="374" t="str">
        <f t="shared" si="19"/>
        <v>0x02A9</v>
      </c>
      <c r="M130" s="374" t="str">
        <f t="shared" si="20"/>
        <v>0x0329</v>
      </c>
      <c r="N130" s="374" t="str">
        <f t="shared" si="21"/>
        <v>0x03A9</v>
      </c>
      <c r="O130" s="374" t="str">
        <f t="shared" si="22"/>
        <v>0x0429</v>
      </c>
      <c r="P130" s="374" t="str">
        <f t="shared" si="23"/>
        <v>0x04A9</v>
      </c>
      <c r="Q130" s="374" t="str">
        <f t="shared" si="24"/>
        <v>0x0529</v>
      </c>
      <c r="R130" s="374" t="str">
        <f t="shared" si="25"/>
        <v>0x05A9</v>
      </c>
      <c r="S130" s="374" t="str">
        <f t="shared" si="27"/>
        <v>0x0629</v>
      </c>
      <c r="T130" s="374" t="str">
        <f t="shared" si="28"/>
        <v>0x06A9</v>
      </c>
      <c r="U130" s="374" t="str">
        <f t="shared" si="29"/>
        <v>0x0729</v>
      </c>
    </row>
    <row r="131" spans="2:21" ht="16.5" customHeight="1" x14ac:dyDescent="0.25">
      <c r="B131" s="452"/>
      <c r="C131" s="486" t="s">
        <v>737</v>
      </c>
      <c r="D131" s="470"/>
      <c r="E131" s="446">
        <v>42</v>
      </c>
      <c r="F131" s="471"/>
      <c r="G131" s="451" t="str">
        <f t="shared" si="26"/>
        <v>0x002A</v>
      </c>
      <c r="H131" s="374" t="str">
        <f t="shared" si="15"/>
        <v>0x00AA</v>
      </c>
      <c r="I131" s="374" t="str">
        <f t="shared" si="16"/>
        <v>0x012A</v>
      </c>
      <c r="J131" s="374" t="str">
        <f t="shared" si="17"/>
        <v>0x01AA</v>
      </c>
      <c r="K131" s="374" t="str">
        <f t="shared" si="18"/>
        <v>0x022A</v>
      </c>
      <c r="L131" s="374" t="str">
        <f t="shared" si="19"/>
        <v>0x02AA</v>
      </c>
      <c r="M131" s="374" t="str">
        <f t="shared" si="20"/>
        <v>0x032A</v>
      </c>
      <c r="N131" s="374" t="str">
        <f t="shared" si="21"/>
        <v>0x03AA</v>
      </c>
      <c r="O131" s="374" t="str">
        <f t="shared" si="22"/>
        <v>0x042A</v>
      </c>
      <c r="P131" s="374" t="str">
        <f t="shared" si="23"/>
        <v>0x04AA</v>
      </c>
      <c r="Q131" s="374" t="str">
        <f t="shared" si="24"/>
        <v>0x052A</v>
      </c>
      <c r="R131" s="374" t="str">
        <f t="shared" si="25"/>
        <v>0x05AA</v>
      </c>
      <c r="S131" s="374" t="str">
        <f t="shared" si="27"/>
        <v>0x062A</v>
      </c>
      <c r="T131" s="374" t="str">
        <f t="shared" si="28"/>
        <v>0x06AA</v>
      </c>
      <c r="U131" s="374" t="str">
        <f t="shared" si="29"/>
        <v>0x072A</v>
      </c>
    </row>
    <row r="132" spans="2:21" ht="16.5" customHeight="1" x14ac:dyDescent="0.25">
      <c r="B132" s="452"/>
      <c r="C132" s="486" t="s">
        <v>737</v>
      </c>
      <c r="D132" s="470"/>
      <c r="E132" s="446">
        <v>43</v>
      </c>
      <c r="F132" s="471"/>
      <c r="G132" s="451" t="str">
        <f t="shared" si="26"/>
        <v>0x002B</v>
      </c>
      <c r="H132" s="374" t="str">
        <f t="shared" si="15"/>
        <v>0x00AB</v>
      </c>
      <c r="I132" s="374" t="str">
        <f t="shared" si="16"/>
        <v>0x012B</v>
      </c>
      <c r="J132" s="374" t="str">
        <f t="shared" si="17"/>
        <v>0x01AB</v>
      </c>
      <c r="K132" s="374" t="str">
        <f t="shared" si="18"/>
        <v>0x022B</v>
      </c>
      <c r="L132" s="374" t="str">
        <f t="shared" si="19"/>
        <v>0x02AB</v>
      </c>
      <c r="M132" s="374" t="str">
        <f t="shared" si="20"/>
        <v>0x032B</v>
      </c>
      <c r="N132" s="374" t="str">
        <f t="shared" si="21"/>
        <v>0x03AB</v>
      </c>
      <c r="O132" s="374" t="str">
        <f t="shared" si="22"/>
        <v>0x042B</v>
      </c>
      <c r="P132" s="374" t="str">
        <f t="shared" si="23"/>
        <v>0x04AB</v>
      </c>
      <c r="Q132" s="374" t="str">
        <f t="shared" si="24"/>
        <v>0x052B</v>
      </c>
      <c r="R132" s="374" t="str">
        <f t="shared" si="25"/>
        <v>0x05AB</v>
      </c>
      <c r="S132" s="374" t="str">
        <f t="shared" si="27"/>
        <v>0x062B</v>
      </c>
      <c r="T132" s="374" t="str">
        <f t="shared" si="28"/>
        <v>0x06AB</v>
      </c>
      <c r="U132" s="374" t="str">
        <f t="shared" si="29"/>
        <v>0x072B</v>
      </c>
    </row>
    <row r="133" spans="2:21" ht="16.5" customHeight="1" x14ac:dyDescent="0.25">
      <c r="B133" s="452"/>
      <c r="C133" s="486" t="s">
        <v>737</v>
      </c>
      <c r="D133" s="470"/>
      <c r="E133" s="446">
        <v>44</v>
      </c>
      <c r="F133" s="471"/>
      <c r="G133" s="451" t="str">
        <f t="shared" si="26"/>
        <v>0x002C</v>
      </c>
      <c r="H133" s="374" t="str">
        <f t="shared" si="15"/>
        <v>0x00AC</v>
      </c>
      <c r="I133" s="374" t="str">
        <f t="shared" si="16"/>
        <v>0x012C</v>
      </c>
      <c r="J133" s="374" t="str">
        <f t="shared" si="17"/>
        <v>0x01AC</v>
      </c>
      <c r="K133" s="374" t="str">
        <f t="shared" si="18"/>
        <v>0x022C</v>
      </c>
      <c r="L133" s="374" t="str">
        <f t="shared" si="19"/>
        <v>0x02AC</v>
      </c>
      <c r="M133" s="374" t="str">
        <f t="shared" si="20"/>
        <v>0x032C</v>
      </c>
      <c r="N133" s="374" t="str">
        <f t="shared" si="21"/>
        <v>0x03AC</v>
      </c>
      <c r="O133" s="374" t="str">
        <f t="shared" si="22"/>
        <v>0x042C</v>
      </c>
      <c r="P133" s="374" t="str">
        <f t="shared" si="23"/>
        <v>0x04AC</v>
      </c>
      <c r="Q133" s="374" t="str">
        <f t="shared" si="24"/>
        <v>0x052C</v>
      </c>
      <c r="R133" s="374" t="str">
        <f t="shared" si="25"/>
        <v>0x05AC</v>
      </c>
      <c r="S133" s="374" t="str">
        <f t="shared" si="27"/>
        <v>0x062C</v>
      </c>
      <c r="T133" s="374" t="str">
        <f t="shared" si="28"/>
        <v>0x06AC</v>
      </c>
      <c r="U133" s="374" t="str">
        <f t="shared" si="29"/>
        <v>0x072C</v>
      </c>
    </row>
    <row r="134" spans="2:21" ht="16.5" customHeight="1" x14ac:dyDescent="0.25">
      <c r="B134" s="452"/>
      <c r="C134" s="486" t="s">
        <v>737</v>
      </c>
      <c r="D134" s="470"/>
      <c r="E134" s="446">
        <v>45</v>
      </c>
      <c r="F134" s="471"/>
      <c r="G134" s="451" t="str">
        <f t="shared" si="26"/>
        <v>0x002D</v>
      </c>
      <c r="H134" s="374" t="str">
        <f t="shared" si="15"/>
        <v>0x00AD</v>
      </c>
      <c r="I134" s="374" t="str">
        <f t="shared" si="16"/>
        <v>0x012D</v>
      </c>
      <c r="J134" s="374" t="str">
        <f t="shared" si="17"/>
        <v>0x01AD</v>
      </c>
      <c r="K134" s="374" t="str">
        <f t="shared" si="18"/>
        <v>0x022D</v>
      </c>
      <c r="L134" s="374" t="str">
        <f t="shared" si="19"/>
        <v>0x02AD</v>
      </c>
      <c r="M134" s="374" t="str">
        <f t="shared" si="20"/>
        <v>0x032D</v>
      </c>
      <c r="N134" s="374" t="str">
        <f t="shared" si="21"/>
        <v>0x03AD</v>
      </c>
      <c r="O134" s="374" t="str">
        <f t="shared" si="22"/>
        <v>0x042D</v>
      </c>
      <c r="P134" s="374" t="str">
        <f t="shared" si="23"/>
        <v>0x04AD</v>
      </c>
      <c r="Q134" s="374" t="str">
        <f t="shared" si="24"/>
        <v>0x052D</v>
      </c>
      <c r="R134" s="374" t="str">
        <f t="shared" si="25"/>
        <v>0x05AD</v>
      </c>
      <c r="S134" s="374" t="str">
        <f t="shared" si="27"/>
        <v>0x062D</v>
      </c>
      <c r="T134" s="374" t="str">
        <f t="shared" si="28"/>
        <v>0x06AD</v>
      </c>
      <c r="U134" s="374" t="str">
        <f t="shared" si="29"/>
        <v>0x072D</v>
      </c>
    </row>
    <row r="135" spans="2:21" ht="16.5" customHeight="1" x14ac:dyDescent="0.25">
      <c r="B135" s="452"/>
      <c r="C135" s="486" t="s">
        <v>737</v>
      </c>
      <c r="D135" s="470"/>
      <c r="E135" s="446">
        <v>46</v>
      </c>
      <c r="F135" s="471"/>
      <c r="G135" s="451" t="str">
        <f t="shared" si="26"/>
        <v>0x002E</v>
      </c>
      <c r="H135" s="374" t="str">
        <f t="shared" si="15"/>
        <v>0x00AE</v>
      </c>
      <c r="I135" s="374" t="str">
        <f t="shared" si="16"/>
        <v>0x012E</v>
      </c>
      <c r="J135" s="374" t="str">
        <f t="shared" si="17"/>
        <v>0x01AE</v>
      </c>
      <c r="K135" s="374" t="str">
        <f t="shared" si="18"/>
        <v>0x022E</v>
      </c>
      <c r="L135" s="374" t="str">
        <f t="shared" si="19"/>
        <v>0x02AE</v>
      </c>
      <c r="M135" s="374" t="str">
        <f t="shared" si="20"/>
        <v>0x032E</v>
      </c>
      <c r="N135" s="374" t="str">
        <f t="shared" si="21"/>
        <v>0x03AE</v>
      </c>
      <c r="O135" s="374" t="str">
        <f t="shared" si="22"/>
        <v>0x042E</v>
      </c>
      <c r="P135" s="374" t="str">
        <f t="shared" si="23"/>
        <v>0x04AE</v>
      </c>
      <c r="Q135" s="374" t="str">
        <f t="shared" si="24"/>
        <v>0x052E</v>
      </c>
      <c r="R135" s="374" t="str">
        <f t="shared" si="25"/>
        <v>0x05AE</v>
      </c>
      <c r="S135" s="374" t="str">
        <f t="shared" si="27"/>
        <v>0x062E</v>
      </c>
      <c r="T135" s="374" t="str">
        <f t="shared" si="28"/>
        <v>0x06AE</v>
      </c>
      <c r="U135" s="374" t="str">
        <f t="shared" si="29"/>
        <v>0x072E</v>
      </c>
    </row>
    <row r="136" spans="2:21" ht="16.5" customHeight="1" thickBot="1" x14ac:dyDescent="0.3">
      <c r="B136" s="452"/>
      <c r="C136" s="489" t="s">
        <v>737</v>
      </c>
      <c r="D136" s="490"/>
      <c r="E136" s="481">
        <v>47</v>
      </c>
      <c r="F136" s="482"/>
      <c r="G136" s="462" t="str">
        <f t="shared" si="26"/>
        <v>0x002F</v>
      </c>
      <c r="H136" s="387" t="str">
        <f t="shared" si="15"/>
        <v>0x00AF</v>
      </c>
      <c r="I136" s="387" t="str">
        <f t="shared" si="16"/>
        <v>0x012F</v>
      </c>
      <c r="J136" s="387" t="str">
        <f t="shared" si="17"/>
        <v>0x01AF</v>
      </c>
      <c r="K136" s="387" t="str">
        <f t="shared" si="18"/>
        <v>0x022F</v>
      </c>
      <c r="L136" s="387" t="str">
        <f t="shared" si="19"/>
        <v>0x02AF</v>
      </c>
      <c r="M136" s="387" t="str">
        <f t="shared" si="20"/>
        <v>0x032F</v>
      </c>
      <c r="N136" s="387" t="str">
        <f t="shared" si="21"/>
        <v>0x03AF</v>
      </c>
      <c r="O136" s="387" t="str">
        <f t="shared" si="22"/>
        <v>0x042F</v>
      </c>
      <c r="P136" s="387" t="str">
        <f t="shared" si="23"/>
        <v>0x04AF</v>
      </c>
      <c r="Q136" s="387" t="str">
        <f t="shared" si="24"/>
        <v>0x052F</v>
      </c>
      <c r="R136" s="387" t="str">
        <f t="shared" si="25"/>
        <v>0x05AF</v>
      </c>
      <c r="S136" s="387" t="str">
        <f t="shared" si="27"/>
        <v>0x062F</v>
      </c>
      <c r="T136" s="387" t="str">
        <f t="shared" si="28"/>
        <v>0x06AF</v>
      </c>
      <c r="U136" s="387" t="str">
        <f t="shared" si="29"/>
        <v>0x072F</v>
      </c>
    </row>
    <row r="137" spans="2:21" ht="16.5" customHeight="1" thickTop="1" x14ac:dyDescent="0.25">
      <c r="B137" s="456" t="s">
        <v>785</v>
      </c>
      <c r="C137" s="491" t="s">
        <v>829</v>
      </c>
      <c r="D137" s="492" t="s">
        <v>830</v>
      </c>
      <c r="E137" s="465">
        <v>48</v>
      </c>
      <c r="F137" s="466">
        <v>4</v>
      </c>
      <c r="G137" s="467" t="str">
        <f t="shared" si="26"/>
        <v>0x0030</v>
      </c>
      <c r="H137" s="397" t="str">
        <f t="shared" si="15"/>
        <v>0x00B0</v>
      </c>
      <c r="I137" s="397" t="str">
        <f t="shared" si="16"/>
        <v>0x0130</v>
      </c>
      <c r="J137" s="397" t="str">
        <f t="shared" si="17"/>
        <v>0x01B0</v>
      </c>
      <c r="K137" s="397" t="str">
        <f t="shared" si="18"/>
        <v>0x0230</v>
      </c>
      <c r="L137" s="397" t="str">
        <f t="shared" si="19"/>
        <v>0x02B0</v>
      </c>
      <c r="M137" s="397" t="str">
        <f t="shared" si="20"/>
        <v>0x0330</v>
      </c>
      <c r="N137" s="397" t="str">
        <f t="shared" si="21"/>
        <v>0x03B0</v>
      </c>
      <c r="O137" s="397" t="str">
        <f t="shared" si="22"/>
        <v>0x0430</v>
      </c>
      <c r="P137" s="397" t="str">
        <f t="shared" si="23"/>
        <v>0x04B0</v>
      </c>
      <c r="Q137" s="397" t="str">
        <f t="shared" si="24"/>
        <v>0x0530</v>
      </c>
      <c r="R137" s="397" t="str">
        <f t="shared" si="25"/>
        <v>0x05B0</v>
      </c>
      <c r="S137" s="468" t="str">
        <f t="shared" si="27"/>
        <v>0x0630</v>
      </c>
      <c r="T137" s="468" t="str">
        <f t="shared" si="28"/>
        <v>0x06B0</v>
      </c>
      <c r="U137" s="468" t="str">
        <f t="shared" si="29"/>
        <v>0x0730</v>
      </c>
    </row>
    <row r="138" spans="2:21" ht="16.5" customHeight="1" x14ac:dyDescent="0.25">
      <c r="B138" s="456" t="s">
        <v>785</v>
      </c>
      <c r="C138" s="493" t="s">
        <v>831</v>
      </c>
      <c r="D138" s="494"/>
      <c r="E138" s="446">
        <v>49</v>
      </c>
      <c r="F138" s="471"/>
      <c r="G138" s="451" t="str">
        <f t="shared" si="26"/>
        <v>0x0031</v>
      </c>
      <c r="H138" s="374" t="str">
        <f t="shared" si="15"/>
        <v>0x00B1</v>
      </c>
      <c r="I138" s="374" t="str">
        <f t="shared" si="16"/>
        <v>0x0131</v>
      </c>
      <c r="J138" s="374" t="str">
        <f t="shared" si="17"/>
        <v>0x01B1</v>
      </c>
      <c r="K138" s="374" t="str">
        <f t="shared" si="18"/>
        <v>0x0231</v>
      </c>
      <c r="L138" s="374" t="str">
        <f t="shared" si="19"/>
        <v>0x02B1</v>
      </c>
      <c r="M138" s="374" t="str">
        <f t="shared" si="20"/>
        <v>0x0331</v>
      </c>
      <c r="N138" s="374" t="str">
        <f t="shared" si="21"/>
        <v>0x03B1</v>
      </c>
      <c r="O138" s="374" t="str">
        <f t="shared" si="22"/>
        <v>0x0431</v>
      </c>
      <c r="P138" s="374" t="str">
        <f t="shared" si="23"/>
        <v>0x04B1</v>
      </c>
      <c r="Q138" s="374" t="str">
        <f t="shared" si="24"/>
        <v>0x0531</v>
      </c>
      <c r="R138" s="374" t="str">
        <f t="shared" si="25"/>
        <v>0x05B1</v>
      </c>
      <c r="S138" s="374" t="str">
        <f t="shared" si="27"/>
        <v>0x0631</v>
      </c>
      <c r="T138" s="374" t="str">
        <f t="shared" si="28"/>
        <v>0x06B1</v>
      </c>
      <c r="U138" s="374" t="str">
        <f t="shared" si="29"/>
        <v>0x0731</v>
      </c>
    </row>
    <row r="139" spans="2:21" ht="16.5" customHeight="1" x14ac:dyDescent="0.25">
      <c r="B139" s="452"/>
      <c r="C139" s="487" t="s">
        <v>832</v>
      </c>
      <c r="D139" s="494"/>
      <c r="E139" s="446">
        <v>50</v>
      </c>
      <c r="F139" s="471"/>
      <c r="G139" s="451" t="str">
        <f t="shared" si="26"/>
        <v>0x0032</v>
      </c>
      <c r="H139" s="374" t="str">
        <f t="shared" si="15"/>
        <v>0x00B2</v>
      </c>
      <c r="I139" s="374" t="str">
        <f t="shared" si="16"/>
        <v>0x0132</v>
      </c>
      <c r="J139" s="374" t="str">
        <f t="shared" si="17"/>
        <v>0x01B2</v>
      </c>
      <c r="K139" s="374" t="str">
        <f t="shared" si="18"/>
        <v>0x0232</v>
      </c>
      <c r="L139" s="374" t="str">
        <f t="shared" si="19"/>
        <v>0x02B2</v>
      </c>
      <c r="M139" s="374" t="str">
        <f t="shared" si="20"/>
        <v>0x0332</v>
      </c>
      <c r="N139" s="374" t="str">
        <f t="shared" si="21"/>
        <v>0x03B2</v>
      </c>
      <c r="O139" s="374" t="str">
        <f t="shared" si="22"/>
        <v>0x0432</v>
      </c>
      <c r="P139" s="374" t="str">
        <f t="shared" si="23"/>
        <v>0x04B2</v>
      </c>
      <c r="Q139" s="374" t="str">
        <f t="shared" si="24"/>
        <v>0x0532</v>
      </c>
      <c r="R139" s="374" t="str">
        <f t="shared" si="25"/>
        <v>0x05B2</v>
      </c>
      <c r="S139" s="374" t="str">
        <f t="shared" si="27"/>
        <v>0x0632</v>
      </c>
      <c r="T139" s="374" t="str">
        <f t="shared" si="28"/>
        <v>0x06B2</v>
      </c>
      <c r="U139" s="374" t="str">
        <f t="shared" si="29"/>
        <v>0x0732</v>
      </c>
    </row>
    <row r="140" spans="2:21" ht="16.5" customHeight="1" x14ac:dyDescent="0.25">
      <c r="B140" s="452"/>
      <c r="C140" s="487" t="s">
        <v>833</v>
      </c>
      <c r="D140" s="494"/>
      <c r="E140" s="446">
        <v>51</v>
      </c>
      <c r="F140" s="471"/>
      <c r="G140" s="451" t="str">
        <f t="shared" si="26"/>
        <v>0x0033</v>
      </c>
      <c r="H140" s="374" t="str">
        <f t="shared" si="15"/>
        <v>0x00B3</v>
      </c>
      <c r="I140" s="374" t="str">
        <f t="shared" si="16"/>
        <v>0x0133</v>
      </c>
      <c r="J140" s="374" t="str">
        <f t="shared" si="17"/>
        <v>0x01B3</v>
      </c>
      <c r="K140" s="374" t="str">
        <f t="shared" si="18"/>
        <v>0x0233</v>
      </c>
      <c r="L140" s="374" t="str">
        <f t="shared" si="19"/>
        <v>0x02B3</v>
      </c>
      <c r="M140" s="374" t="str">
        <f t="shared" si="20"/>
        <v>0x0333</v>
      </c>
      <c r="N140" s="374" t="str">
        <f t="shared" si="21"/>
        <v>0x03B3</v>
      </c>
      <c r="O140" s="374" t="str">
        <f t="shared" si="22"/>
        <v>0x0433</v>
      </c>
      <c r="P140" s="374" t="str">
        <f t="shared" si="23"/>
        <v>0x04B3</v>
      </c>
      <c r="Q140" s="374" t="str">
        <f t="shared" si="24"/>
        <v>0x0533</v>
      </c>
      <c r="R140" s="374" t="str">
        <f t="shared" si="25"/>
        <v>0x05B3</v>
      </c>
      <c r="S140" s="374" t="str">
        <f t="shared" si="27"/>
        <v>0x0633</v>
      </c>
      <c r="T140" s="374" t="str">
        <f t="shared" si="28"/>
        <v>0x06B3</v>
      </c>
      <c r="U140" s="374" t="str">
        <f t="shared" si="29"/>
        <v>0x0733</v>
      </c>
    </row>
    <row r="141" spans="2:21" ht="16.5" customHeight="1" x14ac:dyDescent="0.25">
      <c r="B141" s="452"/>
      <c r="C141" s="487" t="s">
        <v>834</v>
      </c>
      <c r="D141" s="494"/>
      <c r="E141" s="446">
        <v>52</v>
      </c>
      <c r="F141" s="471"/>
      <c r="G141" s="451" t="str">
        <f t="shared" si="26"/>
        <v>0x0034</v>
      </c>
      <c r="H141" s="374" t="str">
        <f t="shared" si="15"/>
        <v>0x00B4</v>
      </c>
      <c r="I141" s="374" t="str">
        <f t="shared" si="16"/>
        <v>0x0134</v>
      </c>
      <c r="J141" s="374" t="str">
        <f t="shared" si="17"/>
        <v>0x01B4</v>
      </c>
      <c r="K141" s="374" t="str">
        <f t="shared" si="18"/>
        <v>0x0234</v>
      </c>
      <c r="L141" s="374" t="str">
        <f t="shared" si="19"/>
        <v>0x02B4</v>
      </c>
      <c r="M141" s="374" t="str">
        <f t="shared" si="20"/>
        <v>0x0334</v>
      </c>
      <c r="N141" s="374" t="str">
        <f t="shared" si="21"/>
        <v>0x03B4</v>
      </c>
      <c r="O141" s="374" t="str">
        <f t="shared" si="22"/>
        <v>0x0434</v>
      </c>
      <c r="P141" s="374" t="str">
        <f t="shared" si="23"/>
        <v>0x04B4</v>
      </c>
      <c r="Q141" s="374" t="str">
        <f t="shared" si="24"/>
        <v>0x0534</v>
      </c>
      <c r="R141" s="374" t="str">
        <f t="shared" si="25"/>
        <v>0x05B4</v>
      </c>
      <c r="S141" s="374" t="str">
        <f t="shared" si="27"/>
        <v>0x0634</v>
      </c>
      <c r="T141" s="374" t="str">
        <f t="shared" si="28"/>
        <v>0x06B4</v>
      </c>
      <c r="U141" s="374" t="str">
        <f t="shared" si="29"/>
        <v>0x0734</v>
      </c>
    </row>
    <row r="142" spans="2:21" ht="16.5" customHeight="1" x14ac:dyDescent="0.25">
      <c r="B142" s="456" t="s">
        <v>785</v>
      </c>
      <c r="C142" s="493" t="s">
        <v>835</v>
      </c>
      <c r="D142" s="494"/>
      <c r="E142" s="446">
        <v>53</v>
      </c>
      <c r="F142" s="471"/>
      <c r="G142" s="451" t="str">
        <f t="shared" si="26"/>
        <v>0x0035</v>
      </c>
      <c r="H142" s="374" t="str">
        <f t="shared" si="15"/>
        <v>0x00B5</v>
      </c>
      <c r="I142" s="374" t="str">
        <f t="shared" si="16"/>
        <v>0x0135</v>
      </c>
      <c r="J142" s="374" t="str">
        <f t="shared" si="17"/>
        <v>0x01B5</v>
      </c>
      <c r="K142" s="374" t="str">
        <f t="shared" si="18"/>
        <v>0x0235</v>
      </c>
      <c r="L142" s="374" t="str">
        <f t="shared" si="19"/>
        <v>0x02B5</v>
      </c>
      <c r="M142" s="374" t="str">
        <f t="shared" si="20"/>
        <v>0x0335</v>
      </c>
      <c r="N142" s="374" t="str">
        <f t="shared" si="21"/>
        <v>0x03B5</v>
      </c>
      <c r="O142" s="374" t="str">
        <f t="shared" si="22"/>
        <v>0x0435</v>
      </c>
      <c r="P142" s="374" t="str">
        <f t="shared" si="23"/>
        <v>0x04B5</v>
      </c>
      <c r="Q142" s="374" t="str">
        <f t="shared" si="24"/>
        <v>0x0535</v>
      </c>
      <c r="R142" s="374" t="str">
        <f t="shared" si="25"/>
        <v>0x05B5</v>
      </c>
      <c r="S142" s="374" t="str">
        <f t="shared" si="27"/>
        <v>0x0635</v>
      </c>
      <c r="T142" s="374" t="str">
        <f t="shared" si="28"/>
        <v>0x06B5</v>
      </c>
      <c r="U142" s="374" t="str">
        <f t="shared" si="29"/>
        <v>0x0735</v>
      </c>
    </row>
    <row r="143" spans="2:21" ht="16.5" customHeight="1" x14ac:dyDescent="0.25">
      <c r="B143" s="456" t="s">
        <v>785</v>
      </c>
      <c r="C143" s="493" t="s">
        <v>836</v>
      </c>
      <c r="D143" s="494"/>
      <c r="E143" s="446">
        <v>54</v>
      </c>
      <c r="F143" s="471"/>
      <c r="G143" s="451" t="str">
        <f t="shared" si="26"/>
        <v>0x0036</v>
      </c>
      <c r="H143" s="374" t="str">
        <f t="shared" si="15"/>
        <v>0x00B6</v>
      </c>
      <c r="I143" s="374" t="str">
        <f t="shared" si="16"/>
        <v>0x0136</v>
      </c>
      <c r="J143" s="374" t="str">
        <f t="shared" si="17"/>
        <v>0x01B6</v>
      </c>
      <c r="K143" s="374" t="str">
        <f t="shared" si="18"/>
        <v>0x0236</v>
      </c>
      <c r="L143" s="374" t="str">
        <f t="shared" si="19"/>
        <v>0x02B6</v>
      </c>
      <c r="M143" s="374" t="str">
        <f t="shared" si="20"/>
        <v>0x0336</v>
      </c>
      <c r="N143" s="374" t="str">
        <f t="shared" si="21"/>
        <v>0x03B6</v>
      </c>
      <c r="O143" s="374" t="str">
        <f t="shared" si="22"/>
        <v>0x0436</v>
      </c>
      <c r="P143" s="374" t="str">
        <f t="shared" si="23"/>
        <v>0x04B6</v>
      </c>
      <c r="Q143" s="374" t="str">
        <f t="shared" si="24"/>
        <v>0x0536</v>
      </c>
      <c r="R143" s="374" t="str">
        <f t="shared" si="25"/>
        <v>0x05B6</v>
      </c>
      <c r="S143" s="374" t="str">
        <f t="shared" si="27"/>
        <v>0x0636</v>
      </c>
      <c r="T143" s="374" t="str">
        <f t="shared" si="28"/>
        <v>0x06B6</v>
      </c>
      <c r="U143" s="374" t="str">
        <f t="shared" si="29"/>
        <v>0x0736</v>
      </c>
    </row>
    <row r="144" spans="2:21" ht="16.5" customHeight="1" x14ac:dyDescent="0.25">
      <c r="B144" s="456" t="s">
        <v>785</v>
      </c>
      <c r="C144" s="493" t="s">
        <v>837</v>
      </c>
      <c r="D144" s="494"/>
      <c r="E144" s="446">
        <v>55</v>
      </c>
      <c r="F144" s="471"/>
      <c r="G144" s="451" t="str">
        <f t="shared" si="26"/>
        <v>0x0037</v>
      </c>
      <c r="H144" s="374" t="str">
        <f t="shared" si="15"/>
        <v>0x00B7</v>
      </c>
      <c r="I144" s="374" t="str">
        <f t="shared" si="16"/>
        <v>0x0137</v>
      </c>
      <c r="J144" s="374" t="str">
        <f t="shared" si="17"/>
        <v>0x01B7</v>
      </c>
      <c r="K144" s="374" t="str">
        <f t="shared" si="18"/>
        <v>0x0237</v>
      </c>
      <c r="L144" s="374" t="str">
        <f t="shared" si="19"/>
        <v>0x02B7</v>
      </c>
      <c r="M144" s="374" t="str">
        <f t="shared" si="20"/>
        <v>0x0337</v>
      </c>
      <c r="N144" s="374" t="str">
        <f t="shared" si="21"/>
        <v>0x03B7</v>
      </c>
      <c r="O144" s="374" t="str">
        <f t="shared" si="22"/>
        <v>0x0437</v>
      </c>
      <c r="P144" s="374" t="str">
        <f t="shared" si="23"/>
        <v>0x04B7</v>
      </c>
      <c r="Q144" s="374" t="str">
        <f t="shared" si="24"/>
        <v>0x0537</v>
      </c>
      <c r="R144" s="374" t="str">
        <f t="shared" si="25"/>
        <v>0x05B7</v>
      </c>
      <c r="S144" s="374" t="str">
        <f t="shared" si="27"/>
        <v>0x0637</v>
      </c>
      <c r="T144" s="374" t="str">
        <f t="shared" si="28"/>
        <v>0x06B7</v>
      </c>
      <c r="U144" s="374" t="str">
        <f t="shared" si="29"/>
        <v>0x0737</v>
      </c>
    </row>
    <row r="145" spans="2:21" ht="16.5" customHeight="1" x14ac:dyDescent="0.25">
      <c r="B145" s="456" t="s">
        <v>838</v>
      </c>
      <c r="C145" s="493" t="s">
        <v>839</v>
      </c>
      <c r="D145" s="494"/>
      <c r="E145" s="446">
        <v>56</v>
      </c>
      <c r="F145" s="471"/>
      <c r="G145" s="451" t="str">
        <f t="shared" si="26"/>
        <v>0x0038</v>
      </c>
      <c r="H145" s="374" t="str">
        <f t="shared" si="15"/>
        <v>0x00B8</v>
      </c>
      <c r="I145" s="374" t="str">
        <f t="shared" si="16"/>
        <v>0x0138</v>
      </c>
      <c r="J145" s="374" t="str">
        <f t="shared" si="17"/>
        <v>0x01B8</v>
      </c>
      <c r="K145" s="374" t="str">
        <f t="shared" si="18"/>
        <v>0x0238</v>
      </c>
      <c r="L145" s="374" t="str">
        <f t="shared" si="19"/>
        <v>0x02B8</v>
      </c>
      <c r="M145" s="374" t="str">
        <f t="shared" si="20"/>
        <v>0x0338</v>
      </c>
      <c r="N145" s="374" t="str">
        <f t="shared" si="21"/>
        <v>0x03B8</v>
      </c>
      <c r="O145" s="374" t="str">
        <f t="shared" si="22"/>
        <v>0x0438</v>
      </c>
      <c r="P145" s="374" t="str">
        <f t="shared" si="23"/>
        <v>0x04B8</v>
      </c>
      <c r="Q145" s="374" t="str">
        <f t="shared" si="24"/>
        <v>0x0538</v>
      </c>
      <c r="R145" s="374" t="str">
        <f t="shared" si="25"/>
        <v>0x05B8</v>
      </c>
      <c r="S145" s="374" t="str">
        <f t="shared" si="27"/>
        <v>0x0638</v>
      </c>
      <c r="T145" s="374" t="str">
        <f t="shared" si="28"/>
        <v>0x06B8</v>
      </c>
      <c r="U145" s="374" t="str">
        <f t="shared" si="29"/>
        <v>0x0738</v>
      </c>
    </row>
    <row r="146" spans="2:21" ht="16.5" customHeight="1" x14ac:dyDescent="0.25">
      <c r="B146" s="456" t="s">
        <v>838</v>
      </c>
      <c r="C146" s="493" t="s">
        <v>840</v>
      </c>
      <c r="D146" s="494"/>
      <c r="E146" s="446">
        <v>57</v>
      </c>
      <c r="F146" s="471"/>
      <c r="G146" s="451" t="str">
        <f t="shared" si="26"/>
        <v>0x0039</v>
      </c>
      <c r="H146" s="374" t="str">
        <f t="shared" si="15"/>
        <v>0x00B9</v>
      </c>
      <c r="I146" s="374" t="str">
        <f t="shared" si="16"/>
        <v>0x0139</v>
      </c>
      <c r="J146" s="374" t="str">
        <f t="shared" si="17"/>
        <v>0x01B9</v>
      </c>
      <c r="K146" s="374" t="str">
        <f t="shared" si="18"/>
        <v>0x0239</v>
      </c>
      <c r="L146" s="374" t="str">
        <f t="shared" si="19"/>
        <v>0x02B9</v>
      </c>
      <c r="M146" s="374" t="str">
        <f t="shared" si="20"/>
        <v>0x0339</v>
      </c>
      <c r="N146" s="374" t="str">
        <f t="shared" si="21"/>
        <v>0x03B9</v>
      </c>
      <c r="O146" s="374" t="str">
        <f t="shared" si="22"/>
        <v>0x0439</v>
      </c>
      <c r="P146" s="374" t="str">
        <f t="shared" si="23"/>
        <v>0x04B9</v>
      </c>
      <c r="Q146" s="374" t="str">
        <f t="shared" si="24"/>
        <v>0x0539</v>
      </c>
      <c r="R146" s="374" t="str">
        <f t="shared" si="25"/>
        <v>0x05B9</v>
      </c>
      <c r="S146" s="374" t="str">
        <f t="shared" si="27"/>
        <v>0x0639</v>
      </c>
      <c r="T146" s="374" t="str">
        <f t="shared" si="28"/>
        <v>0x06B9</v>
      </c>
      <c r="U146" s="374" t="str">
        <f t="shared" si="29"/>
        <v>0x0739</v>
      </c>
    </row>
    <row r="147" spans="2:21" ht="16.5" customHeight="1" x14ac:dyDescent="0.25">
      <c r="B147" s="452"/>
      <c r="C147" s="493" t="s">
        <v>841</v>
      </c>
      <c r="D147" s="494"/>
      <c r="E147" s="446">
        <v>58</v>
      </c>
      <c r="F147" s="471"/>
      <c r="G147" s="451" t="str">
        <f t="shared" si="26"/>
        <v>0x003A</v>
      </c>
      <c r="H147" s="374" t="str">
        <f t="shared" si="15"/>
        <v>0x00BA</v>
      </c>
      <c r="I147" s="374" t="str">
        <f t="shared" si="16"/>
        <v>0x013A</v>
      </c>
      <c r="J147" s="374" t="str">
        <f t="shared" si="17"/>
        <v>0x01BA</v>
      </c>
      <c r="K147" s="374" t="str">
        <f t="shared" si="18"/>
        <v>0x023A</v>
      </c>
      <c r="L147" s="374" t="str">
        <f t="shared" si="19"/>
        <v>0x02BA</v>
      </c>
      <c r="M147" s="374" t="str">
        <f t="shared" si="20"/>
        <v>0x033A</v>
      </c>
      <c r="N147" s="374" t="str">
        <f t="shared" si="21"/>
        <v>0x03BA</v>
      </c>
      <c r="O147" s="374" t="str">
        <f t="shared" si="22"/>
        <v>0x043A</v>
      </c>
      <c r="P147" s="374" t="str">
        <f t="shared" si="23"/>
        <v>0x04BA</v>
      </c>
      <c r="Q147" s="374" t="str">
        <f t="shared" si="24"/>
        <v>0x053A</v>
      </c>
      <c r="R147" s="374" t="str">
        <f t="shared" si="25"/>
        <v>0x05BA</v>
      </c>
      <c r="S147" s="374" t="str">
        <f t="shared" si="27"/>
        <v>0x063A</v>
      </c>
      <c r="T147" s="374" t="str">
        <f t="shared" si="28"/>
        <v>0x06BA</v>
      </c>
      <c r="U147" s="374" t="str">
        <f t="shared" si="29"/>
        <v>0x073A</v>
      </c>
    </row>
    <row r="148" spans="2:21" ht="16.5" customHeight="1" x14ac:dyDescent="0.25">
      <c r="B148" s="456" t="s">
        <v>838</v>
      </c>
      <c r="C148" s="493" t="s">
        <v>842</v>
      </c>
      <c r="D148" s="494"/>
      <c r="E148" s="446">
        <v>59</v>
      </c>
      <c r="F148" s="471"/>
      <c r="G148" s="451" t="str">
        <f t="shared" si="26"/>
        <v>0x003B</v>
      </c>
      <c r="H148" s="374" t="str">
        <f t="shared" si="15"/>
        <v>0x00BB</v>
      </c>
      <c r="I148" s="374" t="str">
        <f t="shared" si="16"/>
        <v>0x013B</v>
      </c>
      <c r="J148" s="374" t="str">
        <f t="shared" si="17"/>
        <v>0x01BB</v>
      </c>
      <c r="K148" s="374" t="str">
        <f t="shared" si="18"/>
        <v>0x023B</v>
      </c>
      <c r="L148" s="374" t="str">
        <f t="shared" si="19"/>
        <v>0x02BB</v>
      </c>
      <c r="M148" s="374" t="str">
        <f t="shared" si="20"/>
        <v>0x033B</v>
      </c>
      <c r="N148" s="374" t="str">
        <f t="shared" si="21"/>
        <v>0x03BB</v>
      </c>
      <c r="O148" s="374" t="str">
        <f t="shared" si="22"/>
        <v>0x043B</v>
      </c>
      <c r="P148" s="374" t="str">
        <f t="shared" si="23"/>
        <v>0x04BB</v>
      </c>
      <c r="Q148" s="374" t="str">
        <f t="shared" si="24"/>
        <v>0x053B</v>
      </c>
      <c r="R148" s="374" t="str">
        <f t="shared" si="25"/>
        <v>0x05BB</v>
      </c>
      <c r="S148" s="374" t="str">
        <f t="shared" si="27"/>
        <v>0x063B</v>
      </c>
      <c r="T148" s="374" t="str">
        <f t="shared" si="28"/>
        <v>0x06BB</v>
      </c>
      <c r="U148" s="374" t="str">
        <f t="shared" si="29"/>
        <v>0x073B</v>
      </c>
    </row>
    <row r="149" spans="2:21" ht="16.5" customHeight="1" x14ac:dyDescent="0.25">
      <c r="B149" s="452"/>
      <c r="C149" s="487" t="s">
        <v>843</v>
      </c>
      <c r="D149" s="494"/>
      <c r="E149" s="446">
        <v>60</v>
      </c>
      <c r="F149" s="471"/>
      <c r="G149" s="451" t="str">
        <f t="shared" si="26"/>
        <v>0x003C</v>
      </c>
      <c r="H149" s="374" t="str">
        <f t="shared" si="15"/>
        <v>0x00BC</v>
      </c>
      <c r="I149" s="374" t="str">
        <f t="shared" si="16"/>
        <v>0x013C</v>
      </c>
      <c r="J149" s="374" t="str">
        <f t="shared" si="17"/>
        <v>0x01BC</v>
      </c>
      <c r="K149" s="374" t="str">
        <f t="shared" si="18"/>
        <v>0x023C</v>
      </c>
      <c r="L149" s="374" t="str">
        <f t="shared" si="19"/>
        <v>0x02BC</v>
      </c>
      <c r="M149" s="374" t="str">
        <f t="shared" si="20"/>
        <v>0x033C</v>
      </c>
      <c r="N149" s="374" t="str">
        <f t="shared" si="21"/>
        <v>0x03BC</v>
      </c>
      <c r="O149" s="374" t="str">
        <f t="shared" si="22"/>
        <v>0x043C</v>
      </c>
      <c r="P149" s="374" t="str">
        <f t="shared" si="23"/>
        <v>0x04BC</v>
      </c>
      <c r="Q149" s="374" t="str">
        <f t="shared" si="24"/>
        <v>0x053C</v>
      </c>
      <c r="R149" s="374" t="str">
        <f t="shared" si="25"/>
        <v>0x05BC</v>
      </c>
      <c r="S149" s="374" t="str">
        <f t="shared" si="27"/>
        <v>0x063C</v>
      </c>
      <c r="T149" s="374" t="str">
        <f t="shared" si="28"/>
        <v>0x06BC</v>
      </c>
      <c r="U149" s="374" t="str">
        <f t="shared" si="29"/>
        <v>0x073C</v>
      </c>
    </row>
    <row r="150" spans="2:21" ht="16.5" customHeight="1" x14ac:dyDescent="0.25">
      <c r="B150" s="452"/>
      <c r="C150" s="487" t="s">
        <v>843</v>
      </c>
      <c r="D150" s="494"/>
      <c r="E150" s="446">
        <v>61</v>
      </c>
      <c r="F150" s="471"/>
      <c r="G150" s="451" t="str">
        <f t="shared" si="26"/>
        <v>0x003D</v>
      </c>
      <c r="H150" s="374" t="str">
        <f t="shared" si="15"/>
        <v>0x00BD</v>
      </c>
      <c r="I150" s="374" t="str">
        <f t="shared" si="16"/>
        <v>0x013D</v>
      </c>
      <c r="J150" s="374" t="str">
        <f t="shared" si="17"/>
        <v>0x01BD</v>
      </c>
      <c r="K150" s="374" t="str">
        <f t="shared" si="18"/>
        <v>0x023D</v>
      </c>
      <c r="L150" s="374" t="str">
        <f t="shared" si="19"/>
        <v>0x02BD</v>
      </c>
      <c r="M150" s="374" t="str">
        <f t="shared" si="20"/>
        <v>0x033D</v>
      </c>
      <c r="N150" s="374" t="str">
        <f t="shared" si="21"/>
        <v>0x03BD</v>
      </c>
      <c r="O150" s="374" t="str">
        <f t="shared" si="22"/>
        <v>0x043D</v>
      </c>
      <c r="P150" s="374" t="str">
        <f t="shared" si="23"/>
        <v>0x04BD</v>
      </c>
      <c r="Q150" s="374" t="str">
        <f t="shared" si="24"/>
        <v>0x053D</v>
      </c>
      <c r="R150" s="374" t="str">
        <f t="shared" si="25"/>
        <v>0x05BD</v>
      </c>
      <c r="S150" s="374" t="str">
        <f t="shared" si="27"/>
        <v>0x063D</v>
      </c>
      <c r="T150" s="374" t="str">
        <f t="shared" si="28"/>
        <v>0x06BD</v>
      </c>
      <c r="U150" s="374" t="str">
        <f t="shared" si="29"/>
        <v>0x073D</v>
      </c>
    </row>
    <row r="151" spans="2:21" ht="16.5" customHeight="1" x14ac:dyDescent="0.25">
      <c r="B151" s="452"/>
      <c r="C151" s="493" t="s">
        <v>844</v>
      </c>
      <c r="D151" s="494"/>
      <c r="E151" s="446">
        <v>62</v>
      </c>
      <c r="F151" s="471"/>
      <c r="G151" s="451" t="str">
        <f t="shared" si="26"/>
        <v>0x003E</v>
      </c>
      <c r="H151" s="374" t="str">
        <f t="shared" si="15"/>
        <v>0x00BE</v>
      </c>
      <c r="I151" s="374" t="str">
        <f t="shared" si="16"/>
        <v>0x013E</v>
      </c>
      <c r="J151" s="374" t="str">
        <f t="shared" si="17"/>
        <v>0x01BE</v>
      </c>
      <c r="K151" s="374" t="str">
        <f t="shared" si="18"/>
        <v>0x023E</v>
      </c>
      <c r="L151" s="374" t="str">
        <f t="shared" si="19"/>
        <v>0x02BE</v>
      </c>
      <c r="M151" s="374" t="str">
        <f t="shared" si="20"/>
        <v>0x033E</v>
      </c>
      <c r="N151" s="374" t="str">
        <f t="shared" si="21"/>
        <v>0x03BE</v>
      </c>
      <c r="O151" s="374" t="str">
        <f t="shared" si="22"/>
        <v>0x043E</v>
      </c>
      <c r="P151" s="374" t="str">
        <f t="shared" si="23"/>
        <v>0x04BE</v>
      </c>
      <c r="Q151" s="374" t="str">
        <f t="shared" si="24"/>
        <v>0x053E</v>
      </c>
      <c r="R151" s="374" t="str">
        <f t="shared" si="25"/>
        <v>0x05BE</v>
      </c>
      <c r="S151" s="374" t="str">
        <f t="shared" si="27"/>
        <v>0x063E</v>
      </c>
      <c r="T151" s="374" t="str">
        <f t="shared" si="28"/>
        <v>0x06BE</v>
      </c>
      <c r="U151" s="374" t="str">
        <f t="shared" si="29"/>
        <v>0x073E</v>
      </c>
    </row>
    <row r="152" spans="2:21" ht="16.5" customHeight="1" thickBot="1" x14ac:dyDescent="0.3">
      <c r="B152" s="452"/>
      <c r="C152" s="495" t="s">
        <v>845</v>
      </c>
      <c r="D152" s="496"/>
      <c r="E152" s="481">
        <v>63</v>
      </c>
      <c r="F152" s="482"/>
      <c r="G152" s="462" t="str">
        <f t="shared" si="26"/>
        <v>0x003F</v>
      </c>
      <c r="H152" s="387" t="str">
        <f t="shared" si="15"/>
        <v>0x00BF</v>
      </c>
      <c r="I152" s="387" t="str">
        <f t="shared" si="16"/>
        <v>0x013F</v>
      </c>
      <c r="J152" s="387" t="str">
        <f t="shared" si="17"/>
        <v>0x01BF</v>
      </c>
      <c r="K152" s="387" t="str">
        <f t="shared" si="18"/>
        <v>0x023F</v>
      </c>
      <c r="L152" s="387" t="str">
        <f t="shared" si="19"/>
        <v>0x02BF</v>
      </c>
      <c r="M152" s="387" t="str">
        <f t="shared" si="20"/>
        <v>0x033F</v>
      </c>
      <c r="N152" s="387" t="str">
        <f t="shared" si="21"/>
        <v>0x03BF</v>
      </c>
      <c r="O152" s="387" t="str">
        <f t="shared" si="22"/>
        <v>0x043F</v>
      </c>
      <c r="P152" s="387" t="str">
        <f t="shared" si="23"/>
        <v>0x04BF</v>
      </c>
      <c r="Q152" s="387" t="str">
        <f t="shared" si="24"/>
        <v>0x053F</v>
      </c>
      <c r="R152" s="387" t="str">
        <f t="shared" si="25"/>
        <v>0x05BF</v>
      </c>
      <c r="S152" s="387" t="str">
        <f t="shared" si="27"/>
        <v>0x063F</v>
      </c>
      <c r="T152" s="387" t="str">
        <f t="shared" si="28"/>
        <v>0x06BF</v>
      </c>
      <c r="U152" s="387" t="str">
        <f t="shared" si="29"/>
        <v>0x073F</v>
      </c>
    </row>
    <row r="153" spans="2:21" ht="16.5" customHeight="1" thickTop="1" x14ac:dyDescent="0.25">
      <c r="B153" s="456" t="s">
        <v>785</v>
      </c>
      <c r="C153" s="491" t="s">
        <v>846</v>
      </c>
      <c r="D153" s="492" t="s">
        <v>847</v>
      </c>
      <c r="E153" s="465">
        <v>64</v>
      </c>
      <c r="F153" s="466">
        <v>5</v>
      </c>
      <c r="G153" s="467" t="str">
        <f t="shared" si="26"/>
        <v>0x0040</v>
      </c>
      <c r="H153" s="397" t="str">
        <f t="shared" ref="H153:H216" si="30">CONCATENATE("0x",DEC2HEX(E153 + (128 * 1),4))</f>
        <v>0x00C0</v>
      </c>
      <c r="I153" s="397" t="str">
        <f t="shared" ref="I153:I216" si="31">CONCATENATE("0x",DEC2HEX(E153 + (128 * 2),4))</f>
        <v>0x0140</v>
      </c>
      <c r="J153" s="397" t="str">
        <f t="shared" ref="J153:J216" si="32">CONCATENATE("0x",DEC2HEX(E153 + (128 * 3),4))</f>
        <v>0x01C0</v>
      </c>
      <c r="K153" s="397" t="str">
        <f t="shared" ref="K153:K216" si="33">CONCATENATE("0x",DEC2HEX(E153 + (128 * 4),4))</f>
        <v>0x0240</v>
      </c>
      <c r="L153" s="397" t="str">
        <f t="shared" ref="L153:L216" si="34">CONCATENATE("0x",DEC2HEX(E153 + (128 * 5),4))</f>
        <v>0x02C0</v>
      </c>
      <c r="M153" s="397" t="str">
        <f t="shared" ref="M153:M216" si="35">CONCATENATE("0x",DEC2HEX(E153 + (128 * 6),4))</f>
        <v>0x0340</v>
      </c>
      <c r="N153" s="397" t="str">
        <f t="shared" ref="N153:N216" si="36">CONCATENATE("0x",DEC2HEX(E153 + (128 * 7),4))</f>
        <v>0x03C0</v>
      </c>
      <c r="O153" s="397" t="str">
        <f t="shared" ref="O153:O216" si="37">CONCATENATE("0x",DEC2HEX(E153 + (128 * 8),4))</f>
        <v>0x0440</v>
      </c>
      <c r="P153" s="397" t="str">
        <f t="shared" ref="P153:P216" si="38">CONCATENATE("0x",DEC2HEX(E153 + (128 * 9),4))</f>
        <v>0x04C0</v>
      </c>
      <c r="Q153" s="397" t="str">
        <f t="shared" ref="Q153:Q216" si="39">CONCATENATE("0x",DEC2HEX(E153 + (128 * 10),4))</f>
        <v>0x0540</v>
      </c>
      <c r="R153" s="397" t="str">
        <f t="shared" ref="R153:R216" si="40">CONCATENATE("0x",DEC2HEX(E153 + (128 * 11),4))</f>
        <v>0x05C0</v>
      </c>
      <c r="S153" s="468" t="str">
        <f t="shared" si="27"/>
        <v>0x0640</v>
      </c>
      <c r="T153" s="468" t="str">
        <f t="shared" si="28"/>
        <v>0x06C0</v>
      </c>
      <c r="U153" s="468" t="str">
        <f t="shared" si="29"/>
        <v>0x0740</v>
      </c>
    </row>
    <row r="154" spans="2:21" ht="16.5" customHeight="1" x14ac:dyDescent="0.25">
      <c r="B154" s="456" t="s">
        <v>785</v>
      </c>
      <c r="C154" s="493" t="s">
        <v>848</v>
      </c>
      <c r="D154" s="494"/>
      <c r="E154" s="446">
        <v>65</v>
      </c>
      <c r="F154" s="471"/>
      <c r="G154" s="451" t="str">
        <f t="shared" ref="G154:G216" si="41">CONCATENATE("0x",DEC2HEX(E154,4))</f>
        <v>0x0041</v>
      </c>
      <c r="H154" s="374" t="str">
        <f t="shared" si="30"/>
        <v>0x00C1</v>
      </c>
      <c r="I154" s="374" t="str">
        <f t="shared" si="31"/>
        <v>0x0141</v>
      </c>
      <c r="J154" s="374" t="str">
        <f t="shared" si="32"/>
        <v>0x01C1</v>
      </c>
      <c r="K154" s="374" t="str">
        <f t="shared" si="33"/>
        <v>0x0241</v>
      </c>
      <c r="L154" s="374" t="str">
        <f t="shared" si="34"/>
        <v>0x02C1</v>
      </c>
      <c r="M154" s="374" t="str">
        <f t="shared" si="35"/>
        <v>0x0341</v>
      </c>
      <c r="N154" s="374" t="str">
        <f t="shared" si="36"/>
        <v>0x03C1</v>
      </c>
      <c r="O154" s="374" t="str">
        <f t="shared" si="37"/>
        <v>0x0441</v>
      </c>
      <c r="P154" s="374" t="str">
        <f t="shared" si="38"/>
        <v>0x04C1</v>
      </c>
      <c r="Q154" s="374" t="str">
        <f t="shared" si="39"/>
        <v>0x0541</v>
      </c>
      <c r="R154" s="374" t="str">
        <f t="shared" si="40"/>
        <v>0x05C1</v>
      </c>
      <c r="S154" s="374" t="str">
        <f t="shared" ref="S154:S216" si="42">CONCATENATE("0x",DEC2HEX(E154 + (128 * 12),4))</f>
        <v>0x0641</v>
      </c>
      <c r="T154" s="374" t="str">
        <f t="shared" ref="T154:T216" si="43">CONCATENATE("0x",DEC2HEX(E154 + (128 * 13),4))</f>
        <v>0x06C1</v>
      </c>
      <c r="U154" s="374" t="str">
        <f t="shared" ref="U154:U216" si="44">CONCATENATE("0x",DEC2HEX(E154 + (128 * 14),4))</f>
        <v>0x0741</v>
      </c>
    </row>
    <row r="155" spans="2:21" ht="16.5" customHeight="1" x14ac:dyDescent="0.25">
      <c r="B155" s="452"/>
      <c r="C155" s="488" t="s">
        <v>849</v>
      </c>
      <c r="D155" s="494"/>
      <c r="E155" s="446">
        <v>66</v>
      </c>
      <c r="F155" s="471"/>
      <c r="G155" s="451" t="str">
        <f t="shared" si="41"/>
        <v>0x0042</v>
      </c>
      <c r="H155" s="374" t="str">
        <f t="shared" si="30"/>
        <v>0x00C2</v>
      </c>
      <c r="I155" s="374" t="str">
        <f t="shared" si="31"/>
        <v>0x0142</v>
      </c>
      <c r="J155" s="374" t="str">
        <f t="shared" si="32"/>
        <v>0x01C2</v>
      </c>
      <c r="K155" s="374" t="str">
        <f t="shared" si="33"/>
        <v>0x0242</v>
      </c>
      <c r="L155" s="374" t="str">
        <f t="shared" si="34"/>
        <v>0x02C2</v>
      </c>
      <c r="M155" s="374" t="str">
        <f t="shared" si="35"/>
        <v>0x0342</v>
      </c>
      <c r="N155" s="374" t="str">
        <f t="shared" si="36"/>
        <v>0x03C2</v>
      </c>
      <c r="O155" s="374" t="str">
        <f t="shared" si="37"/>
        <v>0x0442</v>
      </c>
      <c r="P155" s="374" t="str">
        <f t="shared" si="38"/>
        <v>0x04C2</v>
      </c>
      <c r="Q155" s="374" t="str">
        <f t="shared" si="39"/>
        <v>0x0542</v>
      </c>
      <c r="R155" s="374" t="str">
        <f t="shared" si="40"/>
        <v>0x05C2</v>
      </c>
      <c r="S155" s="374" t="str">
        <f t="shared" si="42"/>
        <v>0x0642</v>
      </c>
      <c r="T155" s="374" t="str">
        <f t="shared" si="43"/>
        <v>0x06C2</v>
      </c>
      <c r="U155" s="374" t="str">
        <f t="shared" si="44"/>
        <v>0x0742</v>
      </c>
    </row>
    <row r="156" spans="2:21" ht="16.5" customHeight="1" x14ac:dyDescent="0.25">
      <c r="B156" s="452"/>
      <c r="C156" s="488" t="s">
        <v>850</v>
      </c>
      <c r="D156" s="494"/>
      <c r="E156" s="446">
        <v>67</v>
      </c>
      <c r="F156" s="471"/>
      <c r="G156" s="451" t="str">
        <f t="shared" si="41"/>
        <v>0x0043</v>
      </c>
      <c r="H156" s="374" t="str">
        <f t="shared" si="30"/>
        <v>0x00C3</v>
      </c>
      <c r="I156" s="374" t="str">
        <f t="shared" si="31"/>
        <v>0x0143</v>
      </c>
      <c r="J156" s="374" t="str">
        <f t="shared" si="32"/>
        <v>0x01C3</v>
      </c>
      <c r="K156" s="374" t="str">
        <f t="shared" si="33"/>
        <v>0x0243</v>
      </c>
      <c r="L156" s="374" t="str">
        <f t="shared" si="34"/>
        <v>0x02C3</v>
      </c>
      <c r="M156" s="374" t="str">
        <f t="shared" si="35"/>
        <v>0x0343</v>
      </c>
      <c r="N156" s="374" t="str">
        <f t="shared" si="36"/>
        <v>0x03C3</v>
      </c>
      <c r="O156" s="374" t="str">
        <f t="shared" si="37"/>
        <v>0x0443</v>
      </c>
      <c r="P156" s="374" t="str">
        <f t="shared" si="38"/>
        <v>0x04C3</v>
      </c>
      <c r="Q156" s="374" t="str">
        <f t="shared" si="39"/>
        <v>0x0543</v>
      </c>
      <c r="R156" s="374" t="str">
        <f t="shared" si="40"/>
        <v>0x05C3</v>
      </c>
      <c r="S156" s="374" t="str">
        <f t="shared" si="42"/>
        <v>0x0643</v>
      </c>
      <c r="T156" s="374" t="str">
        <f t="shared" si="43"/>
        <v>0x06C3</v>
      </c>
      <c r="U156" s="374" t="str">
        <f t="shared" si="44"/>
        <v>0x0743</v>
      </c>
    </row>
    <row r="157" spans="2:21" ht="16.5" customHeight="1" x14ac:dyDescent="0.25">
      <c r="B157" s="452"/>
      <c r="C157" s="488" t="s">
        <v>851</v>
      </c>
      <c r="D157" s="494"/>
      <c r="E157" s="446">
        <v>68</v>
      </c>
      <c r="F157" s="471"/>
      <c r="G157" s="451" t="str">
        <f t="shared" si="41"/>
        <v>0x0044</v>
      </c>
      <c r="H157" s="374" t="str">
        <f t="shared" si="30"/>
        <v>0x00C4</v>
      </c>
      <c r="I157" s="374" t="str">
        <f t="shared" si="31"/>
        <v>0x0144</v>
      </c>
      <c r="J157" s="374" t="str">
        <f t="shared" si="32"/>
        <v>0x01C4</v>
      </c>
      <c r="K157" s="374" t="str">
        <f t="shared" si="33"/>
        <v>0x0244</v>
      </c>
      <c r="L157" s="374" t="str">
        <f t="shared" si="34"/>
        <v>0x02C4</v>
      </c>
      <c r="M157" s="374" t="str">
        <f t="shared" si="35"/>
        <v>0x0344</v>
      </c>
      <c r="N157" s="374" t="str">
        <f t="shared" si="36"/>
        <v>0x03C4</v>
      </c>
      <c r="O157" s="374" t="str">
        <f t="shared" si="37"/>
        <v>0x0444</v>
      </c>
      <c r="P157" s="374" t="str">
        <f t="shared" si="38"/>
        <v>0x04C4</v>
      </c>
      <c r="Q157" s="374" t="str">
        <f t="shared" si="39"/>
        <v>0x0544</v>
      </c>
      <c r="R157" s="374" t="str">
        <f t="shared" si="40"/>
        <v>0x05C4</v>
      </c>
      <c r="S157" s="374" t="str">
        <f t="shared" si="42"/>
        <v>0x0644</v>
      </c>
      <c r="T157" s="374" t="str">
        <f t="shared" si="43"/>
        <v>0x06C4</v>
      </c>
      <c r="U157" s="374" t="str">
        <f t="shared" si="44"/>
        <v>0x0744</v>
      </c>
    </row>
    <row r="158" spans="2:21" ht="16.5" customHeight="1" x14ac:dyDescent="0.25">
      <c r="B158" s="456" t="s">
        <v>785</v>
      </c>
      <c r="C158" s="493" t="s">
        <v>852</v>
      </c>
      <c r="D158" s="494"/>
      <c r="E158" s="446">
        <v>69</v>
      </c>
      <c r="F158" s="471"/>
      <c r="G158" s="451" t="str">
        <f t="shared" si="41"/>
        <v>0x0045</v>
      </c>
      <c r="H158" s="374" t="str">
        <f t="shared" si="30"/>
        <v>0x00C5</v>
      </c>
      <c r="I158" s="374" t="str">
        <f t="shared" si="31"/>
        <v>0x0145</v>
      </c>
      <c r="J158" s="374" t="str">
        <f t="shared" si="32"/>
        <v>0x01C5</v>
      </c>
      <c r="K158" s="374" t="str">
        <f t="shared" si="33"/>
        <v>0x0245</v>
      </c>
      <c r="L158" s="374" t="str">
        <f t="shared" si="34"/>
        <v>0x02C5</v>
      </c>
      <c r="M158" s="374" t="str">
        <f t="shared" si="35"/>
        <v>0x0345</v>
      </c>
      <c r="N158" s="374" t="str">
        <f t="shared" si="36"/>
        <v>0x03C5</v>
      </c>
      <c r="O158" s="374" t="str">
        <f t="shared" si="37"/>
        <v>0x0445</v>
      </c>
      <c r="P158" s="374" t="str">
        <f t="shared" si="38"/>
        <v>0x04C5</v>
      </c>
      <c r="Q158" s="374" t="str">
        <f t="shared" si="39"/>
        <v>0x0545</v>
      </c>
      <c r="R158" s="374" t="str">
        <f t="shared" si="40"/>
        <v>0x05C5</v>
      </c>
      <c r="S158" s="374" t="str">
        <f t="shared" si="42"/>
        <v>0x0645</v>
      </c>
      <c r="T158" s="374" t="str">
        <f t="shared" si="43"/>
        <v>0x06C5</v>
      </c>
      <c r="U158" s="374" t="str">
        <f t="shared" si="44"/>
        <v>0x0745</v>
      </c>
    </row>
    <row r="159" spans="2:21" ht="16.5" customHeight="1" x14ac:dyDescent="0.25">
      <c r="B159" s="456" t="s">
        <v>785</v>
      </c>
      <c r="C159" s="493" t="s">
        <v>853</v>
      </c>
      <c r="D159" s="494"/>
      <c r="E159" s="446">
        <v>70</v>
      </c>
      <c r="F159" s="471"/>
      <c r="G159" s="451" t="str">
        <f t="shared" si="41"/>
        <v>0x0046</v>
      </c>
      <c r="H159" s="374" t="str">
        <f t="shared" si="30"/>
        <v>0x00C6</v>
      </c>
      <c r="I159" s="374" t="str">
        <f t="shared" si="31"/>
        <v>0x0146</v>
      </c>
      <c r="J159" s="374" t="str">
        <f t="shared" si="32"/>
        <v>0x01C6</v>
      </c>
      <c r="K159" s="374" t="str">
        <f t="shared" si="33"/>
        <v>0x0246</v>
      </c>
      <c r="L159" s="374" t="str">
        <f t="shared" si="34"/>
        <v>0x02C6</v>
      </c>
      <c r="M159" s="374" t="str">
        <f t="shared" si="35"/>
        <v>0x0346</v>
      </c>
      <c r="N159" s="374" t="str">
        <f t="shared" si="36"/>
        <v>0x03C6</v>
      </c>
      <c r="O159" s="374" t="str">
        <f t="shared" si="37"/>
        <v>0x0446</v>
      </c>
      <c r="P159" s="374" t="str">
        <f t="shared" si="38"/>
        <v>0x04C6</v>
      </c>
      <c r="Q159" s="374" t="str">
        <f t="shared" si="39"/>
        <v>0x0546</v>
      </c>
      <c r="R159" s="374" t="str">
        <f t="shared" si="40"/>
        <v>0x05C6</v>
      </c>
      <c r="S159" s="374" t="str">
        <f t="shared" si="42"/>
        <v>0x0646</v>
      </c>
      <c r="T159" s="374" t="str">
        <f t="shared" si="43"/>
        <v>0x06C6</v>
      </c>
      <c r="U159" s="374" t="str">
        <f t="shared" si="44"/>
        <v>0x0746</v>
      </c>
    </row>
    <row r="160" spans="2:21" ht="16.5" customHeight="1" x14ac:dyDescent="0.25">
      <c r="B160" s="456" t="s">
        <v>785</v>
      </c>
      <c r="C160" s="493" t="s">
        <v>854</v>
      </c>
      <c r="D160" s="494"/>
      <c r="E160" s="446">
        <v>71</v>
      </c>
      <c r="F160" s="471"/>
      <c r="G160" s="451" t="str">
        <f t="shared" si="41"/>
        <v>0x0047</v>
      </c>
      <c r="H160" s="374" t="str">
        <f t="shared" si="30"/>
        <v>0x00C7</v>
      </c>
      <c r="I160" s="374" t="str">
        <f t="shared" si="31"/>
        <v>0x0147</v>
      </c>
      <c r="J160" s="374" t="str">
        <f t="shared" si="32"/>
        <v>0x01C7</v>
      </c>
      <c r="K160" s="374" t="str">
        <f t="shared" si="33"/>
        <v>0x0247</v>
      </c>
      <c r="L160" s="374" t="str">
        <f t="shared" si="34"/>
        <v>0x02C7</v>
      </c>
      <c r="M160" s="374" t="str">
        <f t="shared" si="35"/>
        <v>0x0347</v>
      </c>
      <c r="N160" s="374" t="str">
        <f t="shared" si="36"/>
        <v>0x03C7</v>
      </c>
      <c r="O160" s="374" t="str">
        <f t="shared" si="37"/>
        <v>0x0447</v>
      </c>
      <c r="P160" s="374" t="str">
        <f t="shared" si="38"/>
        <v>0x04C7</v>
      </c>
      <c r="Q160" s="374" t="str">
        <f t="shared" si="39"/>
        <v>0x0547</v>
      </c>
      <c r="R160" s="374" t="str">
        <f t="shared" si="40"/>
        <v>0x05C7</v>
      </c>
      <c r="S160" s="374" t="str">
        <f t="shared" si="42"/>
        <v>0x0647</v>
      </c>
      <c r="T160" s="374" t="str">
        <f t="shared" si="43"/>
        <v>0x06C7</v>
      </c>
      <c r="U160" s="374" t="str">
        <f t="shared" si="44"/>
        <v>0x0747</v>
      </c>
    </row>
    <row r="161" spans="2:21" ht="16.5" customHeight="1" x14ac:dyDescent="0.25">
      <c r="B161" s="456" t="s">
        <v>838</v>
      </c>
      <c r="C161" s="493" t="s">
        <v>855</v>
      </c>
      <c r="D161" s="494"/>
      <c r="E161" s="446">
        <v>72</v>
      </c>
      <c r="F161" s="471"/>
      <c r="G161" s="451" t="str">
        <f t="shared" si="41"/>
        <v>0x0048</v>
      </c>
      <c r="H161" s="374" t="str">
        <f t="shared" si="30"/>
        <v>0x00C8</v>
      </c>
      <c r="I161" s="374" t="str">
        <f t="shared" si="31"/>
        <v>0x0148</v>
      </c>
      <c r="J161" s="374" t="str">
        <f t="shared" si="32"/>
        <v>0x01C8</v>
      </c>
      <c r="K161" s="374" t="str">
        <f t="shared" si="33"/>
        <v>0x0248</v>
      </c>
      <c r="L161" s="374" t="str">
        <f t="shared" si="34"/>
        <v>0x02C8</v>
      </c>
      <c r="M161" s="374" t="str">
        <f t="shared" si="35"/>
        <v>0x0348</v>
      </c>
      <c r="N161" s="374" t="str">
        <f t="shared" si="36"/>
        <v>0x03C8</v>
      </c>
      <c r="O161" s="374" t="str">
        <f t="shared" si="37"/>
        <v>0x0448</v>
      </c>
      <c r="P161" s="374" t="str">
        <f t="shared" si="38"/>
        <v>0x04C8</v>
      </c>
      <c r="Q161" s="374" t="str">
        <f t="shared" si="39"/>
        <v>0x0548</v>
      </c>
      <c r="R161" s="374" t="str">
        <f t="shared" si="40"/>
        <v>0x05C8</v>
      </c>
      <c r="S161" s="374" t="str">
        <f t="shared" si="42"/>
        <v>0x0648</v>
      </c>
      <c r="T161" s="374" t="str">
        <f t="shared" si="43"/>
        <v>0x06C8</v>
      </c>
      <c r="U161" s="374" t="str">
        <f t="shared" si="44"/>
        <v>0x0748</v>
      </c>
    </row>
    <row r="162" spans="2:21" ht="16.5" customHeight="1" x14ac:dyDescent="0.25">
      <c r="B162" s="456" t="s">
        <v>838</v>
      </c>
      <c r="C162" s="493" t="s">
        <v>856</v>
      </c>
      <c r="D162" s="494"/>
      <c r="E162" s="446">
        <v>73</v>
      </c>
      <c r="F162" s="471"/>
      <c r="G162" s="451" t="str">
        <f t="shared" si="41"/>
        <v>0x0049</v>
      </c>
      <c r="H162" s="374" t="str">
        <f t="shared" si="30"/>
        <v>0x00C9</v>
      </c>
      <c r="I162" s="374" t="str">
        <f t="shared" si="31"/>
        <v>0x0149</v>
      </c>
      <c r="J162" s="374" t="str">
        <f t="shared" si="32"/>
        <v>0x01C9</v>
      </c>
      <c r="K162" s="374" t="str">
        <f t="shared" si="33"/>
        <v>0x0249</v>
      </c>
      <c r="L162" s="374" t="str">
        <f t="shared" si="34"/>
        <v>0x02C9</v>
      </c>
      <c r="M162" s="374" t="str">
        <f t="shared" si="35"/>
        <v>0x0349</v>
      </c>
      <c r="N162" s="374" t="str">
        <f t="shared" si="36"/>
        <v>0x03C9</v>
      </c>
      <c r="O162" s="374" t="str">
        <f t="shared" si="37"/>
        <v>0x0449</v>
      </c>
      <c r="P162" s="374" t="str">
        <f t="shared" si="38"/>
        <v>0x04C9</v>
      </c>
      <c r="Q162" s="374" t="str">
        <f t="shared" si="39"/>
        <v>0x0549</v>
      </c>
      <c r="R162" s="374" t="str">
        <f t="shared" si="40"/>
        <v>0x05C9</v>
      </c>
      <c r="S162" s="374" t="str">
        <f t="shared" si="42"/>
        <v>0x0649</v>
      </c>
      <c r="T162" s="374" t="str">
        <f t="shared" si="43"/>
        <v>0x06C9</v>
      </c>
      <c r="U162" s="374" t="str">
        <f t="shared" si="44"/>
        <v>0x0749</v>
      </c>
    </row>
    <row r="163" spans="2:21" ht="16.5" customHeight="1" x14ac:dyDescent="0.25">
      <c r="B163" s="452"/>
      <c r="C163" s="493" t="s">
        <v>857</v>
      </c>
      <c r="D163" s="494"/>
      <c r="E163" s="446">
        <v>74</v>
      </c>
      <c r="F163" s="471"/>
      <c r="G163" s="451" t="str">
        <f t="shared" si="41"/>
        <v>0x004A</v>
      </c>
      <c r="H163" s="374" t="str">
        <f t="shared" si="30"/>
        <v>0x00CA</v>
      </c>
      <c r="I163" s="374" t="str">
        <f t="shared" si="31"/>
        <v>0x014A</v>
      </c>
      <c r="J163" s="374" t="str">
        <f t="shared" si="32"/>
        <v>0x01CA</v>
      </c>
      <c r="K163" s="374" t="str">
        <f t="shared" si="33"/>
        <v>0x024A</v>
      </c>
      <c r="L163" s="374" t="str">
        <f t="shared" si="34"/>
        <v>0x02CA</v>
      </c>
      <c r="M163" s="374" t="str">
        <f t="shared" si="35"/>
        <v>0x034A</v>
      </c>
      <c r="N163" s="374" t="str">
        <f t="shared" si="36"/>
        <v>0x03CA</v>
      </c>
      <c r="O163" s="374" t="str">
        <f t="shared" si="37"/>
        <v>0x044A</v>
      </c>
      <c r="P163" s="374" t="str">
        <f t="shared" si="38"/>
        <v>0x04CA</v>
      </c>
      <c r="Q163" s="374" t="str">
        <f t="shared" si="39"/>
        <v>0x054A</v>
      </c>
      <c r="R163" s="374" t="str">
        <f t="shared" si="40"/>
        <v>0x05CA</v>
      </c>
      <c r="S163" s="374" t="str">
        <f t="shared" si="42"/>
        <v>0x064A</v>
      </c>
      <c r="T163" s="374" t="str">
        <f t="shared" si="43"/>
        <v>0x06CA</v>
      </c>
      <c r="U163" s="374" t="str">
        <f t="shared" si="44"/>
        <v>0x074A</v>
      </c>
    </row>
    <row r="164" spans="2:21" ht="16.5" customHeight="1" x14ac:dyDescent="0.25">
      <c r="B164" s="456" t="s">
        <v>838</v>
      </c>
      <c r="C164" s="493" t="s">
        <v>858</v>
      </c>
      <c r="D164" s="494"/>
      <c r="E164" s="446">
        <v>75</v>
      </c>
      <c r="F164" s="471"/>
      <c r="G164" s="451" t="str">
        <f t="shared" si="41"/>
        <v>0x004B</v>
      </c>
      <c r="H164" s="374" t="str">
        <f t="shared" si="30"/>
        <v>0x00CB</v>
      </c>
      <c r="I164" s="374" t="str">
        <f t="shared" si="31"/>
        <v>0x014B</v>
      </c>
      <c r="J164" s="374" t="str">
        <f t="shared" si="32"/>
        <v>0x01CB</v>
      </c>
      <c r="K164" s="374" t="str">
        <f t="shared" si="33"/>
        <v>0x024B</v>
      </c>
      <c r="L164" s="374" t="str">
        <f t="shared" si="34"/>
        <v>0x02CB</v>
      </c>
      <c r="M164" s="374" t="str">
        <f t="shared" si="35"/>
        <v>0x034B</v>
      </c>
      <c r="N164" s="374" t="str">
        <f t="shared" si="36"/>
        <v>0x03CB</v>
      </c>
      <c r="O164" s="374" t="str">
        <f t="shared" si="37"/>
        <v>0x044B</v>
      </c>
      <c r="P164" s="374" t="str">
        <f t="shared" si="38"/>
        <v>0x04CB</v>
      </c>
      <c r="Q164" s="374" t="str">
        <f t="shared" si="39"/>
        <v>0x054B</v>
      </c>
      <c r="R164" s="374" t="str">
        <f t="shared" si="40"/>
        <v>0x05CB</v>
      </c>
      <c r="S164" s="374" t="str">
        <f t="shared" si="42"/>
        <v>0x064B</v>
      </c>
      <c r="T164" s="374" t="str">
        <f t="shared" si="43"/>
        <v>0x06CB</v>
      </c>
      <c r="U164" s="374" t="str">
        <f t="shared" si="44"/>
        <v>0x074B</v>
      </c>
    </row>
    <row r="165" spans="2:21" ht="16.5" customHeight="1" x14ac:dyDescent="0.25">
      <c r="B165" s="452"/>
      <c r="C165" s="487" t="s">
        <v>859</v>
      </c>
      <c r="D165" s="494"/>
      <c r="E165" s="446">
        <v>76</v>
      </c>
      <c r="F165" s="471"/>
      <c r="G165" s="451" t="str">
        <f t="shared" si="41"/>
        <v>0x004C</v>
      </c>
      <c r="H165" s="374" t="str">
        <f t="shared" si="30"/>
        <v>0x00CC</v>
      </c>
      <c r="I165" s="374" t="str">
        <f t="shared" si="31"/>
        <v>0x014C</v>
      </c>
      <c r="J165" s="374" t="str">
        <f t="shared" si="32"/>
        <v>0x01CC</v>
      </c>
      <c r="K165" s="374" t="str">
        <f t="shared" si="33"/>
        <v>0x024C</v>
      </c>
      <c r="L165" s="374" t="str">
        <f t="shared" si="34"/>
        <v>0x02CC</v>
      </c>
      <c r="M165" s="374" t="str">
        <f t="shared" si="35"/>
        <v>0x034C</v>
      </c>
      <c r="N165" s="374" t="str">
        <f t="shared" si="36"/>
        <v>0x03CC</v>
      </c>
      <c r="O165" s="374" t="str">
        <f t="shared" si="37"/>
        <v>0x044C</v>
      </c>
      <c r="P165" s="374" t="str">
        <f t="shared" si="38"/>
        <v>0x04CC</v>
      </c>
      <c r="Q165" s="374" t="str">
        <f t="shared" si="39"/>
        <v>0x054C</v>
      </c>
      <c r="R165" s="374" t="str">
        <f t="shared" si="40"/>
        <v>0x05CC</v>
      </c>
      <c r="S165" s="374" t="str">
        <f t="shared" si="42"/>
        <v>0x064C</v>
      </c>
      <c r="T165" s="374" t="str">
        <f t="shared" si="43"/>
        <v>0x06CC</v>
      </c>
      <c r="U165" s="374" t="str">
        <f t="shared" si="44"/>
        <v>0x074C</v>
      </c>
    </row>
    <row r="166" spans="2:21" ht="16.5" customHeight="1" x14ac:dyDescent="0.25">
      <c r="B166" s="452"/>
      <c r="C166" s="487" t="s">
        <v>859</v>
      </c>
      <c r="D166" s="494"/>
      <c r="E166" s="446">
        <v>77</v>
      </c>
      <c r="F166" s="471"/>
      <c r="G166" s="451" t="str">
        <f t="shared" si="41"/>
        <v>0x004D</v>
      </c>
      <c r="H166" s="374" t="str">
        <f t="shared" si="30"/>
        <v>0x00CD</v>
      </c>
      <c r="I166" s="374" t="str">
        <f t="shared" si="31"/>
        <v>0x014D</v>
      </c>
      <c r="J166" s="374" t="str">
        <f t="shared" si="32"/>
        <v>0x01CD</v>
      </c>
      <c r="K166" s="374" t="str">
        <f t="shared" si="33"/>
        <v>0x024D</v>
      </c>
      <c r="L166" s="374" t="str">
        <f t="shared" si="34"/>
        <v>0x02CD</v>
      </c>
      <c r="M166" s="374" t="str">
        <f t="shared" si="35"/>
        <v>0x034D</v>
      </c>
      <c r="N166" s="374" t="str">
        <f t="shared" si="36"/>
        <v>0x03CD</v>
      </c>
      <c r="O166" s="374" t="str">
        <f t="shared" si="37"/>
        <v>0x044D</v>
      </c>
      <c r="P166" s="374" t="str">
        <f t="shared" si="38"/>
        <v>0x04CD</v>
      </c>
      <c r="Q166" s="374" t="str">
        <f t="shared" si="39"/>
        <v>0x054D</v>
      </c>
      <c r="R166" s="374" t="str">
        <f t="shared" si="40"/>
        <v>0x05CD</v>
      </c>
      <c r="S166" s="374" t="str">
        <f t="shared" si="42"/>
        <v>0x064D</v>
      </c>
      <c r="T166" s="374" t="str">
        <f t="shared" si="43"/>
        <v>0x06CD</v>
      </c>
      <c r="U166" s="374" t="str">
        <f t="shared" si="44"/>
        <v>0x074D</v>
      </c>
    </row>
    <row r="167" spans="2:21" ht="16.5" customHeight="1" x14ac:dyDescent="0.25">
      <c r="B167" s="452"/>
      <c r="C167" s="487" t="s">
        <v>859</v>
      </c>
      <c r="D167" s="494"/>
      <c r="E167" s="446">
        <v>78</v>
      </c>
      <c r="F167" s="471"/>
      <c r="G167" s="451" t="str">
        <f t="shared" si="41"/>
        <v>0x004E</v>
      </c>
      <c r="H167" s="374" t="str">
        <f t="shared" si="30"/>
        <v>0x00CE</v>
      </c>
      <c r="I167" s="374" t="str">
        <f t="shared" si="31"/>
        <v>0x014E</v>
      </c>
      <c r="J167" s="374" t="str">
        <f t="shared" si="32"/>
        <v>0x01CE</v>
      </c>
      <c r="K167" s="374" t="str">
        <f t="shared" si="33"/>
        <v>0x024E</v>
      </c>
      <c r="L167" s="374" t="str">
        <f t="shared" si="34"/>
        <v>0x02CE</v>
      </c>
      <c r="M167" s="374" t="str">
        <f t="shared" si="35"/>
        <v>0x034E</v>
      </c>
      <c r="N167" s="374" t="str">
        <f t="shared" si="36"/>
        <v>0x03CE</v>
      </c>
      <c r="O167" s="374" t="str">
        <f t="shared" si="37"/>
        <v>0x044E</v>
      </c>
      <c r="P167" s="374" t="str">
        <f t="shared" si="38"/>
        <v>0x04CE</v>
      </c>
      <c r="Q167" s="374" t="str">
        <f t="shared" si="39"/>
        <v>0x054E</v>
      </c>
      <c r="R167" s="374" t="str">
        <f t="shared" si="40"/>
        <v>0x05CE</v>
      </c>
      <c r="S167" s="374" t="str">
        <f t="shared" si="42"/>
        <v>0x064E</v>
      </c>
      <c r="T167" s="374" t="str">
        <f t="shared" si="43"/>
        <v>0x06CE</v>
      </c>
      <c r="U167" s="374" t="str">
        <f t="shared" si="44"/>
        <v>0x074E</v>
      </c>
    </row>
    <row r="168" spans="2:21" ht="16.5" customHeight="1" thickBot="1" x14ac:dyDescent="0.3">
      <c r="B168" s="452"/>
      <c r="C168" s="497" t="s">
        <v>859</v>
      </c>
      <c r="D168" s="496"/>
      <c r="E168" s="481">
        <v>79</v>
      </c>
      <c r="F168" s="482"/>
      <c r="G168" s="462" t="str">
        <f t="shared" si="41"/>
        <v>0x004F</v>
      </c>
      <c r="H168" s="387" t="str">
        <f t="shared" si="30"/>
        <v>0x00CF</v>
      </c>
      <c r="I168" s="387" t="str">
        <f t="shared" si="31"/>
        <v>0x014F</v>
      </c>
      <c r="J168" s="387" t="str">
        <f t="shared" si="32"/>
        <v>0x01CF</v>
      </c>
      <c r="K168" s="387" t="str">
        <f t="shared" si="33"/>
        <v>0x024F</v>
      </c>
      <c r="L168" s="387" t="str">
        <f t="shared" si="34"/>
        <v>0x02CF</v>
      </c>
      <c r="M168" s="387" t="str">
        <f t="shared" si="35"/>
        <v>0x034F</v>
      </c>
      <c r="N168" s="387" t="str">
        <f t="shared" si="36"/>
        <v>0x03CF</v>
      </c>
      <c r="O168" s="387" t="str">
        <f t="shared" si="37"/>
        <v>0x044F</v>
      </c>
      <c r="P168" s="387" t="str">
        <f t="shared" si="38"/>
        <v>0x04CF</v>
      </c>
      <c r="Q168" s="387" t="str">
        <f t="shared" si="39"/>
        <v>0x054F</v>
      </c>
      <c r="R168" s="387" t="str">
        <f t="shared" si="40"/>
        <v>0x05CF</v>
      </c>
      <c r="S168" s="387" t="str">
        <f t="shared" si="42"/>
        <v>0x064F</v>
      </c>
      <c r="T168" s="387" t="str">
        <f t="shared" si="43"/>
        <v>0x06CF</v>
      </c>
      <c r="U168" s="387" t="str">
        <f t="shared" si="44"/>
        <v>0x074F</v>
      </c>
    </row>
    <row r="169" spans="2:21" ht="16.5" customHeight="1" thickTop="1" x14ac:dyDescent="0.25">
      <c r="B169" s="452"/>
      <c r="C169" s="498" t="s">
        <v>860</v>
      </c>
      <c r="D169" s="499"/>
      <c r="E169" s="465">
        <v>80</v>
      </c>
      <c r="F169" s="466">
        <v>6</v>
      </c>
      <c r="G169" s="467" t="str">
        <f t="shared" si="41"/>
        <v>0x0050</v>
      </c>
      <c r="H169" s="397" t="str">
        <f t="shared" si="30"/>
        <v>0x00D0</v>
      </c>
      <c r="I169" s="397" t="str">
        <f t="shared" si="31"/>
        <v>0x0150</v>
      </c>
      <c r="J169" s="397" t="str">
        <f t="shared" si="32"/>
        <v>0x01D0</v>
      </c>
      <c r="K169" s="397" t="str">
        <f t="shared" si="33"/>
        <v>0x0250</v>
      </c>
      <c r="L169" s="397" t="str">
        <f t="shared" si="34"/>
        <v>0x02D0</v>
      </c>
      <c r="M169" s="397" t="str">
        <f t="shared" si="35"/>
        <v>0x0350</v>
      </c>
      <c r="N169" s="397" t="str">
        <f t="shared" si="36"/>
        <v>0x03D0</v>
      </c>
      <c r="O169" s="397" t="str">
        <f t="shared" si="37"/>
        <v>0x0450</v>
      </c>
      <c r="P169" s="397" t="str">
        <f t="shared" si="38"/>
        <v>0x04D0</v>
      </c>
      <c r="Q169" s="397" t="str">
        <f t="shared" si="39"/>
        <v>0x0550</v>
      </c>
      <c r="R169" s="397" t="str">
        <f t="shared" si="40"/>
        <v>0x05D0</v>
      </c>
      <c r="S169" s="468" t="str">
        <f t="shared" si="42"/>
        <v>0x0650</v>
      </c>
      <c r="T169" s="468" t="str">
        <f t="shared" si="43"/>
        <v>0x06D0</v>
      </c>
      <c r="U169" s="468" t="str">
        <f t="shared" si="44"/>
        <v>0x0750</v>
      </c>
    </row>
    <row r="170" spans="2:21" ht="16.5" customHeight="1" x14ac:dyDescent="0.25">
      <c r="B170" s="452"/>
      <c r="C170" s="487" t="s">
        <v>861</v>
      </c>
      <c r="D170" s="494"/>
      <c r="E170" s="446">
        <v>81</v>
      </c>
      <c r="F170" s="471"/>
      <c r="G170" s="451" t="str">
        <f t="shared" si="41"/>
        <v>0x0051</v>
      </c>
      <c r="H170" s="374" t="str">
        <f t="shared" si="30"/>
        <v>0x00D1</v>
      </c>
      <c r="I170" s="374" t="str">
        <f t="shared" si="31"/>
        <v>0x0151</v>
      </c>
      <c r="J170" s="374" t="str">
        <f t="shared" si="32"/>
        <v>0x01D1</v>
      </c>
      <c r="K170" s="374" t="str">
        <f t="shared" si="33"/>
        <v>0x0251</v>
      </c>
      <c r="L170" s="374" t="str">
        <f t="shared" si="34"/>
        <v>0x02D1</v>
      </c>
      <c r="M170" s="374" t="str">
        <f t="shared" si="35"/>
        <v>0x0351</v>
      </c>
      <c r="N170" s="374" t="str">
        <f t="shared" si="36"/>
        <v>0x03D1</v>
      </c>
      <c r="O170" s="374" t="str">
        <f t="shared" si="37"/>
        <v>0x0451</v>
      </c>
      <c r="P170" s="374" t="str">
        <f t="shared" si="38"/>
        <v>0x04D1</v>
      </c>
      <c r="Q170" s="374" t="str">
        <f t="shared" si="39"/>
        <v>0x0551</v>
      </c>
      <c r="R170" s="374" t="str">
        <f t="shared" si="40"/>
        <v>0x05D1</v>
      </c>
      <c r="S170" s="374" t="str">
        <f t="shared" si="42"/>
        <v>0x0651</v>
      </c>
      <c r="T170" s="374" t="str">
        <f t="shared" si="43"/>
        <v>0x06D1</v>
      </c>
      <c r="U170" s="374" t="str">
        <f t="shared" si="44"/>
        <v>0x0751</v>
      </c>
    </row>
    <row r="171" spans="2:21" ht="16.5" customHeight="1" x14ac:dyDescent="0.25">
      <c r="B171" s="452"/>
      <c r="C171" s="487" t="s">
        <v>862</v>
      </c>
      <c r="D171" s="494"/>
      <c r="E171" s="446">
        <v>82</v>
      </c>
      <c r="F171" s="471"/>
      <c r="G171" s="451" t="str">
        <f t="shared" si="41"/>
        <v>0x0052</v>
      </c>
      <c r="H171" s="374" t="str">
        <f t="shared" si="30"/>
        <v>0x00D2</v>
      </c>
      <c r="I171" s="374" t="str">
        <f t="shared" si="31"/>
        <v>0x0152</v>
      </c>
      <c r="J171" s="374" t="str">
        <f t="shared" si="32"/>
        <v>0x01D2</v>
      </c>
      <c r="K171" s="374" t="str">
        <f t="shared" si="33"/>
        <v>0x0252</v>
      </c>
      <c r="L171" s="374" t="str">
        <f t="shared" si="34"/>
        <v>0x02D2</v>
      </c>
      <c r="M171" s="374" t="str">
        <f t="shared" si="35"/>
        <v>0x0352</v>
      </c>
      <c r="N171" s="374" t="str">
        <f t="shared" si="36"/>
        <v>0x03D2</v>
      </c>
      <c r="O171" s="374" t="str">
        <f t="shared" si="37"/>
        <v>0x0452</v>
      </c>
      <c r="P171" s="374" t="str">
        <f t="shared" si="38"/>
        <v>0x04D2</v>
      </c>
      <c r="Q171" s="374" t="str">
        <f t="shared" si="39"/>
        <v>0x0552</v>
      </c>
      <c r="R171" s="374" t="str">
        <f t="shared" si="40"/>
        <v>0x05D2</v>
      </c>
      <c r="S171" s="374" t="str">
        <f t="shared" si="42"/>
        <v>0x0652</v>
      </c>
      <c r="T171" s="374" t="str">
        <f t="shared" si="43"/>
        <v>0x06D2</v>
      </c>
      <c r="U171" s="374" t="str">
        <f t="shared" si="44"/>
        <v>0x0752</v>
      </c>
    </row>
    <row r="172" spans="2:21" ht="16.5" customHeight="1" x14ac:dyDescent="0.25">
      <c r="B172" s="452"/>
      <c r="C172" s="487" t="s">
        <v>863</v>
      </c>
      <c r="D172" s="494"/>
      <c r="E172" s="446">
        <v>83</v>
      </c>
      <c r="F172" s="471"/>
      <c r="G172" s="451" t="str">
        <f t="shared" si="41"/>
        <v>0x0053</v>
      </c>
      <c r="H172" s="374" t="str">
        <f t="shared" si="30"/>
        <v>0x00D3</v>
      </c>
      <c r="I172" s="374" t="str">
        <f t="shared" si="31"/>
        <v>0x0153</v>
      </c>
      <c r="J172" s="374" t="str">
        <f t="shared" si="32"/>
        <v>0x01D3</v>
      </c>
      <c r="K172" s="374" t="str">
        <f t="shared" si="33"/>
        <v>0x0253</v>
      </c>
      <c r="L172" s="374" t="str">
        <f t="shared" si="34"/>
        <v>0x02D3</v>
      </c>
      <c r="M172" s="374" t="str">
        <f t="shared" si="35"/>
        <v>0x0353</v>
      </c>
      <c r="N172" s="374" t="str">
        <f t="shared" si="36"/>
        <v>0x03D3</v>
      </c>
      <c r="O172" s="374" t="str">
        <f t="shared" si="37"/>
        <v>0x0453</v>
      </c>
      <c r="P172" s="374" t="str">
        <f t="shared" si="38"/>
        <v>0x04D3</v>
      </c>
      <c r="Q172" s="374" t="str">
        <f t="shared" si="39"/>
        <v>0x0553</v>
      </c>
      <c r="R172" s="374" t="str">
        <f t="shared" si="40"/>
        <v>0x05D3</v>
      </c>
      <c r="S172" s="374" t="str">
        <f t="shared" si="42"/>
        <v>0x0653</v>
      </c>
      <c r="T172" s="374" t="str">
        <f t="shared" si="43"/>
        <v>0x06D3</v>
      </c>
      <c r="U172" s="374" t="str">
        <f t="shared" si="44"/>
        <v>0x0753</v>
      </c>
    </row>
    <row r="173" spans="2:21" ht="16.5" customHeight="1" x14ac:dyDescent="0.25">
      <c r="B173" s="452"/>
      <c r="C173" s="487" t="s">
        <v>864</v>
      </c>
      <c r="D173" s="494"/>
      <c r="E173" s="446">
        <v>84</v>
      </c>
      <c r="F173" s="471"/>
      <c r="G173" s="451" t="str">
        <f t="shared" si="41"/>
        <v>0x0054</v>
      </c>
      <c r="H173" s="374" t="str">
        <f t="shared" si="30"/>
        <v>0x00D4</v>
      </c>
      <c r="I173" s="374" t="str">
        <f t="shared" si="31"/>
        <v>0x0154</v>
      </c>
      <c r="J173" s="374" t="str">
        <f t="shared" si="32"/>
        <v>0x01D4</v>
      </c>
      <c r="K173" s="374" t="str">
        <f t="shared" si="33"/>
        <v>0x0254</v>
      </c>
      <c r="L173" s="374" t="str">
        <f t="shared" si="34"/>
        <v>0x02D4</v>
      </c>
      <c r="M173" s="374" t="str">
        <f t="shared" si="35"/>
        <v>0x0354</v>
      </c>
      <c r="N173" s="374" t="str">
        <f t="shared" si="36"/>
        <v>0x03D4</v>
      </c>
      <c r="O173" s="374" t="str">
        <f t="shared" si="37"/>
        <v>0x0454</v>
      </c>
      <c r="P173" s="374" t="str">
        <f t="shared" si="38"/>
        <v>0x04D4</v>
      </c>
      <c r="Q173" s="374" t="str">
        <f t="shared" si="39"/>
        <v>0x0554</v>
      </c>
      <c r="R173" s="374" t="str">
        <f t="shared" si="40"/>
        <v>0x05D4</v>
      </c>
      <c r="S173" s="374" t="str">
        <f t="shared" si="42"/>
        <v>0x0654</v>
      </c>
      <c r="T173" s="374" t="str">
        <f t="shared" si="43"/>
        <v>0x06D4</v>
      </c>
      <c r="U173" s="374" t="str">
        <f t="shared" si="44"/>
        <v>0x0754</v>
      </c>
    </row>
    <row r="174" spans="2:21" ht="16.5" customHeight="1" x14ac:dyDescent="0.25">
      <c r="B174" s="452"/>
      <c r="C174" s="487" t="s">
        <v>865</v>
      </c>
      <c r="D174" s="494"/>
      <c r="E174" s="446">
        <v>85</v>
      </c>
      <c r="F174" s="471"/>
      <c r="G174" s="451" t="str">
        <f t="shared" si="41"/>
        <v>0x0055</v>
      </c>
      <c r="H174" s="374" t="str">
        <f t="shared" si="30"/>
        <v>0x00D5</v>
      </c>
      <c r="I174" s="374" t="str">
        <f t="shared" si="31"/>
        <v>0x0155</v>
      </c>
      <c r="J174" s="374" t="str">
        <f t="shared" si="32"/>
        <v>0x01D5</v>
      </c>
      <c r="K174" s="374" t="str">
        <f t="shared" si="33"/>
        <v>0x0255</v>
      </c>
      <c r="L174" s="374" t="str">
        <f t="shared" si="34"/>
        <v>0x02D5</v>
      </c>
      <c r="M174" s="374" t="str">
        <f t="shared" si="35"/>
        <v>0x0355</v>
      </c>
      <c r="N174" s="374" t="str">
        <f t="shared" si="36"/>
        <v>0x03D5</v>
      </c>
      <c r="O174" s="374" t="str">
        <f t="shared" si="37"/>
        <v>0x0455</v>
      </c>
      <c r="P174" s="374" t="str">
        <f t="shared" si="38"/>
        <v>0x04D5</v>
      </c>
      <c r="Q174" s="374" t="str">
        <f t="shared" si="39"/>
        <v>0x0555</v>
      </c>
      <c r="R174" s="374" t="str">
        <f t="shared" si="40"/>
        <v>0x05D5</v>
      </c>
      <c r="S174" s="374" t="str">
        <f t="shared" si="42"/>
        <v>0x0655</v>
      </c>
      <c r="T174" s="374" t="str">
        <f t="shared" si="43"/>
        <v>0x06D5</v>
      </c>
      <c r="U174" s="374" t="str">
        <f t="shared" si="44"/>
        <v>0x0755</v>
      </c>
    </row>
    <row r="175" spans="2:21" ht="16.5" customHeight="1" x14ac:dyDescent="0.25">
      <c r="B175" s="452"/>
      <c r="C175" s="487" t="s">
        <v>866</v>
      </c>
      <c r="D175" s="494"/>
      <c r="E175" s="446">
        <v>86</v>
      </c>
      <c r="F175" s="471"/>
      <c r="G175" s="451" t="str">
        <f t="shared" si="41"/>
        <v>0x0056</v>
      </c>
      <c r="H175" s="374" t="str">
        <f t="shared" si="30"/>
        <v>0x00D6</v>
      </c>
      <c r="I175" s="374" t="str">
        <f t="shared" si="31"/>
        <v>0x0156</v>
      </c>
      <c r="J175" s="374" t="str">
        <f t="shared" si="32"/>
        <v>0x01D6</v>
      </c>
      <c r="K175" s="374" t="str">
        <f t="shared" si="33"/>
        <v>0x0256</v>
      </c>
      <c r="L175" s="374" t="str">
        <f t="shared" si="34"/>
        <v>0x02D6</v>
      </c>
      <c r="M175" s="374" t="str">
        <f t="shared" si="35"/>
        <v>0x0356</v>
      </c>
      <c r="N175" s="374" t="str">
        <f t="shared" si="36"/>
        <v>0x03D6</v>
      </c>
      <c r="O175" s="374" t="str">
        <f t="shared" si="37"/>
        <v>0x0456</v>
      </c>
      <c r="P175" s="374" t="str">
        <f t="shared" si="38"/>
        <v>0x04D6</v>
      </c>
      <c r="Q175" s="374" t="str">
        <f t="shared" si="39"/>
        <v>0x0556</v>
      </c>
      <c r="R175" s="374" t="str">
        <f t="shared" si="40"/>
        <v>0x05D6</v>
      </c>
      <c r="S175" s="374" t="str">
        <f t="shared" si="42"/>
        <v>0x0656</v>
      </c>
      <c r="T175" s="374" t="str">
        <f t="shared" si="43"/>
        <v>0x06D6</v>
      </c>
      <c r="U175" s="374" t="str">
        <f t="shared" si="44"/>
        <v>0x0756</v>
      </c>
    </row>
    <row r="176" spans="2:21" ht="16.5" customHeight="1" x14ac:dyDescent="0.25">
      <c r="B176" s="452"/>
      <c r="C176" s="487" t="s">
        <v>867</v>
      </c>
      <c r="D176" s="494"/>
      <c r="E176" s="446">
        <v>87</v>
      </c>
      <c r="F176" s="471"/>
      <c r="G176" s="451" t="str">
        <f t="shared" si="41"/>
        <v>0x0057</v>
      </c>
      <c r="H176" s="374" t="str">
        <f t="shared" si="30"/>
        <v>0x00D7</v>
      </c>
      <c r="I176" s="374" t="str">
        <f t="shared" si="31"/>
        <v>0x0157</v>
      </c>
      <c r="J176" s="374" t="str">
        <f t="shared" si="32"/>
        <v>0x01D7</v>
      </c>
      <c r="K176" s="374" t="str">
        <f t="shared" si="33"/>
        <v>0x0257</v>
      </c>
      <c r="L176" s="374" t="str">
        <f t="shared" si="34"/>
        <v>0x02D7</v>
      </c>
      <c r="M176" s="374" t="str">
        <f t="shared" si="35"/>
        <v>0x0357</v>
      </c>
      <c r="N176" s="374" t="str">
        <f t="shared" si="36"/>
        <v>0x03D7</v>
      </c>
      <c r="O176" s="374" t="str">
        <f t="shared" si="37"/>
        <v>0x0457</v>
      </c>
      <c r="P176" s="374" t="str">
        <f t="shared" si="38"/>
        <v>0x04D7</v>
      </c>
      <c r="Q176" s="374" t="str">
        <f t="shared" si="39"/>
        <v>0x0557</v>
      </c>
      <c r="R176" s="374" t="str">
        <f t="shared" si="40"/>
        <v>0x05D7</v>
      </c>
      <c r="S176" s="374" t="str">
        <f t="shared" si="42"/>
        <v>0x0657</v>
      </c>
      <c r="T176" s="374" t="str">
        <f t="shared" si="43"/>
        <v>0x06D7</v>
      </c>
      <c r="U176" s="374" t="str">
        <f t="shared" si="44"/>
        <v>0x0757</v>
      </c>
    </row>
    <row r="177" spans="2:21" ht="16.5" customHeight="1" x14ac:dyDescent="0.25">
      <c r="B177" s="452"/>
      <c r="C177" s="487" t="s">
        <v>868</v>
      </c>
      <c r="D177" s="494"/>
      <c r="E177" s="446">
        <v>88</v>
      </c>
      <c r="F177" s="471"/>
      <c r="G177" s="451" t="str">
        <f t="shared" si="41"/>
        <v>0x0058</v>
      </c>
      <c r="H177" s="374" t="str">
        <f t="shared" si="30"/>
        <v>0x00D8</v>
      </c>
      <c r="I177" s="374" t="str">
        <f t="shared" si="31"/>
        <v>0x0158</v>
      </c>
      <c r="J177" s="374" t="str">
        <f t="shared" si="32"/>
        <v>0x01D8</v>
      </c>
      <c r="K177" s="374" t="str">
        <f t="shared" si="33"/>
        <v>0x0258</v>
      </c>
      <c r="L177" s="374" t="str">
        <f t="shared" si="34"/>
        <v>0x02D8</v>
      </c>
      <c r="M177" s="374" t="str">
        <f t="shared" si="35"/>
        <v>0x0358</v>
      </c>
      <c r="N177" s="374" t="str">
        <f t="shared" si="36"/>
        <v>0x03D8</v>
      </c>
      <c r="O177" s="374" t="str">
        <f t="shared" si="37"/>
        <v>0x0458</v>
      </c>
      <c r="P177" s="374" t="str">
        <f t="shared" si="38"/>
        <v>0x04D8</v>
      </c>
      <c r="Q177" s="374" t="str">
        <f t="shared" si="39"/>
        <v>0x0558</v>
      </c>
      <c r="R177" s="374" t="str">
        <f t="shared" si="40"/>
        <v>0x05D8</v>
      </c>
      <c r="S177" s="374" t="str">
        <f t="shared" si="42"/>
        <v>0x0658</v>
      </c>
      <c r="T177" s="374" t="str">
        <f t="shared" si="43"/>
        <v>0x06D8</v>
      </c>
      <c r="U177" s="374" t="str">
        <f t="shared" si="44"/>
        <v>0x0758</v>
      </c>
    </row>
    <row r="178" spans="2:21" ht="16.5" customHeight="1" x14ac:dyDescent="0.25">
      <c r="B178" s="452"/>
      <c r="C178" s="487" t="s">
        <v>869</v>
      </c>
      <c r="D178" s="494"/>
      <c r="E178" s="446">
        <v>89</v>
      </c>
      <c r="F178" s="471"/>
      <c r="G178" s="451" t="str">
        <f t="shared" si="41"/>
        <v>0x0059</v>
      </c>
      <c r="H178" s="374" t="str">
        <f t="shared" si="30"/>
        <v>0x00D9</v>
      </c>
      <c r="I178" s="374" t="str">
        <f t="shared" si="31"/>
        <v>0x0159</v>
      </c>
      <c r="J178" s="374" t="str">
        <f t="shared" si="32"/>
        <v>0x01D9</v>
      </c>
      <c r="K178" s="374" t="str">
        <f t="shared" si="33"/>
        <v>0x0259</v>
      </c>
      <c r="L178" s="374" t="str">
        <f t="shared" si="34"/>
        <v>0x02D9</v>
      </c>
      <c r="M178" s="374" t="str">
        <f t="shared" si="35"/>
        <v>0x0359</v>
      </c>
      <c r="N178" s="374" t="str">
        <f t="shared" si="36"/>
        <v>0x03D9</v>
      </c>
      <c r="O178" s="374" t="str">
        <f t="shared" si="37"/>
        <v>0x0459</v>
      </c>
      <c r="P178" s="374" t="str">
        <f t="shared" si="38"/>
        <v>0x04D9</v>
      </c>
      <c r="Q178" s="374" t="str">
        <f t="shared" si="39"/>
        <v>0x0559</v>
      </c>
      <c r="R178" s="374" t="str">
        <f t="shared" si="40"/>
        <v>0x05D9</v>
      </c>
      <c r="S178" s="374" t="str">
        <f t="shared" si="42"/>
        <v>0x0659</v>
      </c>
      <c r="T178" s="374" t="str">
        <f t="shared" si="43"/>
        <v>0x06D9</v>
      </c>
      <c r="U178" s="374" t="str">
        <f t="shared" si="44"/>
        <v>0x0759</v>
      </c>
    </row>
    <row r="179" spans="2:21" ht="16.5" customHeight="1" x14ac:dyDescent="0.25">
      <c r="B179" s="452"/>
      <c r="C179" s="487" t="s">
        <v>870</v>
      </c>
      <c r="D179" s="494"/>
      <c r="E179" s="446">
        <v>90</v>
      </c>
      <c r="F179" s="471"/>
      <c r="G179" s="451" t="str">
        <f t="shared" si="41"/>
        <v>0x005A</v>
      </c>
      <c r="H179" s="374" t="str">
        <f t="shared" si="30"/>
        <v>0x00DA</v>
      </c>
      <c r="I179" s="374" t="str">
        <f t="shared" si="31"/>
        <v>0x015A</v>
      </c>
      <c r="J179" s="374" t="str">
        <f t="shared" si="32"/>
        <v>0x01DA</v>
      </c>
      <c r="K179" s="374" t="str">
        <f t="shared" si="33"/>
        <v>0x025A</v>
      </c>
      <c r="L179" s="374" t="str">
        <f t="shared" si="34"/>
        <v>0x02DA</v>
      </c>
      <c r="M179" s="374" t="str">
        <f t="shared" si="35"/>
        <v>0x035A</v>
      </c>
      <c r="N179" s="374" t="str">
        <f t="shared" si="36"/>
        <v>0x03DA</v>
      </c>
      <c r="O179" s="374" t="str">
        <f t="shared" si="37"/>
        <v>0x045A</v>
      </c>
      <c r="P179" s="374" t="str">
        <f t="shared" si="38"/>
        <v>0x04DA</v>
      </c>
      <c r="Q179" s="374" t="str">
        <f t="shared" si="39"/>
        <v>0x055A</v>
      </c>
      <c r="R179" s="374" t="str">
        <f t="shared" si="40"/>
        <v>0x05DA</v>
      </c>
      <c r="S179" s="374" t="str">
        <f t="shared" si="42"/>
        <v>0x065A</v>
      </c>
      <c r="T179" s="374" t="str">
        <f t="shared" si="43"/>
        <v>0x06DA</v>
      </c>
      <c r="U179" s="374" t="str">
        <f t="shared" si="44"/>
        <v>0x075A</v>
      </c>
    </row>
    <row r="180" spans="2:21" ht="16.5" customHeight="1" x14ac:dyDescent="0.25">
      <c r="B180" s="452"/>
      <c r="C180" s="487" t="s">
        <v>871</v>
      </c>
      <c r="D180" s="494"/>
      <c r="E180" s="446">
        <v>91</v>
      </c>
      <c r="F180" s="471"/>
      <c r="G180" s="451" t="str">
        <f t="shared" si="41"/>
        <v>0x005B</v>
      </c>
      <c r="H180" s="374" t="str">
        <f t="shared" si="30"/>
        <v>0x00DB</v>
      </c>
      <c r="I180" s="374" t="str">
        <f t="shared" si="31"/>
        <v>0x015B</v>
      </c>
      <c r="J180" s="374" t="str">
        <f t="shared" si="32"/>
        <v>0x01DB</v>
      </c>
      <c r="K180" s="374" t="str">
        <f t="shared" si="33"/>
        <v>0x025B</v>
      </c>
      <c r="L180" s="374" t="str">
        <f t="shared" si="34"/>
        <v>0x02DB</v>
      </c>
      <c r="M180" s="374" t="str">
        <f t="shared" si="35"/>
        <v>0x035B</v>
      </c>
      <c r="N180" s="374" t="str">
        <f t="shared" si="36"/>
        <v>0x03DB</v>
      </c>
      <c r="O180" s="374" t="str">
        <f t="shared" si="37"/>
        <v>0x045B</v>
      </c>
      <c r="P180" s="374" t="str">
        <f t="shared" si="38"/>
        <v>0x04DB</v>
      </c>
      <c r="Q180" s="374" t="str">
        <f t="shared" si="39"/>
        <v>0x055B</v>
      </c>
      <c r="R180" s="374" t="str">
        <f t="shared" si="40"/>
        <v>0x05DB</v>
      </c>
      <c r="S180" s="374" t="str">
        <f t="shared" si="42"/>
        <v>0x065B</v>
      </c>
      <c r="T180" s="374" t="str">
        <f t="shared" si="43"/>
        <v>0x06DB</v>
      </c>
      <c r="U180" s="374" t="str">
        <f t="shared" si="44"/>
        <v>0x075B</v>
      </c>
    </row>
    <row r="181" spans="2:21" ht="16.5" customHeight="1" x14ac:dyDescent="0.25">
      <c r="B181" s="452"/>
      <c r="C181" s="488" t="s">
        <v>737</v>
      </c>
      <c r="D181" s="494"/>
      <c r="E181" s="446">
        <v>92</v>
      </c>
      <c r="F181" s="471"/>
      <c r="G181" s="451" t="str">
        <f t="shared" si="41"/>
        <v>0x005C</v>
      </c>
      <c r="H181" s="374" t="str">
        <f t="shared" si="30"/>
        <v>0x00DC</v>
      </c>
      <c r="I181" s="374" t="str">
        <f t="shared" si="31"/>
        <v>0x015C</v>
      </c>
      <c r="J181" s="374" t="str">
        <f t="shared" si="32"/>
        <v>0x01DC</v>
      </c>
      <c r="K181" s="374" t="str">
        <f t="shared" si="33"/>
        <v>0x025C</v>
      </c>
      <c r="L181" s="374" t="str">
        <f t="shared" si="34"/>
        <v>0x02DC</v>
      </c>
      <c r="M181" s="374" t="str">
        <f t="shared" si="35"/>
        <v>0x035C</v>
      </c>
      <c r="N181" s="374" t="str">
        <f t="shared" si="36"/>
        <v>0x03DC</v>
      </c>
      <c r="O181" s="374" t="str">
        <f t="shared" si="37"/>
        <v>0x045C</v>
      </c>
      <c r="P181" s="374" t="str">
        <f t="shared" si="38"/>
        <v>0x04DC</v>
      </c>
      <c r="Q181" s="374" t="str">
        <f t="shared" si="39"/>
        <v>0x055C</v>
      </c>
      <c r="R181" s="374" t="str">
        <f t="shared" si="40"/>
        <v>0x05DC</v>
      </c>
      <c r="S181" s="374" t="str">
        <f t="shared" si="42"/>
        <v>0x065C</v>
      </c>
      <c r="T181" s="374" t="str">
        <f t="shared" si="43"/>
        <v>0x06DC</v>
      </c>
      <c r="U181" s="374" t="str">
        <f t="shared" si="44"/>
        <v>0x075C</v>
      </c>
    </row>
    <row r="182" spans="2:21" ht="16.5" customHeight="1" x14ac:dyDescent="0.25">
      <c r="B182" s="452"/>
      <c r="C182" s="488" t="s">
        <v>813</v>
      </c>
      <c r="D182" s="494"/>
      <c r="E182" s="446">
        <v>93</v>
      </c>
      <c r="F182" s="471"/>
      <c r="G182" s="451" t="str">
        <f t="shared" si="41"/>
        <v>0x005D</v>
      </c>
      <c r="H182" s="374" t="str">
        <f t="shared" si="30"/>
        <v>0x00DD</v>
      </c>
      <c r="I182" s="374" t="str">
        <f t="shared" si="31"/>
        <v>0x015D</v>
      </c>
      <c r="J182" s="374" t="str">
        <f t="shared" si="32"/>
        <v>0x01DD</v>
      </c>
      <c r="K182" s="374" t="str">
        <f t="shared" si="33"/>
        <v>0x025D</v>
      </c>
      <c r="L182" s="374" t="str">
        <f t="shared" si="34"/>
        <v>0x02DD</v>
      </c>
      <c r="M182" s="374" t="str">
        <f t="shared" si="35"/>
        <v>0x035D</v>
      </c>
      <c r="N182" s="374" t="str">
        <f t="shared" si="36"/>
        <v>0x03DD</v>
      </c>
      <c r="O182" s="374" t="str">
        <f t="shared" si="37"/>
        <v>0x045D</v>
      </c>
      <c r="P182" s="374" t="str">
        <f t="shared" si="38"/>
        <v>0x04DD</v>
      </c>
      <c r="Q182" s="374" t="str">
        <f t="shared" si="39"/>
        <v>0x055D</v>
      </c>
      <c r="R182" s="374" t="str">
        <f t="shared" si="40"/>
        <v>0x05DD</v>
      </c>
      <c r="S182" s="374" t="str">
        <f t="shared" si="42"/>
        <v>0x065D</v>
      </c>
      <c r="T182" s="374" t="str">
        <f t="shared" si="43"/>
        <v>0x06DD</v>
      </c>
      <c r="U182" s="374" t="str">
        <f t="shared" si="44"/>
        <v>0x075D</v>
      </c>
    </row>
    <row r="183" spans="2:21" ht="16.5" customHeight="1" x14ac:dyDescent="0.25">
      <c r="B183" s="452"/>
      <c r="C183" s="488" t="s">
        <v>872</v>
      </c>
      <c r="D183" s="494"/>
      <c r="E183" s="446">
        <v>94</v>
      </c>
      <c r="F183" s="471"/>
      <c r="G183" s="451" t="str">
        <f t="shared" si="41"/>
        <v>0x005E</v>
      </c>
      <c r="H183" s="374" t="str">
        <f t="shared" si="30"/>
        <v>0x00DE</v>
      </c>
      <c r="I183" s="374" t="str">
        <f t="shared" si="31"/>
        <v>0x015E</v>
      </c>
      <c r="J183" s="374" t="str">
        <f t="shared" si="32"/>
        <v>0x01DE</v>
      </c>
      <c r="K183" s="374" t="str">
        <f t="shared" si="33"/>
        <v>0x025E</v>
      </c>
      <c r="L183" s="374" t="str">
        <f t="shared" si="34"/>
        <v>0x02DE</v>
      </c>
      <c r="M183" s="374" t="str">
        <f t="shared" si="35"/>
        <v>0x035E</v>
      </c>
      <c r="N183" s="374" t="str">
        <f t="shared" si="36"/>
        <v>0x03DE</v>
      </c>
      <c r="O183" s="374" t="str">
        <f t="shared" si="37"/>
        <v>0x045E</v>
      </c>
      <c r="P183" s="374" t="str">
        <f t="shared" si="38"/>
        <v>0x04DE</v>
      </c>
      <c r="Q183" s="374" t="str">
        <f t="shared" si="39"/>
        <v>0x055E</v>
      </c>
      <c r="R183" s="374" t="str">
        <f t="shared" si="40"/>
        <v>0x05DE</v>
      </c>
      <c r="S183" s="374" t="str">
        <f t="shared" si="42"/>
        <v>0x065E</v>
      </c>
      <c r="T183" s="374" t="str">
        <f t="shared" si="43"/>
        <v>0x06DE</v>
      </c>
      <c r="U183" s="374" t="str">
        <f t="shared" si="44"/>
        <v>0x075E</v>
      </c>
    </row>
    <row r="184" spans="2:21" ht="16.5" customHeight="1" thickBot="1" x14ac:dyDescent="0.3">
      <c r="B184" s="452"/>
      <c r="C184" s="500" t="s">
        <v>873</v>
      </c>
      <c r="D184" s="496"/>
      <c r="E184" s="481">
        <v>95</v>
      </c>
      <c r="F184" s="482"/>
      <c r="G184" s="462" t="str">
        <f t="shared" si="41"/>
        <v>0x005F</v>
      </c>
      <c r="H184" s="387" t="str">
        <f t="shared" si="30"/>
        <v>0x00DF</v>
      </c>
      <c r="I184" s="387" t="str">
        <f t="shared" si="31"/>
        <v>0x015F</v>
      </c>
      <c r="J184" s="387" t="str">
        <f t="shared" si="32"/>
        <v>0x01DF</v>
      </c>
      <c r="K184" s="387" t="str">
        <f t="shared" si="33"/>
        <v>0x025F</v>
      </c>
      <c r="L184" s="387" t="str">
        <f t="shared" si="34"/>
        <v>0x02DF</v>
      </c>
      <c r="M184" s="387" t="str">
        <f t="shared" si="35"/>
        <v>0x035F</v>
      </c>
      <c r="N184" s="387" t="str">
        <f t="shared" si="36"/>
        <v>0x03DF</v>
      </c>
      <c r="O184" s="387" t="str">
        <f t="shared" si="37"/>
        <v>0x045F</v>
      </c>
      <c r="P184" s="387" t="str">
        <f t="shared" si="38"/>
        <v>0x04DF</v>
      </c>
      <c r="Q184" s="387" t="str">
        <f t="shared" si="39"/>
        <v>0x055F</v>
      </c>
      <c r="R184" s="387" t="str">
        <f t="shared" si="40"/>
        <v>0x05DF</v>
      </c>
      <c r="S184" s="387" t="str">
        <f t="shared" si="42"/>
        <v>0x065F</v>
      </c>
      <c r="T184" s="387" t="str">
        <f t="shared" si="43"/>
        <v>0x06DF</v>
      </c>
      <c r="U184" s="387" t="str">
        <f t="shared" si="44"/>
        <v>0x075F</v>
      </c>
    </row>
    <row r="185" spans="2:21" ht="16.5" customHeight="1" thickTop="1" x14ac:dyDescent="0.25">
      <c r="B185" s="452"/>
      <c r="C185" s="488" t="s">
        <v>737</v>
      </c>
      <c r="D185" s="501"/>
      <c r="E185" s="465">
        <v>96</v>
      </c>
      <c r="F185" s="466">
        <v>7</v>
      </c>
      <c r="G185" s="467" t="str">
        <f t="shared" si="41"/>
        <v>0x0060</v>
      </c>
      <c r="H185" s="397" t="str">
        <f t="shared" si="30"/>
        <v>0x00E0</v>
      </c>
      <c r="I185" s="397" t="str">
        <f t="shared" si="31"/>
        <v>0x0160</v>
      </c>
      <c r="J185" s="397" t="str">
        <f t="shared" si="32"/>
        <v>0x01E0</v>
      </c>
      <c r="K185" s="397" t="str">
        <f t="shared" si="33"/>
        <v>0x0260</v>
      </c>
      <c r="L185" s="397" t="str">
        <f t="shared" si="34"/>
        <v>0x02E0</v>
      </c>
      <c r="M185" s="397" t="str">
        <f t="shared" si="35"/>
        <v>0x0360</v>
      </c>
      <c r="N185" s="397" t="str">
        <f t="shared" si="36"/>
        <v>0x03E0</v>
      </c>
      <c r="O185" s="397" t="str">
        <f t="shared" si="37"/>
        <v>0x0460</v>
      </c>
      <c r="P185" s="397" t="str">
        <f t="shared" si="38"/>
        <v>0x04E0</v>
      </c>
      <c r="Q185" s="397" t="str">
        <f t="shared" si="39"/>
        <v>0x0560</v>
      </c>
      <c r="R185" s="397" t="str">
        <f t="shared" si="40"/>
        <v>0x05E0</v>
      </c>
      <c r="S185" s="468" t="str">
        <f t="shared" si="42"/>
        <v>0x0660</v>
      </c>
      <c r="T185" s="468" t="str">
        <f t="shared" si="43"/>
        <v>0x06E0</v>
      </c>
      <c r="U185" s="468" t="str">
        <f t="shared" si="44"/>
        <v>0x0760</v>
      </c>
    </row>
    <row r="186" spans="2:21" ht="16.5" customHeight="1" x14ac:dyDescent="0.25">
      <c r="B186" s="452"/>
      <c r="C186" s="488" t="s">
        <v>737</v>
      </c>
      <c r="D186" s="502"/>
      <c r="E186" s="446">
        <v>97</v>
      </c>
      <c r="F186" s="471"/>
      <c r="G186" s="451" t="str">
        <f t="shared" si="41"/>
        <v>0x0061</v>
      </c>
      <c r="H186" s="374" t="str">
        <f t="shared" si="30"/>
        <v>0x00E1</v>
      </c>
      <c r="I186" s="374" t="str">
        <f t="shared" si="31"/>
        <v>0x0161</v>
      </c>
      <c r="J186" s="374" t="str">
        <f t="shared" si="32"/>
        <v>0x01E1</v>
      </c>
      <c r="K186" s="374" t="str">
        <f t="shared" si="33"/>
        <v>0x0261</v>
      </c>
      <c r="L186" s="374" t="str">
        <f t="shared" si="34"/>
        <v>0x02E1</v>
      </c>
      <c r="M186" s="374" t="str">
        <f t="shared" si="35"/>
        <v>0x0361</v>
      </c>
      <c r="N186" s="374" t="str">
        <f t="shared" si="36"/>
        <v>0x03E1</v>
      </c>
      <c r="O186" s="374" t="str">
        <f t="shared" si="37"/>
        <v>0x0461</v>
      </c>
      <c r="P186" s="374" t="str">
        <f t="shared" si="38"/>
        <v>0x04E1</v>
      </c>
      <c r="Q186" s="374" t="str">
        <f t="shared" si="39"/>
        <v>0x0561</v>
      </c>
      <c r="R186" s="374" t="str">
        <f t="shared" si="40"/>
        <v>0x05E1</v>
      </c>
      <c r="S186" s="374" t="str">
        <f t="shared" si="42"/>
        <v>0x0661</v>
      </c>
      <c r="T186" s="374" t="str">
        <f t="shared" si="43"/>
        <v>0x06E1</v>
      </c>
      <c r="U186" s="374" t="str">
        <f t="shared" si="44"/>
        <v>0x0761</v>
      </c>
    </row>
    <row r="187" spans="2:21" ht="16.5" customHeight="1" x14ac:dyDescent="0.25">
      <c r="B187" s="452"/>
      <c r="C187" s="488" t="s">
        <v>737</v>
      </c>
      <c r="D187" s="502"/>
      <c r="E187" s="446">
        <v>98</v>
      </c>
      <c r="F187" s="471"/>
      <c r="G187" s="451" t="str">
        <f t="shared" si="41"/>
        <v>0x0062</v>
      </c>
      <c r="H187" s="374" t="str">
        <f t="shared" si="30"/>
        <v>0x00E2</v>
      </c>
      <c r="I187" s="374" t="str">
        <f t="shared" si="31"/>
        <v>0x0162</v>
      </c>
      <c r="J187" s="374" t="str">
        <f t="shared" si="32"/>
        <v>0x01E2</v>
      </c>
      <c r="K187" s="374" t="str">
        <f t="shared" si="33"/>
        <v>0x0262</v>
      </c>
      <c r="L187" s="374" t="str">
        <f t="shared" si="34"/>
        <v>0x02E2</v>
      </c>
      <c r="M187" s="374" t="str">
        <f t="shared" si="35"/>
        <v>0x0362</v>
      </c>
      <c r="N187" s="374" t="str">
        <f t="shared" si="36"/>
        <v>0x03E2</v>
      </c>
      <c r="O187" s="374" t="str">
        <f t="shared" si="37"/>
        <v>0x0462</v>
      </c>
      <c r="P187" s="374" t="str">
        <f t="shared" si="38"/>
        <v>0x04E2</v>
      </c>
      <c r="Q187" s="374" t="str">
        <f t="shared" si="39"/>
        <v>0x0562</v>
      </c>
      <c r="R187" s="374" t="str">
        <f t="shared" si="40"/>
        <v>0x05E2</v>
      </c>
      <c r="S187" s="374" t="str">
        <f t="shared" si="42"/>
        <v>0x0662</v>
      </c>
      <c r="T187" s="374" t="str">
        <f t="shared" si="43"/>
        <v>0x06E2</v>
      </c>
      <c r="U187" s="374" t="str">
        <f t="shared" si="44"/>
        <v>0x0762</v>
      </c>
    </row>
    <row r="188" spans="2:21" ht="16.5" customHeight="1" x14ac:dyDescent="0.25">
      <c r="B188" s="452"/>
      <c r="C188" s="488" t="s">
        <v>737</v>
      </c>
      <c r="D188" s="502"/>
      <c r="E188" s="446">
        <v>99</v>
      </c>
      <c r="F188" s="471"/>
      <c r="G188" s="451" t="str">
        <f t="shared" si="41"/>
        <v>0x0063</v>
      </c>
      <c r="H188" s="374" t="str">
        <f t="shared" si="30"/>
        <v>0x00E3</v>
      </c>
      <c r="I188" s="374" t="str">
        <f t="shared" si="31"/>
        <v>0x0163</v>
      </c>
      <c r="J188" s="374" t="str">
        <f t="shared" si="32"/>
        <v>0x01E3</v>
      </c>
      <c r="K188" s="374" t="str">
        <f t="shared" si="33"/>
        <v>0x0263</v>
      </c>
      <c r="L188" s="374" t="str">
        <f t="shared" si="34"/>
        <v>0x02E3</v>
      </c>
      <c r="M188" s="374" t="str">
        <f t="shared" si="35"/>
        <v>0x0363</v>
      </c>
      <c r="N188" s="374" t="str">
        <f t="shared" si="36"/>
        <v>0x03E3</v>
      </c>
      <c r="O188" s="374" t="str">
        <f t="shared" si="37"/>
        <v>0x0463</v>
      </c>
      <c r="P188" s="374" t="str">
        <f t="shared" si="38"/>
        <v>0x04E3</v>
      </c>
      <c r="Q188" s="374" t="str">
        <f t="shared" si="39"/>
        <v>0x0563</v>
      </c>
      <c r="R188" s="374" t="str">
        <f t="shared" si="40"/>
        <v>0x05E3</v>
      </c>
      <c r="S188" s="374" t="str">
        <f t="shared" si="42"/>
        <v>0x0663</v>
      </c>
      <c r="T188" s="374" t="str">
        <f t="shared" si="43"/>
        <v>0x06E3</v>
      </c>
      <c r="U188" s="374" t="str">
        <f t="shared" si="44"/>
        <v>0x0763</v>
      </c>
    </row>
    <row r="189" spans="2:21" ht="16.5" customHeight="1" x14ac:dyDescent="0.25">
      <c r="B189" s="452"/>
      <c r="C189" s="488" t="s">
        <v>737</v>
      </c>
      <c r="D189" s="502"/>
      <c r="E189" s="446">
        <v>100</v>
      </c>
      <c r="F189" s="471"/>
      <c r="G189" s="451" t="str">
        <f t="shared" si="41"/>
        <v>0x0064</v>
      </c>
      <c r="H189" s="374" t="str">
        <f t="shared" si="30"/>
        <v>0x00E4</v>
      </c>
      <c r="I189" s="374" t="str">
        <f t="shared" si="31"/>
        <v>0x0164</v>
      </c>
      <c r="J189" s="374" t="str">
        <f t="shared" si="32"/>
        <v>0x01E4</v>
      </c>
      <c r="K189" s="374" t="str">
        <f t="shared" si="33"/>
        <v>0x0264</v>
      </c>
      <c r="L189" s="374" t="str">
        <f t="shared" si="34"/>
        <v>0x02E4</v>
      </c>
      <c r="M189" s="374" t="str">
        <f t="shared" si="35"/>
        <v>0x0364</v>
      </c>
      <c r="N189" s="374" t="str">
        <f t="shared" si="36"/>
        <v>0x03E4</v>
      </c>
      <c r="O189" s="374" t="str">
        <f t="shared" si="37"/>
        <v>0x0464</v>
      </c>
      <c r="P189" s="374" t="str">
        <f t="shared" si="38"/>
        <v>0x04E4</v>
      </c>
      <c r="Q189" s="374" t="str">
        <f t="shared" si="39"/>
        <v>0x0564</v>
      </c>
      <c r="R189" s="374" t="str">
        <f t="shared" si="40"/>
        <v>0x05E4</v>
      </c>
      <c r="S189" s="374" t="str">
        <f t="shared" si="42"/>
        <v>0x0664</v>
      </c>
      <c r="T189" s="374" t="str">
        <f t="shared" si="43"/>
        <v>0x06E4</v>
      </c>
      <c r="U189" s="374" t="str">
        <f t="shared" si="44"/>
        <v>0x0764</v>
      </c>
    </row>
    <row r="190" spans="2:21" ht="16.5" customHeight="1" x14ac:dyDescent="0.25">
      <c r="B190" s="452"/>
      <c r="C190" s="488" t="s">
        <v>737</v>
      </c>
      <c r="D190" s="502"/>
      <c r="E190" s="446">
        <v>101</v>
      </c>
      <c r="F190" s="471"/>
      <c r="G190" s="451" t="str">
        <f t="shared" si="41"/>
        <v>0x0065</v>
      </c>
      <c r="H190" s="374" t="str">
        <f t="shared" si="30"/>
        <v>0x00E5</v>
      </c>
      <c r="I190" s="374" t="str">
        <f t="shared" si="31"/>
        <v>0x0165</v>
      </c>
      <c r="J190" s="374" t="str">
        <f t="shared" si="32"/>
        <v>0x01E5</v>
      </c>
      <c r="K190" s="374" t="str">
        <f t="shared" si="33"/>
        <v>0x0265</v>
      </c>
      <c r="L190" s="374" t="str">
        <f t="shared" si="34"/>
        <v>0x02E5</v>
      </c>
      <c r="M190" s="374" t="str">
        <f t="shared" si="35"/>
        <v>0x0365</v>
      </c>
      <c r="N190" s="374" t="str">
        <f t="shared" si="36"/>
        <v>0x03E5</v>
      </c>
      <c r="O190" s="374" t="str">
        <f t="shared" si="37"/>
        <v>0x0465</v>
      </c>
      <c r="P190" s="374" t="str">
        <f t="shared" si="38"/>
        <v>0x04E5</v>
      </c>
      <c r="Q190" s="374" t="str">
        <f t="shared" si="39"/>
        <v>0x0565</v>
      </c>
      <c r="R190" s="374" t="str">
        <f t="shared" si="40"/>
        <v>0x05E5</v>
      </c>
      <c r="S190" s="374" t="str">
        <f t="shared" si="42"/>
        <v>0x0665</v>
      </c>
      <c r="T190" s="374" t="str">
        <f t="shared" si="43"/>
        <v>0x06E5</v>
      </c>
      <c r="U190" s="374" t="str">
        <f t="shared" si="44"/>
        <v>0x0765</v>
      </c>
    </row>
    <row r="191" spans="2:21" ht="16.5" customHeight="1" x14ac:dyDescent="0.25">
      <c r="B191" s="452"/>
      <c r="C191" s="488" t="s">
        <v>737</v>
      </c>
      <c r="D191" s="502"/>
      <c r="E191" s="446">
        <v>102</v>
      </c>
      <c r="F191" s="471"/>
      <c r="G191" s="451" t="str">
        <f t="shared" si="41"/>
        <v>0x0066</v>
      </c>
      <c r="H191" s="374" t="str">
        <f t="shared" si="30"/>
        <v>0x00E6</v>
      </c>
      <c r="I191" s="374" t="str">
        <f t="shared" si="31"/>
        <v>0x0166</v>
      </c>
      <c r="J191" s="374" t="str">
        <f t="shared" si="32"/>
        <v>0x01E6</v>
      </c>
      <c r="K191" s="374" t="str">
        <f t="shared" si="33"/>
        <v>0x0266</v>
      </c>
      <c r="L191" s="374" t="str">
        <f t="shared" si="34"/>
        <v>0x02E6</v>
      </c>
      <c r="M191" s="374" t="str">
        <f t="shared" si="35"/>
        <v>0x0366</v>
      </c>
      <c r="N191" s="374" t="str">
        <f t="shared" si="36"/>
        <v>0x03E6</v>
      </c>
      <c r="O191" s="374" t="str">
        <f t="shared" si="37"/>
        <v>0x0466</v>
      </c>
      <c r="P191" s="374" t="str">
        <f t="shared" si="38"/>
        <v>0x04E6</v>
      </c>
      <c r="Q191" s="374" t="str">
        <f t="shared" si="39"/>
        <v>0x0566</v>
      </c>
      <c r="R191" s="374" t="str">
        <f t="shared" si="40"/>
        <v>0x05E6</v>
      </c>
      <c r="S191" s="374" t="str">
        <f t="shared" si="42"/>
        <v>0x0666</v>
      </c>
      <c r="T191" s="374" t="str">
        <f t="shared" si="43"/>
        <v>0x06E6</v>
      </c>
      <c r="U191" s="374" t="str">
        <f t="shared" si="44"/>
        <v>0x0766</v>
      </c>
    </row>
    <row r="192" spans="2:21" ht="16.5" customHeight="1" x14ac:dyDescent="0.25">
      <c r="B192" s="452"/>
      <c r="C192" s="488" t="s">
        <v>737</v>
      </c>
      <c r="D192" s="502"/>
      <c r="E192" s="446">
        <v>103</v>
      </c>
      <c r="F192" s="471"/>
      <c r="G192" s="451" t="str">
        <f t="shared" si="41"/>
        <v>0x0067</v>
      </c>
      <c r="H192" s="374" t="str">
        <f t="shared" si="30"/>
        <v>0x00E7</v>
      </c>
      <c r="I192" s="374" t="str">
        <f t="shared" si="31"/>
        <v>0x0167</v>
      </c>
      <c r="J192" s="374" t="str">
        <f t="shared" si="32"/>
        <v>0x01E7</v>
      </c>
      <c r="K192" s="374" t="str">
        <f t="shared" si="33"/>
        <v>0x0267</v>
      </c>
      <c r="L192" s="374" t="str">
        <f t="shared" si="34"/>
        <v>0x02E7</v>
      </c>
      <c r="M192" s="374" t="str">
        <f t="shared" si="35"/>
        <v>0x0367</v>
      </c>
      <c r="N192" s="374" t="str">
        <f t="shared" si="36"/>
        <v>0x03E7</v>
      </c>
      <c r="O192" s="374" t="str">
        <f t="shared" si="37"/>
        <v>0x0467</v>
      </c>
      <c r="P192" s="374" t="str">
        <f t="shared" si="38"/>
        <v>0x04E7</v>
      </c>
      <c r="Q192" s="374" t="str">
        <f t="shared" si="39"/>
        <v>0x0567</v>
      </c>
      <c r="R192" s="374" t="str">
        <f t="shared" si="40"/>
        <v>0x05E7</v>
      </c>
      <c r="S192" s="374" t="str">
        <f t="shared" si="42"/>
        <v>0x0667</v>
      </c>
      <c r="T192" s="374" t="str">
        <f t="shared" si="43"/>
        <v>0x06E7</v>
      </c>
      <c r="U192" s="374" t="str">
        <f t="shared" si="44"/>
        <v>0x0767</v>
      </c>
    </row>
    <row r="193" spans="2:21" ht="16.5" customHeight="1" x14ac:dyDescent="0.25">
      <c r="B193" s="452"/>
      <c r="C193" s="488" t="s">
        <v>737</v>
      </c>
      <c r="D193" s="502"/>
      <c r="E193" s="446">
        <v>104</v>
      </c>
      <c r="F193" s="471"/>
      <c r="G193" s="451" t="str">
        <f t="shared" si="41"/>
        <v>0x0068</v>
      </c>
      <c r="H193" s="374" t="str">
        <f t="shared" si="30"/>
        <v>0x00E8</v>
      </c>
      <c r="I193" s="374" t="str">
        <f t="shared" si="31"/>
        <v>0x0168</v>
      </c>
      <c r="J193" s="374" t="str">
        <f t="shared" si="32"/>
        <v>0x01E8</v>
      </c>
      <c r="K193" s="374" t="str">
        <f t="shared" si="33"/>
        <v>0x0268</v>
      </c>
      <c r="L193" s="374" t="str">
        <f t="shared" si="34"/>
        <v>0x02E8</v>
      </c>
      <c r="M193" s="374" t="str">
        <f t="shared" si="35"/>
        <v>0x0368</v>
      </c>
      <c r="N193" s="374" t="str">
        <f t="shared" si="36"/>
        <v>0x03E8</v>
      </c>
      <c r="O193" s="374" t="str">
        <f t="shared" si="37"/>
        <v>0x0468</v>
      </c>
      <c r="P193" s="374" t="str">
        <f t="shared" si="38"/>
        <v>0x04E8</v>
      </c>
      <c r="Q193" s="374" t="str">
        <f t="shared" si="39"/>
        <v>0x0568</v>
      </c>
      <c r="R193" s="374" t="str">
        <f t="shared" si="40"/>
        <v>0x05E8</v>
      </c>
      <c r="S193" s="374" t="str">
        <f t="shared" si="42"/>
        <v>0x0668</v>
      </c>
      <c r="T193" s="374" t="str">
        <f t="shared" si="43"/>
        <v>0x06E8</v>
      </c>
      <c r="U193" s="374" t="str">
        <f t="shared" si="44"/>
        <v>0x0768</v>
      </c>
    </row>
    <row r="194" spans="2:21" ht="16.5" customHeight="1" x14ac:dyDescent="0.25">
      <c r="B194" s="452"/>
      <c r="C194" s="488" t="s">
        <v>737</v>
      </c>
      <c r="D194" s="502"/>
      <c r="E194" s="446">
        <v>105</v>
      </c>
      <c r="F194" s="471"/>
      <c r="G194" s="451" t="str">
        <f t="shared" si="41"/>
        <v>0x0069</v>
      </c>
      <c r="H194" s="374" t="str">
        <f t="shared" si="30"/>
        <v>0x00E9</v>
      </c>
      <c r="I194" s="374" t="str">
        <f t="shared" si="31"/>
        <v>0x0169</v>
      </c>
      <c r="J194" s="374" t="str">
        <f t="shared" si="32"/>
        <v>0x01E9</v>
      </c>
      <c r="K194" s="374" t="str">
        <f t="shared" si="33"/>
        <v>0x0269</v>
      </c>
      <c r="L194" s="374" t="str">
        <f t="shared" si="34"/>
        <v>0x02E9</v>
      </c>
      <c r="M194" s="374" t="str">
        <f t="shared" si="35"/>
        <v>0x0369</v>
      </c>
      <c r="N194" s="374" t="str">
        <f t="shared" si="36"/>
        <v>0x03E9</v>
      </c>
      <c r="O194" s="374" t="str">
        <f t="shared" si="37"/>
        <v>0x0469</v>
      </c>
      <c r="P194" s="374" t="str">
        <f t="shared" si="38"/>
        <v>0x04E9</v>
      </c>
      <c r="Q194" s="374" t="str">
        <f t="shared" si="39"/>
        <v>0x0569</v>
      </c>
      <c r="R194" s="374" t="str">
        <f t="shared" si="40"/>
        <v>0x05E9</v>
      </c>
      <c r="S194" s="374" t="str">
        <f t="shared" si="42"/>
        <v>0x0669</v>
      </c>
      <c r="T194" s="374" t="str">
        <f t="shared" si="43"/>
        <v>0x06E9</v>
      </c>
      <c r="U194" s="374" t="str">
        <f t="shared" si="44"/>
        <v>0x0769</v>
      </c>
    </row>
    <row r="195" spans="2:21" ht="16.5" customHeight="1" x14ac:dyDescent="0.25">
      <c r="B195" s="452"/>
      <c r="C195" s="488" t="s">
        <v>737</v>
      </c>
      <c r="D195" s="502"/>
      <c r="E195" s="446">
        <v>106</v>
      </c>
      <c r="F195" s="471"/>
      <c r="G195" s="451" t="str">
        <f t="shared" si="41"/>
        <v>0x006A</v>
      </c>
      <c r="H195" s="374" t="str">
        <f t="shared" si="30"/>
        <v>0x00EA</v>
      </c>
      <c r="I195" s="374" t="str">
        <f t="shared" si="31"/>
        <v>0x016A</v>
      </c>
      <c r="J195" s="374" t="str">
        <f t="shared" si="32"/>
        <v>0x01EA</v>
      </c>
      <c r="K195" s="374" t="str">
        <f t="shared" si="33"/>
        <v>0x026A</v>
      </c>
      <c r="L195" s="374" t="str">
        <f t="shared" si="34"/>
        <v>0x02EA</v>
      </c>
      <c r="M195" s="374" t="str">
        <f t="shared" si="35"/>
        <v>0x036A</v>
      </c>
      <c r="N195" s="374" t="str">
        <f t="shared" si="36"/>
        <v>0x03EA</v>
      </c>
      <c r="O195" s="374" t="str">
        <f t="shared" si="37"/>
        <v>0x046A</v>
      </c>
      <c r="P195" s="374" t="str">
        <f t="shared" si="38"/>
        <v>0x04EA</v>
      </c>
      <c r="Q195" s="374" t="str">
        <f t="shared" si="39"/>
        <v>0x056A</v>
      </c>
      <c r="R195" s="374" t="str">
        <f t="shared" si="40"/>
        <v>0x05EA</v>
      </c>
      <c r="S195" s="374" t="str">
        <f t="shared" si="42"/>
        <v>0x066A</v>
      </c>
      <c r="T195" s="374" t="str">
        <f t="shared" si="43"/>
        <v>0x06EA</v>
      </c>
      <c r="U195" s="374" t="str">
        <f t="shared" si="44"/>
        <v>0x076A</v>
      </c>
    </row>
    <row r="196" spans="2:21" ht="16.5" customHeight="1" x14ac:dyDescent="0.25">
      <c r="B196" s="452"/>
      <c r="C196" s="488" t="s">
        <v>737</v>
      </c>
      <c r="D196" s="502"/>
      <c r="E196" s="446">
        <v>107</v>
      </c>
      <c r="F196" s="471"/>
      <c r="G196" s="451" t="str">
        <f t="shared" si="41"/>
        <v>0x006B</v>
      </c>
      <c r="H196" s="374" t="str">
        <f t="shared" si="30"/>
        <v>0x00EB</v>
      </c>
      <c r="I196" s="374" t="str">
        <f t="shared" si="31"/>
        <v>0x016B</v>
      </c>
      <c r="J196" s="374" t="str">
        <f t="shared" si="32"/>
        <v>0x01EB</v>
      </c>
      <c r="K196" s="374" t="str">
        <f t="shared" si="33"/>
        <v>0x026B</v>
      </c>
      <c r="L196" s="374" t="str">
        <f t="shared" si="34"/>
        <v>0x02EB</v>
      </c>
      <c r="M196" s="374" t="str">
        <f t="shared" si="35"/>
        <v>0x036B</v>
      </c>
      <c r="N196" s="374" t="str">
        <f t="shared" si="36"/>
        <v>0x03EB</v>
      </c>
      <c r="O196" s="374" t="str">
        <f t="shared" si="37"/>
        <v>0x046B</v>
      </c>
      <c r="P196" s="374" t="str">
        <f t="shared" si="38"/>
        <v>0x04EB</v>
      </c>
      <c r="Q196" s="374" t="str">
        <f t="shared" si="39"/>
        <v>0x056B</v>
      </c>
      <c r="R196" s="374" t="str">
        <f t="shared" si="40"/>
        <v>0x05EB</v>
      </c>
      <c r="S196" s="374" t="str">
        <f t="shared" si="42"/>
        <v>0x066B</v>
      </c>
      <c r="T196" s="374" t="str">
        <f t="shared" si="43"/>
        <v>0x06EB</v>
      </c>
      <c r="U196" s="374" t="str">
        <f t="shared" si="44"/>
        <v>0x076B</v>
      </c>
    </row>
    <row r="197" spans="2:21" ht="16.5" customHeight="1" x14ac:dyDescent="0.25">
      <c r="B197" s="452"/>
      <c r="C197" s="488" t="s">
        <v>737</v>
      </c>
      <c r="D197" s="502"/>
      <c r="E197" s="446">
        <v>108</v>
      </c>
      <c r="F197" s="471"/>
      <c r="G197" s="451" t="str">
        <f t="shared" si="41"/>
        <v>0x006C</v>
      </c>
      <c r="H197" s="374" t="str">
        <f t="shared" si="30"/>
        <v>0x00EC</v>
      </c>
      <c r="I197" s="374" t="str">
        <f t="shared" si="31"/>
        <v>0x016C</v>
      </c>
      <c r="J197" s="374" t="str">
        <f t="shared" si="32"/>
        <v>0x01EC</v>
      </c>
      <c r="K197" s="374" t="str">
        <f t="shared" si="33"/>
        <v>0x026C</v>
      </c>
      <c r="L197" s="374" t="str">
        <f t="shared" si="34"/>
        <v>0x02EC</v>
      </c>
      <c r="M197" s="374" t="str">
        <f t="shared" si="35"/>
        <v>0x036C</v>
      </c>
      <c r="N197" s="374" t="str">
        <f t="shared" si="36"/>
        <v>0x03EC</v>
      </c>
      <c r="O197" s="374" t="str">
        <f t="shared" si="37"/>
        <v>0x046C</v>
      </c>
      <c r="P197" s="374" t="str">
        <f t="shared" si="38"/>
        <v>0x04EC</v>
      </c>
      <c r="Q197" s="374" t="str">
        <f t="shared" si="39"/>
        <v>0x056C</v>
      </c>
      <c r="R197" s="374" t="str">
        <f t="shared" si="40"/>
        <v>0x05EC</v>
      </c>
      <c r="S197" s="374" t="str">
        <f t="shared" si="42"/>
        <v>0x066C</v>
      </c>
      <c r="T197" s="374" t="str">
        <f t="shared" si="43"/>
        <v>0x06EC</v>
      </c>
      <c r="U197" s="374" t="str">
        <f t="shared" si="44"/>
        <v>0x076C</v>
      </c>
    </row>
    <row r="198" spans="2:21" ht="16.5" customHeight="1" x14ac:dyDescent="0.25">
      <c r="B198" s="452"/>
      <c r="C198" s="488" t="s">
        <v>737</v>
      </c>
      <c r="D198" s="502"/>
      <c r="E198" s="446">
        <v>109</v>
      </c>
      <c r="F198" s="471"/>
      <c r="G198" s="451" t="str">
        <f t="shared" si="41"/>
        <v>0x006D</v>
      </c>
      <c r="H198" s="374" t="str">
        <f t="shared" si="30"/>
        <v>0x00ED</v>
      </c>
      <c r="I198" s="374" t="str">
        <f t="shared" si="31"/>
        <v>0x016D</v>
      </c>
      <c r="J198" s="374" t="str">
        <f t="shared" si="32"/>
        <v>0x01ED</v>
      </c>
      <c r="K198" s="374" t="str">
        <f t="shared" si="33"/>
        <v>0x026D</v>
      </c>
      <c r="L198" s="374" t="str">
        <f t="shared" si="34"/>
        <v>0x02ED</v>
      </c>
      <c r="M198" s="374" t="str">
        <f t="shared" si="35"/>
        <v>0x036D</v>
      </c>
      <c r="N198" s="374" t="str">
        <f t="shared" si="36"/>
        <v>0x03ED</v>
      </c>
      <c r="O198" s="374" t="str">
        <f t="shared" si="37"/>
        <v>0x046D</v>
      </c>
      <c r="P198" s="374" t="str">
        <f t="shared" si="38"/>
        <v>0x04ED</v>
      </c>
      <c r="Q198" s="374" t="str">
        <f t="shared" si="39"/>
        <v>0x056D</v>
      </c>
      <c r="R198" s="374" t="str">
        <f t="shared" si="40"/>
        <v>0x05ED</v>
      </c>
      <c r="S198" s="374" t="str">
        <f t="shared" si="42"/>
        <v>0x066D</v>
      </c>
      <c r="T198" s="374" t="str">
        <f t="shared" si="43"/>
        <v>0x06ED</v>
      </c>
      <c r="U198" s="374" t="str">
        <f t="shared" si="44"/>
        <v>0x076D</v>
      </c>
    </row>
    <row r="199" spans="2:21" ht="16.5" customHeight="1" x14ac:dyDescent="0.25">
      <c r="B199" s="452"/>
      <c r="C199" s="488" t="s">
        <v>737</v>
      </c>
      <c r="D199" s="502"/>
      <c r="E199" s="446">
        <v>110</v>
      </c>
      <c r="F199" s="471"/>
      <c r="G199" s="451" t="str">
        <f t="shared" si="41"/>
        <v>0x006E</v>
      </c>
      <c r="H199" s="374" t="str">
        <f t="shared" si="30"/>
        <v>0x00EE</v>
      </c>
      <c r="I199" s="374" t="str">
        <f t="shared" si="31"/>
        <v>0x016E</v>
      </c>
      <c r="J199" s="374" t="str">
        <f t="shared" si="32"/>
        <v>0x01EE</v>
      </c>
      <c r="K199" s="374" t="str">
        <f t="shared" si="33"/>
        <v>0x026E</v>
      </c>
      <c r="L199" s="374" t="str">
        <f t="shared" si="34"/>
        <v>0x02EE</v>
      </c>
      <c r="M199" s="374" t="str">
        <f t="shared" si="35"/>
        <v>0x036E</v>
      </c>
      <c r="N199" s="374" t="str">
        <f t="shared" si="36"/>
        <v>0x03EE</v>
      </c>
      <c r="O199" s="374" t="str">
        <f t="shared" si="37"/>
        <v>0x046E</v>
      </c>
      <c r="P199" s="374" t="str">
        <f t="shared" si="38"/>
        <v>0x04EE</v>
      </c>
      <c r="Q199" s="374" t="str">
        <f t="shared" si="39"/>
        <v>0x056E</v>
      </c>
      <c r="R199" s="374" t="str">
        <f t="shared" si="40"/>
        <v>0x05EE</v>
      </c>
      <c r="S199" s="374" t="str">
        <f t="shared" si="42"/>
        <v>0x066E</v>
      </c>
      <c r="T199" s="374" t="str">
        <f t="shared" si="43"/>
        <v>0x06EE</v>
      </c>
      <c r="U199" s="374" t="str">
        <f t="shared" si="44"/>
        <v>0x076E</v>
      </c>
    </row>
    <row r="200" spans="2:21" ht="16.5" customHeight="1" thickBot="1" x14ac:dyDescent="0.3">
      <c r="B200" s="452"/>
      <c r="C200" s="500" t="s">
        <v>737</v>
      </c>
      <c r="D200" s="503"/>
      <c r="E200" s="481">
        <v>111</v>
      </c>
      <c r="F200" s="482"/>
      <c r="G200" s="462" t="str">
        <f t="shared" si="41"/>
        <v>0x006F</v>
      </c>
      <c r="H200" s="387" t="str">
        <f t="shared" si="30"/>
        <v>0x00EF</v>
      </c>
      <c r="I200" s="387" t="str">
        <f t="shared" si="31"/>
        <v>0x016F</v>
      </c>
      <c r="J200" s="387" t="str">
        <f t="shared" si="32"/>
        <v>0x01EF</v>
      </c>
      <c r="K200" s="387" t="str">
        <f t="shared" si="33"/>
        <v>0x026F</v>
      </c>
      <c r="L200" s="387" t="str">
        <f t="shared" si="34"/>
        <v>0x02EF</v>
      </c>
      <c r="M200" s="387" t="str">
        <f t="shared" si="35"/>
        <v>0x036F</v>
      </c>
      <c r="N200" s="387" t="str">
        <f t="shared" si="36"/>
        <v>0x03EF</v>
      </c>
      <c r="O200" s="387" t="str">
        <f t="shared" si="37"/>
        <v>0x046F</v>
      </c>
      <c r="P200" s="387" t="str">
        <f t="shared" si="38"/>
        <v>0x04EF</v>
      </c>
      <c r="Q200" s="387" t="str">
        <f t="shared" si="39"/>
        <v>0x056F</v>
      </c>
      <c r="R200" s="387" t="str">
        <f t="shared" si="40"/>
        <v>0x05EF</v>
      </c>
      <c r="S200" s="387" t="str">
        <f t="shared" si="42"/>
        <v>0x066F</v>
      </c>
      <c r="T200" s="387" t="str">
        <f t="shared" si="43"/>
        <v>0x06EF</v>
      </c>
      <c r="U200" s="387" t="str">
        <f t="shared" si="44"/>
        <v>0x076F</v>
      </c>
    </row>
    <row r="201" spans="2:21" ht="16.5" customHeight="1" thickTop="1" x14ac:dyDescent="0.25">
      <c r="B201" s="452"/>
      <c r="C201" s="504" t="s">
        <v>737</v>
      </c>
      <c r="D201" s="408"/>
      <c r="E201" s="465">
        <v>112</v>
      </c>
      <c r="F201" s="466">
        <v>8</v>
      </c>
      <c r="G201" s="467" t="str">
        <f t="shared" si="41"/>
        <v>0x0070</v>
      </c>
      <c r="H201" s="397" t="str">
        <f t="shared" si="30"/>
        <v>0x00F0</v>
      </c>
      <c r="I201" s="397" t="str">
        <f t="shared" si="31"/>
        <v>0x0170</v>
      </c>
      <c r="J201" s="397" t="str">
        <f t="shared" si="32"/>
        <v>0x01F0</v>
      </c>
      <c r="K201" s="397" t="str">
        <f t="shared" si="33"/>
        <v>0x0270</v>
      </c>
      <c r="L201" s="397" t="str">
        <f t="shared" si="34"/>
        <v>0x02F0</v>
      </c>
      <c r="M201" s="397" t="str">
        <f t="shared" si="35"/>
        <v>0x0370</v>
      </c>
      <c r="N201" s="397" t="str">
        <f t="shared" si="36"/>
        <v>0x03F0</v>
      </c>
      <c r="O201" s="397" t="str">
        <f t="shared" si="37"/>
        <v>0x0470</v>
      </c>
      <c r="P201" s="397" t="str">
        <f t="shared" si="38"/>
        <v>0x04F0</v>
      </c>
      <c r="Q201" s="397" t="str">
        <f t="shared" si="39"/>
        <v>0x0570</v>
      </c>
      <c r="R201" s="397" t="str">
        <f t="shared" si="40"/>
        <v>0x05F0</v>
      </c>
      <c r="S201" s="468" t="str">
        <f t="shared" si="42"/>
        <v>0x0670</v>
      </c>
      <c r="T201" s="468" t="str">
        <f t="shared" si="43"/>
        <v>0x06F0</v>
      </c>
      <c r="U201" s="468" t="str">
        <f t="shared" si="44"/>
        <v>0x0770</v>
      </c>
    </row>
    <row r="202" spans="2:21" ht="16.5" customHeight="1" x14ac:dyDescent="0.25">
      <c r="B202" s="452"/>
      <c r="C202" s="486" t="s">
        <v>737</v>
      </c>
      <c r="D202" s="411"/>
      <c r="E202" s="446">
        <v>113</v>
      </c>
      <c r="F202" s="471"/>
      <c r="G202" s="451" t="str">
        <f t="shared" si="41"/>
        <v>0x0071</v>
      </c>
      <c r="H202" s="374" t="str">
        <f t="shared" si="30"/>
        <v>0x00F1</v>
      </c>
      <c r="I202" s="374" t="str">
        <f t="shared" si="31"/>
        <v>0x0171</v>
      </c>
      <c r="J202" s="374" t="str">
        <f t="shared" si="32"/>
        <v>0x01F1</v>
      </c>
      <c r="K202" s="374" t="str">
        <f t="shared" si="33"/>
        <v>0x0271</v>
      </c>
      <c r="L202" s="374" t="str">
        <f t="shared" si="34"/>
        <v>0x02F1</v>
      </c>
      <c r="M202" s="374" t="str">
        <f t="shared" si="35"/>
        <v>0x0371</v>
      </c>
      <c r="N202" s="374" t="str">
        <f t="shared" si="36"/>
        <v>0x03F1</v>
      </c>
      <c r="O202" s="374" t="str">
        <f t="shared" si="37"/>
        <v>0x0471</v>
      </c>
      <c r="P202" s="374" t="str">
        <f t="shared" si="38"/>
        <v>0x04F1</v>
      </c>
      <c r="Q202" s="374" t="str">
        <f t="shared" si="39"/>
        <v>0x0571</v>
      </c>
      <c r="R202" s="374" t="str">
        <f t="shared" si="40"/>
        <v>0x05F1</v>
      </c>
      <c r="S202" s="374" t="str">
        <f t="shared" si="42"/>
        <v>0x0671</v>
      </c>
      <c r="T202" s="374" t="str">
        <f t="shared" si="43"/>
        <v>0x06F1</v>
      </c>
      <c r="U202" s="374" t="str">
        <f t="shared" si="44"/>
        <v>0x0771</v>
      </c>
    </row>
    <row r="203" spans="2:21" ht="16.5" customHeight="1" x14ac:dyDescent="0.25">
      <c r="B203" s="452"/>
      <c r="C203" s="486" t="s">
        <v>737</v>
      </c>
      <c r="D203" s="411"/>
      <c r="E203" s="446">
        <v>114</v>
      </c>
      <c r="F203" s="471"/>
      <c r="G203" s="451" t="str">
        <f t="shared" si="41"/>
        <v>0x0072</v>
      </c>
      <c r="H203" s="374" t="str">
        <f t="shared" si="30"/>
        <v>0x00F2</v>
      </c>
      <c r="I203" s="374" t="str">
        <f t="shared" si="31"/>
        <v>0x0172</v>
      </c>
      <c r="J203" s="374" t="str">
        <f t="shared" si="32"/>
        <v>0x01F2</v>
      </c>
      <c r="K203" s="374" t="str">
        <f t="shared" si="33"/>
        <v>0x0272</v>
      </c>
      <c r="L203" s="374" t="str">
        <f t="shared" si="34"/>
        <v>0x02F2</v>
      </c>
      <c r="M203" s="374" t="str">
        <f t="shared" si="35"/>
        <v>0x0372</v>
      </c>
      <c r="N203" s="374" t="str">
        <f t="shared" si="36"/>
        <v>0x03F2</v>
      </c>
      <c r="O203" s="374" t="str">
        <f t="shared" si="37"/>
        <v>0x0472</v>
      </c>
      <c r="P203" s="374" t="str">
        <f t="shared" si="38"/>
        <v>0x04F2</v>
      </c>
      <c r="Q203" s="374" t="str">
        <f t="shared" si="39"/>
        <v>0x0572</v>
      </c>
      <c r="R203" s="374" t="str">
        <f t="shared" si="40"/>
        <v>0x05F2</v>
      </c>
      <c r="S203" s="374" t="str">
        <f t="shared" si="42"/>
        <v>0x0672</v>
      </c>
      <c r="T203" s="374" t="str">
        <f t="shared" si="43"/>
        <v>0x06F2</v>
      </c>
      <c r="U203" s="374" t="str">
        <f t="shared" si="44"/>
        <v>0x0772</v>
      </c>
    </row>
    <row r="204" spans="2:21" ht="16.5" customHeight="1" x14ac:dyDescent="0.25">
      <c r="B204" s="452"/>
      <c r="C204" s="486" t="s">
        <v>737</v>
      </c>
      <c r="D204" s="411"/>
      <c r="E204" s="446">
        <v>115</v>
      </c>
      <c r="F204" s="471"/>
      <c r="G204" s="451" t="str">
        <f t="shared" si="41"/>
        <v>0x0073</v>
      </c>
      <c r="H204" s="374" t="str">
        <f t="shared" si="30"/>
        <v>0x00F3</v>
      </c>
      <c r="I204" s="374" t="str">
        <f t="shared" si="31"/>
        <v>0x0173</v>
      </c>
      <c r="J204" s="374" t="str">
        <f t="shared" si="32"/>
        <v>0x01F3</v>
      </c>
      <c r="K204" s="374" t="str">
        <f t="shared" si="33"/>
        <v>0x0273</v>
      </c>
      <c r="L204" s="374" t="str">
        <f t="shared" si="34"/>
        <v>0x02F3</v>
      </c>
      <c r="M204" s="374" t="str">
        <f t="shared" si="35"/>
        <v>0x0373</v>
      </c>
      <c r="N204" s="374" t="str">
        <f t="shared" si="36"/>
        <v>0x03F3</v>
      </c>
      <c r="O204" s="374" t="str">
        <f t="shared" si="37"/>
        <v>0x0473</v>
      </c>
      <c r="P204" s="374" t="str">
        <f t="shared" si="38"/>
        <v>0x04F3</v>
      </c>
      <c r="Q204" s="374" t="str">
        <f t="shared" si="39"/>
        <v>0x0573</v>
      </c>
      <c r="R204" s="374" t="str">
        <f t="shared" si="40"/>
        <v>0x05F3</v>
      </c>
      <c r="S204" s="374" t="str">
        <f t="shared" si="42"/>
        <v>0x0673</v>
      </c>
      <c r="T204" s="374" t="str">
        <f t="shared" si="43"/>
        <v>0x06F3</v>
      </c>
      <c r="U204" s="374" t="str">
        <f t="shared" si="44"/>
        <v>0x0773</v>
      </c>
    </row>
    <row r="205" spans="2:21" ht="16.5" customHeight="1" x14ac:dyDescent="0.25">
      <c r="B205" s="452"/>
      <c r="C205" s="486" t="s">
        <v>737</v>
      </c>
      <c r="D205" s="411"/>
      <c r="E205" s="446">
        <v>116</v>
      </c>
      <c r="F205" s="471"/>
      <c r="G205" s="451" t="str">
        <f t="shared" si="41"/>
        <v>0x0074</v>
      </c>
      <c r="H205" s="374" t="str">
        <f t="shared" si="30"/>
        <v>0x00F4</v>
      </c>
      <c r="I205" s="374" t="str">
        <f t="shared" si="31"/>
        <v>0x0174</v>
      </c>
      <c r="J205" s="374" t="str">
        <f t="shared" si="32"/>
        <v>0x01F4</v>
      </c>
      <c r="K205" s="374" t="str">
        <f t="shared" si="33"/>
        <v>0x0274</v>
      </c>
      <c r="L205" s="374" t="str">
        <f t="shared" si="34"/>
        <v>0x02F4</v>
      </c>
      <c r="M205" s="374" t="str">
        <f t="shared" si="35"/>
        <v>0x0374</v>
      </c>
      <c r="N205" s="374" t="str">
        <f t="shared" si="36"/>
        <v>0x03F4</v>
      </c>
      <c r="O205" s="374" t="str">
        <f t="shared" si="37"/>
        <v>0x0474</v>
      </c>
      <c r="P205" s="374" t="str">
        <f t="shared" si="38"/>
        <v>0x04F4</v>
      </c>
      <c r="Q205" s="374" t="str">
        <f t="shared" si="39"/>
        <v>0x0574</v>
      </c>
      <c r="R205" s="374" t="str">
        <f t="shared" si="40"/>
        <v>0x05F4</v>
      </c>
      <c r="S205" s="374" t="str">
        <f t="shared" si="42"/>
        <v>0x0674</v>
      </c>
      <c r="T205" s="374" t="str">
        <f t="shared" si="43"/>
        <v>0x06F4</v>
      </c>
      <c r="U205" s="374" t="str">
        <f t="shared" si="44"/>
        <v>0x0774</v>
      </c>
    </row>
    <row r="206" spans="2:21" ht="16.5" customHeight="1" x14ac:dyDescent="0.25">
      <c r="B206" s="452"/>
      <c r="C206" s="486" t="s">
        <v>737</v>
      </c>
      <c r="D206" s="411"/>
      <c r="E206" s="446">
        <v>117</v>
      </c>
      <c r="F206" s="471"/>
      <c r="G206" s="451" t="str">
        <f t="shared" si="41"/>
        <v>0x0075</v>
      </c>
      <c r="H206" s="374" t="str">
        <f t="shared" si="30"/>
        <v>0x00F5</v>
      </c>
      <c r="I206" s="374" t="str">
        <f t="shared" si="31"/>
        <v>0x0175</v>
      </c>
      <c r="J206" s="374" t="str">
        <f t="shared" si="32"/>
        <v>0x01F5</v>
      </c>
      <c r="K206" s="374" t="str">
        <f t="shared" si="33"/>
        <v>0x0275</v>
      </c>
      <c r="L206" s="374" t="str">
        <f t="shared" si="34"/>
        <v>0x02F5</v>
      </c>
      <c r="M206" s="374" t="str">
        <f t="shared" si="35"/>
        <v>0x0375</v>
      </c>
      <c r="N206" s="374" t="str">
        <f t="shared" si="36"/>
        <v>0x03F5</v>
      </c>
      <c r="O206" s="374" t="str">
        <f t="shared" si="37"/>
        <v>0x0475</v>
      </c>
      <c r="P206" s="374" t="str">
        <f t="shared" si="38"/>
        <v>0x04F5</v>
      </c>
      <c r="Q206" s="374" t="str">
        <f t="shared" si="39"/>
        <v>0x0575</v>
      </c>
      <c r="R206" s="374" t="str">
        <f t="shared" si="40"/>
        <v>0x05F5</v>
      </c>
      <c r="S206" s="374" t="str">
        <f t="shared" si="42"/>
        <v>0x0675</v>
      </c>
      <c r="T206" s="374" t="str">
        <f t="shared" si="43"/>
        <v>0x06F5</v>
      </c>
      <c r="U206" s="374" t="str">
        <f t="shared" si="44"/>
        <v>0x0775</v>
      </c>
    </row>
    <row r="207" spans="2:21" ht="16.5" customHeight="1" x14ac:dyDescent="0.25">
      <c r="B207" s="452"/>
      <c r="C207" s="486" t="s">
        <v>737</v>
      </c>
      <c r="D207" s="411"/>
      <c r="E207" s="446">
        <v>118</v>
      </c>
      <c r="F207" s="471"/>
      <c r="G207" s="451" t="str">
        <f t="shared" si="41"/>
        <v>0x0076</v>
      </c>
      <c r="H207" s="374" t="str">
        <f t="shared" si="30"/>
        <v>0x00F6</v>
      </c>
      <c r="I207" s="374" t="str">
        <f t="shared" si="31"/>
        <v>0x0176</v>
      </c>
      <c r="J207" s="374" t="str">
        <f t="shared" si="32"/>
        <v>0x01F6</v>
      </c>
      <c r="K207" s="374" t="str">
        <f t="shared" si="33"/>
        <v>0x0276</v>
      </c>
      <c r="L207" s="374" t="str">
        <f t="shared" si="34"/>
        <v>0x02F6</v>
      </c>
      <c r="M207" s="374" t="str">
        <f t="shared" si="35"/>
        <v>0x0376</v>
      </c>
      <c r="N207" s="374" t="str">
        <f t="shared" si="36"/>
        <v>0x03F6</v>
      </c>
      <c r="O207" s="374" t="str">
        <f t="shared" si="37"/>
        <v>0x0476</v>
      </c>
      <c r="P207" s="374" t="str">
        <f t="shared" si="38"/>
        <v>0x04F6</v>
      </c>
      <c r="Q207" s="374" t="str">
        <f t="shared" si="39"/>
        <v>0x0576</v>
      </c>
      <c r="R207" s="374" t="str">
        <f t="shared" si="40"/>
        <v>0x05F6</v>
      </c>
      <c r="S207" s="374" t="str">
        <f t="shared" si="42"/>
        <v>0x0676</v>
      </c>
      <c r="T207" s="374" t="str">
        <f t="shared" si="43"/>
        <v>0x06F6</v>
      </c>
      <c r="U207" s="374" t="str">
        <f t="shared" si="44"/>
        <v>0x0776</v>
      </c>
    </row>
    <row r="208" spans="2:21" ht="16.5" customHeight="1" x14ac:dyDescent="0.25">
      <c r="B208" s="452"/>
      <c r="C208" s="486" t="s">
        <v>737</v>
      </c>
      <c r="D208" s="411"/>
      <c r="E208" s="446">
        <v>119</v>
      </c>
      <c r="F208" s="471"/>
      <c r="G208" s="451" t="str">
        <f t="shared" si="41"/>
        <v>0x0077</v>
      </c>
      <c r="H208" s="374" t="str">
        <f t="shared" si="30"/>
        <v>0x00F7</v>
      </c>
      <c r="I208" s="374" t="str">
        <f t="shared" si="31"/>
        <v>0x0177</v>
      </c>
      <c r="J208" s="374" t="str">
        <f t="shared" si="32"/>
        <v>0x01F7</v>
      </c>
      <c r="K208" s="374" t="str">
        <f t="shared" si="33"/>
        <v>0x0277</v>
      </c>
      <c r="L208" s="374" t="str">
        <f t="shared" si="34"/>
        <v>0x02F7</v>
      </c>
      <c r="M208" s="374" t="str">
        <f t="shared" si="35"/>
        <v>0x0377</v>
      </c>
      <c r="N208" s="374" t="str">
        <f t="shared" si="36"/>
        <v>0x03F7</v>
      </c>
      <c r="O208" s="374" t="str">
        <f t="shared" si="37"/>
        <v>0x0477</v>
      </c>
      <c r="P208" s="374" t="str">
        <f t="shared" si="38"/>
        <v>0x04F7</v>
      </c>
      <c r="Q208" s="374" t="str">
        <f t="shared" si="39"/>
        <v>0x0577</v>
      </c>
      <c r="R208" s="374" t="str">
        <f t="shared" si="40"/>
        <v>0x05F7</v>
      </c>
      <c r="S208" s="374" t="str">
        <f t="shared" si="42"/>
        <v>0x0677</v>
      </c>
      <c r="T208" s="374" t="str">
        <f t="shared" si="43"/>
        <v>0x06F7</v>
      </c>
      <c r="U208" s="374" t="str">
        <f t="shared" si="44"/>
        <v>0x0777</v>
      </c>
    </row>
    <row r="209" spans="2:21" ht="16.5" customHeight="1" x14ac:dyDescent="0.25">
      <c r="B209" s="452"/>
      <c r="C209" s="486" t="s">
        <v>737</v>
      </c>
      <c r="D209" s="411"/>
      <c r="E209" s="446">
        <v>120</v>
      </c>
      <c r="F209" s="471"/>
      <c r="G209" s="451" t="str">
        <f t="shared" si="41"/>
        <v>0x0078</v>
      </c>
      <c r="H209" s="374" t="str">
        <f t="shared" si="30"/>
        <v>0x00F8</v>
      </c>
      <c r="I209" s="374" t="str">
        <f t="shared" si="31"/>
        <v>0x0178</v>
      </c>
      <c r="J209" s="374" t="str">
        <f t="shared" si="32"/>
        <v>0x01F8</v>
      </c>
      <c r="K209" s="374" t="str">
        <f t="shared" si="33"/>
        <v>0x0278</v>
      </c>
      <c r="L209" s="374" t="str">
        <f t="shared" si="34"/>
        <v>0x02F8</v>
      </c>
      <c r="M209" s="374" t="str">
        <f t="shared" si="35"/>
        <v>0x0378</v>
      </c>
      <c r="N209" s="374" t="str">
        <f t="shared" si="36"/>
        <v>0x03F8</v>
      </c>
      <c r="O209" s="374" t="str">
        <f t="shared" si="37"/>
        <v>0x0478</v>
      </c>
      <c r="P209" s="374" t="str">
        <f t="shared" si="38"/>
        <v>0x04F8</v>
      </c>
      <c r="Q209" s="374" t="str">
        <f t="shared" si="39"/>
        <v>0x0578</v>
      </c>
      <c r="R209" s="374" t="str">
        <f t="shared" si="40"/>
        <v>0x05F8</v>
      </c>
      <c r="S209" s="374" t="str">
        <f t="shared" si="42"/>
        <v>0x0678</v>
      </c>
      <c r="T209" s="374" t="str">
        <f t="shared" si="43"/>
        <v>0x06F8</v>
      </c>
      <c r="U209" s="374" t="str">
        <f t="shared" si="44"/>
        <v>0x0778</v>
      </c>
    </row>
    <row r="210" spans="2:21" ht="16.5" customHeight="1" x14ac:dyDescent="0.25">
      <c r="B210" s="452"/>
      <c r="C210" s="486" t="s">
        <v>737</v>
      </c>
      <c r="D210" s="411"/>
      <c r="E210" s="446">
        <v>121</v>
      </c>
      <c r="F210" s="471"/>
      <c r="G210" s="451" t="str">
        <f t="shared" si="41"/>
        <v>0x0079</v>
      </c>
      <c r="H210" s="374" t="str">
        <f t="shared" si="30"/>
        <v>0x00F9</v>
      </c>
      <c r="I210" s="374" t="str">
        <f t="shared" si="31"/>
        <v>0x0179</v>
      </c>
      <c r="J210" s="374" t="str">
        <f t="shared" si="32"/>
        <v>0x01F9</v>
      </c>
      <c r="K210" s="374" t="str">
        <f t="shared" si="33"/>
        <v>0x0279</v>
      </c>
      <c r="L210" s="374" t="str">
        <f t="shared" si="34"/>
        <v>0x02F9</v>
      </c>
      <c r="M210" s="374" t="str">
        <f t="shared" si="35"/>
        <v>0x0379</v>
      </c>
      <c r="N210" s="374" t="str">
        <f t="shared" si="36"/>
        <v>0x03F9</v>
      </c>
      <c r="O210" s="374" t="str">
        <f t="shared" si="37"/>
        <v>0x0479</v>
      </c>
      <c r="P210" s="374" t="str">
        <f t="shared" si="38"/>
        <v>0x04F9</v>
      </c>
      <c r="Q210" s="374" t="str">
        <f t="shared" si="39"/>
        <v>0x0579</v>
      </c>
      <c r="R210" s="374" t="str">
        <f t="shared" si="40"/>
        <v>0x05F9</v>
      </c>
      <c r="S210" s="374" t="str">
        <f t="shared" si="42"/>
        <v>0x0679</v>
      </c>
      <c r="T210" s="374" t="str">
        <f t="shared" si="43"/>
        <v>0x06F9</v>
      </c>
      <c r="U210" s="374" t="str">
        <f t="shared" si="44"/>
        <v>0x0779</v>
      </c>
    </row>
    <row r="211" spans="2:21" ht="16.5" customHeight="1" x14ac:dyDescent="0.25">
      <c r="B211" s="452"/>
      <c r="C211" s="486" t="s">
        <v>737</v>
      </c>
      <c r="D211" s="411"/>
      <c r="E211" s="446">
        <v>122</v>
      </c>
      <c r="F211" s="471"/>
      <c r="G211" s="451" t="str">
        <f t="shared" si="41"/>
        <v>0x007A</v>
      </c>
      <c r="H211" s="374" t="str">
        <f t="shared" si="30"/>
        <v>0x00FA</v>
      </c>
      <c r="I211" s="374" t="str">
        <f t="shared" si="31"/>
        <v>0x017A</v>
      </c>
      <c r="J211" s="374" t="str">
        <f t="shared" si="32"/>
        <v>0x01FA</v>
      </c>
      <c r="K211" s="374" t="str">
        <f t="shared" si="33"/>
        <v>0x027A</v>
      </c>
      <c r="L211" s="374" t="str">
        <f t="shared" si="34"/>
        <v>0x02FA</v>
      </c>
      <c r="M211" s="374" t="str">
        <f t="shared" si="35"/>
        <v>0x037A</v>
      </c>
      <c r="N211" s="374" t="str">
        <f t="shared" si="36"/>
        <v>0x03FA</v>
      </c>
      <c r="O211" s="374" t="str">
        <f t="shared" si="37"/>
        <v>0x047A</v>
      </c>
      <c r="P211" s="374" t="str">
        <f t="shared" si="38"/>
        <v>0x04FA</v>
      </c>
      <c r="Q211" s="374" t="str">
        <f t="shared" si="39"/>
        <v>0x057A</v>
      </c>
      <c r="R211" s="374" t="str">
        <f t="shared" si="40"/>
        <v>0x05FA</v>
      </c>
      <c r="S211" s="374" t="str">
        <f t="shared" si="42"/>
        <v>0x067A</v>
      </c>
      <c r="T211" s="374" t="str">
        <f t="shared" si="43"/>
        <v>0x06FA</v>
      </c>
      <c r="U211" s="374" t="str">
        <f t="shared" si="44"/>
        <v>0x077A</v>
      </c>
    </row>
    <row r="212" spans="2:21" ht="16.5" customHeight="1" x14ac:dyDescent="0.25">
      <c r="B212" s="452"/>
      <c r="C212" s="486" t="s">
        <v>737</v>
      </c>
      <c r="D212" s="411"/>
      <c r="E212" s="446">
        <v>123</v>
      </c>
      <c r="F212" s="471"/>
      <c r="G212" s="451" t="str">
        <f t="shared" si="41"/>
        <v>0x007B</v>
      </c>
      <c r="H212" s="374" t="str">
        <f t="shared" si="30"/>
        <v>0x00FB</v>
      </c>
      <c r="I212" s="374" t="str">
        <f t="shared" si="31"/>
        <v>0x017B</v>
      </c>
      <c r="J212" s="374" t="str">
        <f t="shared" si="32"/>
        <v>0x01FB</v>
      </c>
      <c r="K212" s="374" t="str">
        <f t="shared" si="33"/>
        <v>0x027B</v>
      </c>
      <c r="L212" s="374" t="str">
        <f t="shared" si="34"/>
        <v>0x02FB</v>
      </c>
      <c r="M212" s="374" t="str">
        <f t="shared" si="35"/>
        <v>0x037B</v>
      </c>
      <c r="N212" s="374" t="str">
        <f t="shared" si="36"/>
        <v>0x03FB</v>
      </c>
      <c r="O212" s="374" t="str">
        <f t="shared" si="37"/>
        <v>0x047B</v>
      </c>
      <c r="P212" s="374" t="str">
        <f t="shared" si="38"/>
        <v>0x04FB</v>
      </c>
      <c r="Q212" s="374" t="str">
        <f t="shared" si="39"/>
        <v>0x057B</v>
      </c>
      <c r="R212" s="374" t="str">
        <f t="shared" si="40"/>
        <v>0x05FB</v>
      </c>
      <c r="S212" s="374" t="str">
        <f t="shared" si="42"/>
        <v>0x067B</v>
      </c>
      <c r="T212" s="374" t="str">
        <f t="shared" si="43"/>
        <v>0x06FB</v>
      </c>
      <c r="U212" s="374" t="str">
        <f t="shared" si="44"/>
        <v>0x077B</v>
      </c>
    </row>
    <row r="213" spans="2:21" ht="16.5" customHeight="1" x14ac:dyDescent="0.25">
      <c r="B213" s="452"/>
      <c r="C213" s="486" t="s">
        <v>737</v>
      </c>
      <c r="D213" s="411"/>
      <c r="E213" s="446">
        <v>124</v>
      </c>
      <c r="F213" s="471"/>
      <c r="G213" s="451" t="str">
        <f t="shared" si="41"/>
        <v>0x007C</v>
      </c>
      <c r="H213" s="374" t="str">
        <f t="shared" si="30"/>
        <v>0x00FC</v>
      </c>
      <c r="I213" s="374" t="str">
        <f t="shared" si="31"/>
        <v>0x017C</v>
      </c>
      <c r="J213" s="374" t="str">
        <f t="shared" si="32"/>
        <v>0x01FC</v>
      </c>
      <c r="K213" s="374" t="str">
        <f t="shared" si="33"/>
        <v>0x027C</v>
      </c>
      <c r="L213" s="374" t="str">
        <f t="shared" si="34"/>
        <v>0x02FC</v>
      </c>
      <c r="M213" s="374" t="str">
        <f t="shared" si="35"/>
        <v>0x037C</v>
      </c>
      <c r="N213" s="374" t="str">
        <f t="shared" si="36"/>
        <v>0x03FC</v>
      </c>
      <c r="O213" s="374" t="str">
        <f t="shared" si="37"/>
        <v>0x047C</v>
      </c>
      <c r="P213" s="374" t="str">
        <f t="shared" si="38"/>
        <v>0x04FC</v>
      </c>
      <c r="Q213" s="374" t="str">
        <f t="shared" si="39"/>
        <v>0x057C</v>
      </c>
      <c r="R213" s="374" t="str">
        <f t="shared" si="40"/>
        <v>0x05FC</v>
      </c>
      <c r="S213" s="374" t="str">
        <f t="shared" si="42"/>
        <v>0x067C</v>
      </c>
      <c r="T213" s="374" t="str">
        <f t="shared" si="43"/>
        <v>0x06FC</v>
      </c>
      <c r="U213" s="374" t="str">
        <f t="shared" si="44"/>
        <v>0x077C</v>
      </c>
    </row>
    <row r="214" spans="2:21" ht="16.5" customHeight="1" x14ac:dyDescent="0.25">
      <c r="B214" s="452"/>
      <c r="C214" s="486" t="s">
        <v>737</v>
      </c>
      <c r="D214" s="411"/>
      <c r="E214" s="446">
        <v>125</v>
      </c>
      <c r="F214" s="471"/>
      <c r="G214" s="451" t="str">
        <f t="shared" si="41"/>
        <v>0x007D</v>
      </c>
      <c r="H214" s="374" t="str">
        <f t="shared" si="30"/>
        <v>0x00FD</v>
      </c>
      <c r="I214" s="374" t="str">
        <f t="shared" si="31"/>
        <v>0x017D</v>
      </c>
      <c r="J214" s="374" t="str">
        <f t="shared" si="32"/>
        <v>0x01FD</v>
      </c>
      <c r="K214" s="374" t="str">
        <f t="shared" si="33"/>
        <v>0x027D</v>
      </c>
      <c r="L214" s="374" t="str">
        <f t="shared" si="34"/>
        <v>0x02FD</v>
      </c>
      <c r="M214" s="374" t="str">
        <f t="shared" si="35"/>
        <v>0x037D</v>
      </c>
      <c r="N214" s="374" t="str">
        <f t="shared" si="36"/>
        <v>0x03FD</v>
      </c>
      <c r="O214" s="374" t="str">
        <f t="shared" si="37"/>
        <v>0x047D</v>
      </c>
      <c r="P214" s="374" t="str">
        <f t="shared" si="38"/>
        <v>0x04FD</v>
      </c>
      <c r="Q214" s="374" t="str">
        <f t="shared" si="39"/>
        <v>0x057D</v>
      </c>
      <c r="R214" s="374" t="str">
        <f t="shared" si="40"/>
        <v>0x05FD</v>
      </c>
      <c r="S214" s="374" t="str">
        <f t="shared" si="42"/>
        <v>0x067D</v>
      </c>
      <c r="T214" s="374" t="str">
        <f t="shared" si="43"/>
        <v>0x06FD</v>
      </c>
      <c r="U214" s="374" t="str">
        <f t="shared" si="44"/>
        <v>0x077D</v>
      </c>
    </row>
    <row r="215" spans="2:21" ht="16.5" customHeight="1" x14ac:dyDescent="0.25">
      <c r="B215" s="452"/>
      <c r="C215" s="486" t="s">
        <v>737</v>
      </c>
      <c r="D215" s="411"/>
      <c r="E215" s="446">
        <v>126</v>
      </c>
      <c r="F215" s="471"/>
      <c r="G215" s="451" t="str">
        <f t="shared" si="41"/>
        <v>0x007E</v>
      </c>
      <c r="H215" s="374" t="str">
        <f t="shared" si="30"/>
        <v>0x00FE</v>
      </c>
      <c r="I215" s="374" t="str">
        <f t="shared" si="31"/>
        <v>0x017E</v>
      </c>
      <c r="J215" s="374" t="str">
        <f t="shared" si="32"/>
        <v>0x01FE</v>
      </c>
      <c r="K215" s="374" t="str">
        <f t="shared" si="33"/>
        <v>0x027E</v>
      </c>
      <c r="L215" s="374" t="str">
        <f t="shared" si="34"/>
        <v>0x02FE</v>
      </c>
      <c r="M215" s="374" t="str">
        <f t="shared" si="35"/>
        <v>0x037E</v>
      </c>
      <c r="N215" s="374" t="str">
        <f t="shared" si="36"/>
        <v>0x03FE</v>
      </c>
      <c r="O215" s="374" t="str">
        <f t="shared" si="37"/>
        <v>0x047E</v>
      </c>
      <c r="P215" s="374" t="str">
        <f t="shared" si="38"/>
        <v>0x04FE</v>
      </c>
      <c r="Q215" s="374" t="str">
        <f t="shared" si="39"/>
        <v>0x057E</v>
      </c>
      <c r="R215" s="374" t="str">
        <f t="shared" si="40"/>
        <v>0x05FE</v>
      </c>
      <c r="S215" s="374" t="str">
        <f t="shared" si="42"/>
        <v>0x067E</v>
      </c>
      <c r="T215" s="374" t="str">
        <f t="shared" si="43"/>
        <v>0x06FE</v>
      </c>
      <c r="U215" s="374" t="str">
        <f t="shared" si="44"/>
        <v>0x077E</v>
      </c>
    </row>
    <row r="216" spans="2:21" ht="16.5" customHeight="1" thickBot="1" x14ac:dyDescent="0.3">
      <c r="B216" s="452"/>
      <c r="C216" s="489" t="s">
        <v>737</v>
      </c>
      <c r="D216" s="414"/>
      <c r="E216" s="481">
        <v>127</v>
      </c>
      <c r="F216" s="482"/>
      <c r="G216" s="462" t="str">
        <f t="shared" si="41"/>
        <v>0x007F</v>
      </c>
      <c r="H216" s="387" t="str">
        <f t="shared" si="30"/>
        <v>0x00FF</v>
      </c>
      <c r="I216" s="387" t="str">
        <f t="shared" si="31"/>
        <v>0x017F</v>
      </c>
      <c r="J216" s="387" t="str">
        <f t="shared" si="32"/>
        <v>0x01FF</v>
      </c>
      <c r="K216" s="387" t="str">
        <f t="shared" si="33"/>
        <v>0x027F</v>
      </c>
      <c r="L216" s="387" t="str">
        <f t="shared" si="34"/>
        <v>0x02FF</v>
      </c>
      <c r="M216" s="387" t="str">
        <f t="shared" si="35"/>
        <v>0x037F</v>
      </c>
      <c r="N216" s="387" t="str">
        <f t="shared" si="36"/>
        <v>0x03FF</v>
      </c>
      <c r="O216" s="387" t="str">
        <f t="shared" si="37"/>
        <v>0x047F</v>
      </c>
      <c r="P216" s="387" t="str">
        <f t="shared" si="38"/>
        <v>0x04FF</v>
      </c>
      <c r="Q216" s="387" t="str">
        <f t="shared" si="39"/>
        <v>0x057F</v>
      </c>
      <c r="R216" s="387" t="str">
        <f t="shared" si="40"/>
        <v>0x05FF</v>
      </c>
      <c r="S216" s="387" t="str">
        <f t="shared" si="42"/>
        <v>0x067F</v>
      </c>
      <c r="T216" s="387" t="str">
        <f t="shared" si="43"/>
        <v>0x06FF</v>
      </c>
      <c r="U216" s="387" t="str">
        <f t="shared" si="44"/>
        <v>0x077F</v>
      </c>
    </row>
    <row r="217" spans="2:21" ht="13.5" customHeight="1" thickTop="1" x14ac:dyDescent="0.25"/>
  </sheetData>
  <mergeCells count="24">
    <mergeCell ref="D169:D184"/>
    <mergeCell ref="F169:F184"/>
    <mergeCell ref="D185:D200"/>
    <mergeCell ref="F185:F200"/>
    <mergeCell ref="F201:F216"/>
    <mergeCell ref="F105:F120"/>
    <mergeCell ref="F121:F136"/>
    <mergeCell ref="D137:D152"/>
    <mergeCell ref="F137:F152"/>
    <mergeCell ref="D153:D168"/>
    <mergeCell ref="F153:F168"/>
    <mergeCell ref="F60:F75"/>
    <mergeCell ref="C79:E87"/>
    <mergeCell ref="B89:B92"/>
    <mergeCell ref="D89:D96"/>
    <mergeCell ref="F89:F104"/>
    <mergeCell ref="D97:D104"/>
    <mergeCell ref="K1:Q1"/>
    <mergeCell ref="C2:E10"/>
    <mergeCell ref="B12:B15"/>
    <mergeCell ref="F12:F27"/>
    <mergeCell ref="D28:D59"/>
    <mergeCell ref="F28:F43"/>
    <mergeCell ref="F44:F59"/>
  </mergeCells>
  <phoneticPr fontId="9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AA88-CAA0-484D-ABCE-9A30DCC44C21}">
  <sheetPr>
    <tabColor theme="8" tint="-0.249977111117893"/>
  </sheetPr>
  <dimension ref="A1:Y451"/>
  <sheetViews>
    <sheetView topLeftCell="C1" zoomScale="85" zoomScaleNormal="85" workbookViewId="0">
      <selection activeCell="K3" sqref="K3:K10"/>
    </sheetView>
  </sheetViews>
  <sheetFormatPr defaultColWidth="9" defaultRowHeight="13.5" customHeight="1" x14ac:dyDescent="0.25"/>
  <cols>
    <col min="1" max="1" width="24.58203125" style="583" bestFit="1" customWidth="1"/>
    <col min="2" max="2" width="18.33203125" style="325" bestFit="1" customWidth="1"/>
    <col min="3" max="3" width="9" style="325"/>
    <col min="4" max="4" width="18.33203125" style="325" bestFit="1" customWidth="1"/>
    <col min="5" max="6" width="18.33203125" style="325" customWidth="1"/>
    <col min="7" max="7" width="38.75" style="325" bestFit="1" customWidth="1"/>
    <col min="8" max="8" width="42.75" style="325" bestFit="1" customWidth="1"/>
    <col min="9" max="9" width="38.58203125" style="420" customWidth="1"/>
    <col min="10" max="10" width="4.58203125" style="420" hidden="1" customWidth="1"/>
    <col min="11" max="11" width="9.83203125" style="420" bestFit="1" customWidth="1"/>
    <col min="12" max="12" width="10.83203125" style="420" customWidth="1"/>
    <col min="13" max="19" width="8.58203125" style="420" customWidth="1"/>
    <col min="20" max="16384" width="9" style="325"/>
  </cols>
  <sheetData>
    <row r="1" spans="2:23" ht="14.5" thickBot="1" x14ac:dyDescent="0.3">
      <c r="I1" s="325"/>
      <c r="J1" s="325"/>
      <c r="K1" s="325"/>
      <c r="L1" s="325"/>
      <c r="M1" s="326" t="s">
        <v>703</v>
      </c>
      <c r="N1" s="326">
        <f>HEX2DEC(80)</f>
        <v>128</v>
      </c>
      <c r="O1" s="325"/>
      <c r="P1" s="325"/>
      <c r="Q1" s="327"/>
      <c r="R1" s="327"/>
      <c r="S1" s="327"/>
      <c r="T1" s="327"/>
      <c r="U1" s="327"/>
      <c r="V1" s="327"/>
      <c r="W1" s="327"/>
    </row>
    <row r="2" spans="2:23" ht="18.5" thickTop="1" thickBot="1" x14ac:dyDescent="0.3">
      <c r="G2" s="329" t="s">
        <v>704</v>
      </c>
      <c r="H2" s="330"/>
      <c r="I2" s="330"/>
      <c r="J2" s="331"/>
      <c r="K2" s="505" t="s">
        <v>1245</v>
      </c>
      <c r="L2" s="333">
        <v>30101</v>
      </c>
      <c r="M2" s="333">
        <v>30102</v>
      </c>
      <c r="N2" s="333">
        <v>30103</v>
      </c>
      <c r="O2" s="333">
        <v>30104</v>
      </c>
      <c r="P2" s="333">
        <v>30201</v>
      </c>
      <c r="Q2" s="333">
        <v>30202</v>
      </c>
      <c r="R2" s="333">
        <v>30203</v>
      </c>
      <c r="S2" s="333">
        <v>30204</v>
      </c>
      <c r="T2" s="333">
        <v>30301</v>
      </c>
      <c r="U2" s="333">
        <v>30302</v>
      </c>
      <c r="V2" s="333">
        <v>30303</v>
      </c>
      <c r="W2" s="333">
        <v>30304</v>
      </c>
    </row>
    <row r="3" spans="2:23" ht="20.5" thickTop="1" thickBot="1" x14ac:dyDescent="0.3">
      <c r="G3" s="335"/>
      <c r="H3" s="336"/>
      <c r="I3" s="336"/>
      <c r="J3" s="337"/>
      <c r="K3" s="338" t="s">
        <v>707</v>
      </c>
      <c r="L3" s="339" t="s">
        <v>708</v>
      </c>
      <c r="M3" s="339" t="s">
        <v>709</v>
      </c>
      <c r="N3" s="340" t="s">
        <v>710</v>
      </c>
      <c r="O3" s="340" t="s">
        <v>711</v>
      </c>
      <c r="P3" s="341" t="s">
        <v>712</v>
      </c>
      <c r="Q3" s="341" t="s">
        <v>713</v>
      </c>
      <c r="R3" s="341" t="s">
        <v>712</v>
      </c>
      <c r="S3" s="341" t="s">
        <v>713</v>
      </c>
      <c r="T3" s="342" t="s">
        <v>714</v>
      </c>
      <c r="U3" s="342" t="s">
        <v>714</v>
      </c>
      <c r="V3" s="342" t="s">
        <v>715</v>
      </c>
      <c r="W3" s="342" t="s">
        <v>715</v>
      </c>
    </row>
    <row r="4" spans="2:23" ht="28.5" thickTop="1" thickBot="1" x14ac:dyDescent="0.3">
      <c r="G4" s="335"/>
      <c r="H4" s="336"/>
      <c r="I4" s="336"/>
      <c r="J4" s="337"/>
      <c r="K4" s="338" t="s">
        <v>717</v>
      </c>
      <c r="L4" s="339" t="s">
        <v>874</v>
      </c>
      <c r="M4" s="343" t="s">
        <v>875</v>
      </c>
      <c r="N4" s="343" t="s">
        <v>876</v>
      </c>
      <c r="O4" s="343" t="s">
        <v>877</v>
      </c>
      <c r="P4" s="341" t="s">
        <v>712</v>
      </c>
      <c r="Q4" s="341" t="s">
        <v>713</v>
      </c>
      <c r="R4" s="341" t="s">
        <v>712</v>
      </c>
      <c r="S4" s="341" t="s">
        <v>713</v>
      </c>
      <c r="T4" s="342" t="s">
        <v>714</v>
      </c>
      <c r="U4" s="342" t="s">
        <v>714</v>
      </c>
      <c r="V4" s="342" t="s">
        <v>715</v>
      </c>
      <c r="W4" s="342" t="s">
        <v>715</v>
      </c>
    </row>
    <row r="5" spans="2:23" ht="20.5" thickTop="1" thickBot="1" x14ac:dyDescent="0.3">
      <c r="G5" s="335"/>
      <c r="H5" s="336"/>
      <c r="I5" s="336"/>
      <c r="J5" s="337"/>
      <c r="K5" s="338" t="s">
        <v>720</v>
      </c>
      <c r="L5" s="339" t="s">
        <v>708</v>
      </c>
      <c r="M5" s="339" t="s">
        <v>709</v>
      </c>
      <c r="N5" s="340" t="s">
        <v>710</v>
      </c>
      <c r="O5" s="340" t="s">
        <v>711</v>
      </c>
      <c r="P5" s="341" t="s">
        <v>712</v>
      </c>
      <c r="Q5" s="341" t="s">
        <v>713</v>
      </c>
      <c r="R5" s="341" t="s">
        <v>712</v>
      </c>
      <c r="S5" s="341" t="s">
        <v>713</v>
      </c>
      <c r="T5" s="342" t="s">
        <v>714</v>
      </c>
      <c r="U5" s="342" t="s">
        <v>714</v>
      </c>
      <c r="V5" s="342" t="s">
        <v>715</v>
      </c>
      <c r="W5" s="342" t="s">
        <v>715</v>
      </c>
    </row>
    <row r="6" spans="2:23" ht="20.5" thickTop="1" thickBot="1" x14ac:dyDescent="0.3">
      <c r="G6" s="335"/>
      <c r="H6" s="336"/>
      <c r="I6" s="336"/>
      <c r="J6" s="337"/>
      <c r="K6" s="338" t="s">
        <v>721</v>
      </c>
      <c r="L6" s="339" t="s">
        <v>708</v>
      </c>
      <c r="M6" s="339" t="s">
        <v>709</v>
      </c>
      <c r="N6" s="340" t="s">
        <v>710</v>
      </c>
      <c r="O6" s="340" t="s">
        <v>711</v>
      </c>
      <c r="P6" s="341" t="s">
        <v>712</v>
      </c>
      <c r="Q6" s="341" t="s">
        <v>713</v>
      </c>
      <c r="R6" s="341" t="s">
        <v>712</v>
      </c>
      <c r="S6" s="341" t="s">
        <v>713</v>
      </c>
      <c r="T6" s="342" t="s">
        <v>714</v>
      </c>
      <c r="U6" s="342" t="s">
        <v>714</v>
      </c>
      <c r="V6" s="342" t="s">
        <v>715</v>
      </c>
      <c r="W6" s="342" t="s">
        <v>715</v>
      </c>
    </row>
    <row r="7" spans="2:23" ht="20.5" thickTop="1" thickBot="1" x14ac:dyDescent="0.3">
      <c r="G7" s="335"/>
      <c r="H7" s="336"/>
      <c r="I7" s="336"/>
      <c r="J7" s="337"/>
      <c r="K7" s="344" t="s">
        <v>722</v>
      </c>
      <c r="L7" s="341" t="s">
        <v>708</v>
      </c>
      <c r="M7" s="341" t="s">
        <v>709</v>
      </c>
      <c r="N7" s="340" t="s">
        <v>710</v>
      </c>
      <c r="O7" s="340" t="s">
        <v>711</v>
      </c>
      <c r="P7" s="339" t="s">
        <v>712</v>
      </c>
      <c r="Q7" s="339" t="s">
        <v>713</v>
      </c>
      <c r="R7" s="341" t="s">
        <v>712</v>
      </c>
      <c r="S7" s="341" t="s">
        <v>713</v>
      </c>
      <c r="T7" s="342" t="s">
        <v>714</v>
      </c>
      <c r="U7" s="342" t="s">
        <v>714</v>
      </c>
      <c r="V7" s="342" t="s">
        <v>715</v>
      </c>
      <c r="W7" s="342" t="s">
        <v>715</v>
      </c>
    </row>
    <row r="8" spans="2:23" ht="20.5" thickTop="1" thickBot="1" x14ac:dyDescent="0.3">
      <c r="G8" s="335"/>
      <c r="H8" s="336"/>
      <c r="I8" s="336"/>
      <c r="J8" s="337"/>
      <c r="K8" s="344" t="s">
        <v>724</v>
      </c>
      <c r="L8" s="339" t="s">
        <v>708</v>
      </c>
      <c r="M8" s="341" t="s">
        <v>709</v>
      </c>
      <c r="N8" s="340" t="s">
        <v>710</v>
      </c>
      <c r="O8" s="340" t="s">
        <v>711</v>
      </c>
      <c r="P8" s="341" t="s">
        <v>712</v>
      </c>
      <c r="Q8" s="341" t="s">
        <v>713</v>
      </c>
      <c r="R8" s="341" t="s">
        <v>712</v>
      </c>
      <c r="S8" s="341" t="s">
        <v>713</v>
      </c>
      <c r="T8" s="342" t="s">
        <v>714</v>
      </c>
      <c r="U8" s="342" t="s">
        <v>714</v>
      </c>
      <c r="V8" s="342" t="s">
        <v>715</v>
      </c>
      <c r="W8" s="342" t="s">
        <v>715</v>
      </c>
    </row>
    <row r="9" spans="2:23" ht="20.5" thickTop="1" thickBot="1" x14ac:dyDescent="0.3">
      <c r="G9" s="335"/>
      <c r="H9" s="336"/>
      <c r="I9" s="336"/>
      <c r="J9" s="337"/>
      <c r="K9" s="338" t="s">
        <v>725</v>
      </c>
      <c r="L9" s="339" t="s">
        <v>708</v>
      </c>
      <c r="M9" s="339" t="s">
        <v>709</v>
      </c>
      <c r="N9" s="340" t="s">
        <v>710</v>
      </c>
      <c r="O9" s="340" t="s">
        <v>711</v>
      </c>
      <c r="P9" s="341" t="s">
        <v>712</v>
      </c>
      <c r="Q9" s="341" t="s">
        <v>713</v>
      </c>
      <c r="R9" s="341" t="s">
        <v>712</v>
      </c>
      <c r="S9" s="341" t="s">
        <v>713</v>
      </c>
      <c r="T9" s="342" t="s">
        <v>714</v>
      </c>
      <c r="U9" s="342" t="s">
        <v>714</v>
      </c>
      <c r="V9" s="342" t="s">
        <v>715</v>
      </c>
      <c r="W9" s="342" t="s">
        <v>715</v>
      </c>
    </row>
    <row r="10" spans="2:23" ht="20.5" thickTop="1" thickBot="1" x14ac:dyDescent="0.3">
      <c r="G10" s="347"/>
      <c r="H10" s="348"/>
      <c r="I10" s="348"/>
      <c r="J10" s="349"/>
      <c r="K10" s="338" t="s">
        <v>726</v>
      </c>
      <c r="L10" s="341" t="s">
        <v>708</v>
      </c>
      <c r="M10" s="341" t="s">
        <v>709</v>
      </c>
      <c r="N10" s="340" t="s">
        <v>710</v>
      </c>
      <c r="O10" s="340" t="s">
        <v>711</v>
      </c>
      <c r="P10" s="341" t="s">
        <v>712</v>
      </c>
      <c r="Q10" s="341" t="s">
        <v>713</v>
      </c>
      <c r="R10" s="341" t="s">
        <v>712</v>
      </c>
      <c r="S10" s="341" t="s">
        <v>713</v>
      </c>
      <c r="T10" s="333" t="s">
        <v>714</v>
      </c>
      <c r="U10" s="333" t="s">
        <v>714</v>
      </c>
      <c r="V10" s="333" t="s">
        <v>715</v>
      </c>
      <c r="W10" s="333" t="s">
        <v>715</v>
      </c>
    </row>
    <row r="11" spans="2:23" ht="13.9" customHeight="1" thickBot="1" x14ac:dyDescent="0.3">
      <c r="B11" s="506" t="s">
        <v>878</v>
      </c>
      <c r="C11" s="507"/>
      <c r="D11" s="508" t="s">
        <v>879</v>
      </c>
      <c r="G11" s="350" t="s">
        <v>196</v>
      </c>
      <c r="H11" s="509" t="s">
        <v>727</v>
      </c>
      <c r="I11" s="509" t="s">
        <v>728</v>
      </c>
      <c r="J11" s="509" t="s">
        <v>729</v>
      </c>
      <c r="K11" s="510" t="s">
        <v>542</v>
      </c>
      <c r="L11" s="355" t="s">
        <v>731</v>
      </c>
      <c r="M11" s="355" t="s">
        <v>731</v>
      </c>
      <c r="N11" s="355" t="s">
        <v>731</v>
      </c>
      <c r="O11" s="355" t="s">
        <v>731</v>
      </c>
      <c r="P11" s="355" t="s">
        <v>731</v>
      </c>
      <c r="Q11" s="355" t="s">
        <v>731</v>
      </c>
      <c r="R11" s="355" t="s">
        <v>731</v>
      </c>
      <c r="S11" s="355" t="s">
        <v>731</v>
      </c>
      <c r="T11" s="355" t="s">
        <v>731</v>
      </c>
      <c r="U11" s="355" t="s">
        <v>731</v>
      </c>
      <c r="V11" s="355" t="s">
        <v>731</v>
      </c>
      <c r="W11" s="355" t="s">
        <v>731</v>
      </c>
    </row>
    <row r="12" spans="2:23" ht="13.9" customHeight="1" x14ac:dyDescent="0.25">
      <c r="B12" s="511" t="s">
        <v>880</v>
      </c>
      <c r="C12" s="512" t="s">
        <v>200</v>
      </c>
      <c r="D12" s="513"/>
      <c r="G12" s="514"/>
      <c r="H12" s="515" t="s">
        <v>881</v>
      </c>
      <c r="I12" s="516"/>
      <c r="J12" s="359">
        <v>0</v>
      </c>
      <c r="K12" s="360">
        <v>1</v>
      </c>
      <c r="L12" s="517" t="str">
        <f>CONCATENATE("0x",DEC2HEX(J12,4))</f>
        <v>0x0000</v>
      </c>
      <c r="M12" s="517" t="str">
        <f>CONCATENATE("0x",DEC2HEX(J12 + (128 * 1),4))</f>
        <v>0x0080</v>
      </c>
      <c r="N12" s="517" t="str">
        <f>CONCATENATE("0x",DEC2HEX(J12 + (128 * 2),4))</f>
        <v>0x0100</v>
      </c>
      <c r="O12" s="517" t="str">
        <f>CONCATENATE("0x",DEC2HEX(J12 + (128 * 3),4))</f>
        <v>0x0180</v>
      </c>
      <c r="P12" s="517" t="str">
        <f>CONCATENATE("0x",DEC2HEX(J12 + (128 * 4),4))</f>
        <v>0x0200</v>
      </c>
      <c r="Q12" s="517" t="str">
        <f>CONCATENATE("0x",DEC2HEX(J12 + (128 * 5),4))</f>
        <v>0x0280</v>
      </c>
      <c r="R12" s="517" t="str">
        <f>CONCATENATE("0x",DEC2HEX(J12 + (128 * 6),4))</f>
        <v>0x0300</v>
      </c>
      <c r="S12" s="517" t="str">
        <f>CONCATENATE("0x",DEC2HEX(J12 + (128 * 7),4))</f>
        <v>0x0380</v>
      </c>
      <c r="T12" s="517" t="str">
        <f>CONCATENATE("0x",DEC2HEX(J12 + (128 * 8),4))</f>
        <v>0x0400</v>
      </c>
      <c r="U12" s="517" t="str">
        <f>CONCATENATE("0x",DEC2HEX(J12 + (128 * 9),4))</f>
        <v>0x0480</v>
      </c>
      <c r="V12" s="517" t="str">
        <f>CONCATENATE("0x",DEC2HEX(J12 + (128 * 10),4))</f>
        <v>0x0500</v>
      </c>
      <c r="W12" s="517" t="str">
        <f>CONCATENATE("0x",DEC2HEX(J12 + (128 * 11),4))</f>
        <v>0x0580</v>
      </c>
    </row>
    <row r="13" spans="2:23" ht="13.9" customHeight="1" x14ac:dyDescent="0.25">
      <c r="B13" s="518" t="s">
        <v>882</v>
      </c>
      <c r="C13" s="519" t="s">
        <v>200</v>
      </c>
      <c r="D13" s="520"/>
      <c r="G13" s="514"/>
      <c r="H13" s="521" t="s">
        <v>883</v>
      </c>
      <c r="I13" s="411"/>
      <c r="J13" s="371">
        <v>1</v>
      </c>
      <c r="K13" s="372"/>
      <c r="L13" s="517" t="str">
        <f>CONCATENATE("0x",DEC2HEX(J13,4))</f>
        <v>0x0001</v>
      </c>
      <c r="M13" s="517" t="str">
        <f t="shared" ref="M13:M76" si="0">CONCATENATE("0x",DEC2HEX(J13 + (128 * 1),4))</f>
        <v>0x0081</v>
      </c>
      <c r="N13" s="517" t="str">
        <f t="shared" ref="N13:N76" si="1">CONCATENATE("0x",DEC2HEX(J13 + (128 * 2),4))</f>
        <v>0x0101</v>
      </c>
      <c r="O13" s="517" t="str">
        <f t="shared" ref="O13:O76" si="2">CONCATENATE("0x",DEC2HEX(J13 + (128 * 3),4))</f>
        <v>0x0181</v>
      </c>
      <c r="P13" s="517" t="str">
        <f t="shared" ref="P13:P76" si="3">CONCATENATE("0x",DEC2HEX(J13 + (128 * 4),4))</f>
        <v>0x0201</v>
      </c>
      <c r="Q13" s="517" t="str">
        <f t="shared" ref="Q13:Q76" si="4">CONCATENATE("0x",DEC2HEX(J13 + (128 * 5),4))</f>
        <v>0x0281</v>
      </c>
      <c r="R13" s="517" t="str">
        <f t="shared" ref="R13:R76" si="5">CONCATENATE("0x",DEC2HEX(J13 + (128 * 6),4))</f>
        <v>0x0301</v>
      </c>
      <c r="S13" s="517" t="str">
        <f t="shared" ref="S13:S76" si="6">CONCATENATE("0x",DEC2HEX(J13 + (128 * 7),4))</f>
        <v>0x0381</v>
      </c>
      <c r="T13" s="517" t="str">
        <f t="shared" ref="T13:T76" si="7">CONCATENATE("0x",DEC2HEX(J13 + (128 * 8),4))</f>
        <v>0x0401</v>
      </c>
      <c r="U13" s="517" t="str">
        <f t="shared" ref="U13:U76" si="8">CONCATENATE("0x",DEC2HEX(J13 + (128 * 9),4))</f>
        <v>0x0481</v>
      </c>
      <c r="V13" s="517" t="str">
        <f t="shared" ref="V13:V76" si="9">CONCATENATE("0x",DEC2HEX(J13 + (128 * 10),4))</f>
        <v>0x0501</v>
      </c>
      <c r="W13" s="517" t="str">
        <f t="shared" ref="W13:W76" si="10">CONCATENATE("0x",DEC2HEX(J13 + (128 * 11),4))</f>
        <v>0x0581</v>
      </c>
    </row>
    <row r="14" spans="2:23" ht="13.9" customHeight="1" x14ac:dyDescent="0.25">
      <c r="B14" s="522" t="s">
        <v>884</v>
      </c>
      <c r="C14" s="523" t="s">
        <v>200</v>
      </c>
      <c r="D14" s="524"/>
      <c r="G14" s="514"/>
      <c r="H14" s="525" t="s">
        <v>885</v>
      </c>
      <c r="I14" s="411"/>
      <c r="J14" s="371">
        <v>2</v>
      </c>
      <c r="K14" s="372"/>
      <c r="L14" s="517" t="str">
        <f t="shared" ref="L14:L77" si="11">CONCATENATE("0x",DEC2HEX(J14,4))</f>
        <v>0x0002</v>
      </c>
      <c r="M14" s="517" t="str">
        <f t="shared" si="0"/>
        <v>0x0082</v>
      </c>
      <c r="N14" s="517" t="str">
        <f t="shared" si="1"/>
        <v>0x0102</v>
      </c>
      <c r="O14" s="517" t="str">
        <f t="shared" si="2"/>
        <v>0x0182</v>
      </c>
      <c r="P14" s="517" t="str">
        <f t="shared" si="3"/>
        <v>0x0202</v>
      </c>
      <c r="Q14" s="517" t="str">
        <f t="shared" si="4"/>
        <v>0x0282</v>
      </c>
      <c r="R14" s="517" t="str">
        <f t="shared" si="5"/>
        <v>0x0302</v>
      </c>
      <c r="S14" s="517" t="str">
        <f t="shared" si="6"/>
        <v>0x0382</v>
      </c>
      <c r="T14" s="517" t="str">
        <f t="shared" si="7"/>
        <v>0x0402</v>
      </c>
      <c r="U14" s="517" t="str">
        <f t="shared" si="8"/>
        <v>0x0482</v>
      </c>
      <c r="V14" s="517" t="str">
        <f t="shared" si="9"/>
        <v>0x0502</v>
      </c>
      <c r="W14" s="517" t="str">
        <f t="shared" si="10"/>
        <v>0x0582</v>
      </c>
    </row>
    <row r="15" spans="2:23" ht="13.9" customHeight="1" x14ac:dyDescent="0.25">
      <c r="B15" s="526" t="s">
        <v>886</v>
      </c>
      <c r="C15" s="527" t="s">
        <v>200</v>
      </c>
      <c r="D15" s="528"/>
      <c r="G15" s="514"/>
      <c r="H15" s="521" t="s">
        <v>887</v>
      </c>
      <c r="I15" s="411"/>
      <c r="J15" s="371">
        <v>3</v>
      </c>
      <c r="K15" s="372"/>
      <c r="L15" s="517" t="str">
        <f t="shared" si="11"/>
        <v>0x0003</v>
      </c>
      <c r="M15" s="517" t="str">
        <f t="shared" si="0"/>
        <v>0x0083</v>
      </c>
      <c r="N15" s="517" t="str">
        <f t="shared" si="1"/>
        <v>0x0103</v>
      </c>
      <c r="O15" s="517" t="str">
        <f t="shared" si="2"/>
        <v>0x0183</v>
      </c>
      <c r="P15" s="517" t="str">
        <f t="shared" si="3"/>
        <v>0x0203</v>
      </c>
      <c r="Q15" s="517" t="str">
        <f t="shared" si="4"/>
        <v>0x0283</v>
      </c>
      <c r="R15" s="517" t="str">
        <f t="shared" si="5"/>
        <v>0x0303</v>
      </c>
      <c r="S15" s="517" t="str">
        <f t="shared" si="6"/>
        <v>0x0383</v>
      </c>
      <c r="T15" s="517" t="str">
        <f t="shared" si="7"/>
        <v>0x0403</v>
      </c>
      <c r="U15" s="517" t="str">
        <f t="shared" si="8"/>
        <v>0x0483</v>
      </c>
      <c r="V15" s="517" t="str">
        <f t="shared" si="9"/>
        <v>0x0503</v>
      </c>
      <c r="W15" s="517" t="str">
        <f t="shared" si="10"/>
        <v>0x0583</v>
      </c>
    </row>
    <row r="16" spans="2:23" ht="13.9" customHeight="1" x14ac:dyDescent="0.25">
      <c r="B16" s="529" t="s">
        <v>888</v>
      </c>
      <c r="C16" s="530" t="s">
        <v>889</v>
      </c>
      <c r="D16" s="531"/>
      <c r="G16" s="514"/>
      <c r="H16" s="521" t="s">
        <v>890</v>
      </c>
      <c r="I16" s="411"/>
      <c r="J16" s="371">
        <v>4</v>
      </c>
      <c r="K16" s="372"/>
      <c r="L16" s="517" t="str">
        <f t="shared" si="11"/>
        <v>0x0004</v>
      </c>
      <c r="M16" s="517" t="str">
        <f t="shared" si="0"/>
        <v>0x0084</v>
      </c>
      <c r="N16" s="517" t="str">
        <f t="shared" si="1"/>
        <v>0x0104</v>
      </c>
      <c r="O16" s="517" t="str">
        <f t="shared" si="2"/>
        <v>0x0184</v>
      </c>
      <c r="P16" s="517" t="str">
        <f t="shared" si="3"/>
        <v>0x0204</v>
      </c>
      <c r="Q16" s="517" t="str">
        <f t="shared" si="4"/>
        <v>0x0284</v>
      </c>
      <c r="R16" s="517" t="str">
        <f t="shared" si="5"/>
        <v>0x0304</v>
      </c>
      <c r="S16" s="517" t="str">
        <f t="shared" si="6"/>
        <v>0x0384</v>
      </c>
      <c r="T16" s="517" t="str">
        <f t="shared" si="7"/>
        <v>0x0404</v>
      </c>
      <c r="U16" s="517" t="str">
        <f t="shared" si="8"/>
        <v>0x0484</v>
      </c>
      <c r="V16" s="517" t="str">
        <f t="shared" si="9"/>
        <v>0x0504</v>
      </c>
      <c r="W16" s="517" t="str">
        <f t="shared" si="10"/>
        <v>0x0584</v>
      </c>
    </row>
    <row r="17" spans="2:23" ht="13.9" customHeight="1" x14ac:dyDescent="0.25">
      <c r="B17" s="529" t="s">
        <v>888</v>
      </c>
      <c r="C17" s="530" t="s">
        <v>889</v>
      </c>
      <c r="D17" s="531"/>
      <c r="G17" s="514"/>
      <c r="H17" s="521" t="s">
        <v>890</v>
      </c>
      <c r="I17" s="411"/>
      <c r="J17" s="371">
        <v>5</v>
      </c>
      <c r="K17" s="372"/>
      <c r="L17" s="517" t="str">
        <f t="shared" si="11"/>
        <v>0x0005</v>
      </c>
      <c r="M17" s="517" t="str">
        <f t="shared" si="0"/>
        <v>0x0085</v>
      </c>
      <c r="N17" s="517" t="str">
        <f t="shared" si="1"/>
        <v>0x0105</v>
      </c>
      <c r="O17" s="517" t="str">
        <f t="shared" si="2"/>
        <v>0x0185</v>
      </c>
      <c r="P17" s="517" t="str">
        <f t="shared" si="3"/>
        <v>0x0205</v>
      </c>
      <c r="Q17" s="517" t="str">
        <f t="shared" si="4"/>
        <v>0x0285</v>
      </c>
      <c r="R17" s="517" t="str">
        <f t="shared" si="5"/>
        <v>0x0305</v>
      </c>
      <c r="S17" s="517" t="str">
        <f t="shared" si="6"/>
        <v>0x0385</v>
      </c>
      <c r="T17" s="517" t="str">
        <f t="shared" si="7"/>
        <v>0x0405</v>
      </c>
      <c r="U17" s="517" t="str">
        <f t="shared" si="8"/>
        <v>0x0485</v>
      </c>
      <c r="V17" s="517" t="str">
        <f t="shared" si="9"/>
        <v>0x0505</v>
      </c>
      <c r="W17" s="517" t="str">
        <f t="shared" si="10"/>
        <v>0x0585</v>
      </c>
    </row>
    <row r="18" spans="2:23" ht="13.9" customHeight="1" x14ac:dyDescent="0.25">
      <c r="B18" s="529" t="s">
        <v>888</v>
      </c>
      <c r="C18" s="530" t="s">
        <v>889</v>
      </c>
      <c r="D18" s="531"/>
      <c r="G18" s="514"/>
      <c r="H18" s="521" t="s">
        <v>891</v>
      </c>
      <c r="I18" s="411"/>
      <c r="J18" s="371">
        <v>6</v>
      </c>
      <c r="K18" s="372"/>
      <c r="L18" s="517" t="str">
        <f t="shared" si="11"/>
        <v>0x0006</v>
      </c>
      <c r="M18" s="517" t="str">
        <f t="shared" si="0"/>
        <v>0x0086</v>
      </c>
      <c r="N18" s="517" t="str">
        <f t="shared" si="1"/>
        <v>0x0106</v>
      </c>
      <c r="O18" s="517" t="str">
        <f t="shared" si="2"/>
        <v>0x0186</v>
      </c>
      <c r="P18" s="517" t="str">
        <f t="shared" si="3"/>
        <v>0x0206</v>
      </c>
      <c r="Q18" s="517" t="str">
        <f t="shared" si="4"/>
        <v>0x0286</v>
      </c>
      <c r="R18" s="517" t="str">
        <f t="shared" si="5"/>
        <v>0x0306</v>
      </c>
      <c r="S18" s="517" t="str">
        <f t="shared" si="6"/>
        <v>0x0386</v>
      </c>
      <c r="T18" s="517" t="str">
        <f t="shared" si="7"/>
        <v>0x0406</v>
      </c>
      <c r="U18" s="517" t="str">
        <f t="shared" si="8"/>
        <v>0x0486</v>
      </c>
      <c r="V18" s="517" t="str">
        <f t="shared" si="9"/>
        <v>0x0506</v>
      </c>
      <c r="W18" s="517" t="str">
        <f t="shared" si="10"/>
        <v>0x0586</v>
      </c>
    </row>
    <row r="19" spans="2:23" ht="13.9" customHeight="1" thickBot="1" x14ac:dyDescent="0.3">
      <c r="B19" s="529" t="s">
        <v>888</v>
      </c>
      <c r="C19" s="530" t="s">
        <v>889</v>
      </c>
      <c r="D19" s="531"/>
      <c r="G19" s="514"/>
      <c r="H19" s="521" t="s">
        <v>891</v>
      </c>
      <c r="I19" s="411"/>
      <c r="J19" s="371">
        <v>7</v>
      </c>
      <c r="K19" s="372"/>
      <c r="L19" s="517" t="str">
        <f t="shared" si="11"/>
        <v>0x0007</v>
      </c>
      <c r="M19" s="517" t="str">
        <f t="shared" si="0"/>
        <v>0x0087</v>
      </c>
      <c r="N19" s="517" t="str">
        <f t="shared" si="1"/>
        <v>0x0107</v>
      </c>
      <c r="O19" s="517" t="str">
        <f t="shared" si="2"/>
        <v>0x0187</v>
      </c>
      <c r="P19" s="517" t="str">
        <f t="shared" si="3"/>
        <v>0x0207</v>
      </c>
      <c r="Q19" s="517" t="str">
        <f t="shared" si="4"/>
        <v>0x0287</v>
      </c>
      <c r="R19" s="517" t="str">
        <f t="shared" si="5"/>
        <v>0x0307</v>
      </c>
      <c r="S19" s="517" t="str">
        <f t="shared" si="6"/>
        <v>0x0387</v>
      </c>
      <c r="T19" s="517" t="str">
        <f t="shared" si="7"/>
        <v>0x0407</v>
      </c>
      <c r="U19" s="517" t="str">
        <f t="shared" si="8"/>
        <v>0x0487</v>
      </c>
      <c r="V19" s="517" t="str">
        <f t="shared" si="9"/>
        <v>0x0507</v>
      </c>
      <c r="W19" s="517" t="str">
        <f t="shared" si="10"/>
        <v>0x0587</v>
      </c>
    </row>
    <row r="20" spans="2:23" ht="13.9" customHeight="1" x14ac:dyDescent="0.25">
      <c r="B20" s="511" t="s">
        <v>892</v>
      </c>
      <c r="C20" s="512" t="s">
        <v>200</v>
      </c>
      <c r="D20" s="513"/>
      <c r="G20" s="532"/>
      <c r="H20" s="521" t="s">
        <v>893</v>
      </c>
      <c r="I20" s="411"/>
      <c r="J20" s="371">
        <v>8</v>
      </c>
      <c r="K20" s="372"/>
      <c r="L20" s="517" t="str">
        <f t="shared" si="11"/>
        <v>0x0008</v>
      </c>
      <c r="M20" s="517" t="str">
        <f t="shared" si="0"/>
        <v>0x0088</v>
      </c>
      <c r="N20" s="517" t="str">
        <f t="shared" si="1"/>
        <v>0x0108</v>
      </c>
      <c r="O20" s="517" t="str">
        <f t="shared" si="2"/>
        <v>0x0188</v>
      </c>
      <c r="P20" s="517" t="str">
        <f t="shared" si="3"/>
        <v>0x0208</v>
      </c>
      <c r="Q20" s="517" t="str">
        <f t="shared" si="4"/>
        <v>0x0288</v>
      </c>
      <c r="R20" s="517" t="str">
        <f t="shared" si="5"/>
        <v>0x0308</v>
      </c>
      <c r="S20" s="517" t="str">
        <f t="shared" si="6"/>
        <v>0x0388</v>
      </c>
      <c r="T20" s="517" t="str">
        <f t="shared" si="7"/>
        <v>0x0408</v>
      </c>
      <c r="U20" s="517" t="str">
        <f t="shared" si="8"/>
        <v>0x0488</v>
      </c>
      <c r="V20" s="517" t="str">
        <f t="shared" si="9"/>
        <v>0x0508</v>
      </c>
      <c r="W20" s="517" t="str">
        <f t="shared" si="10"/>
        <v>0x0588</v>
      </c>
    </row>
    <row r="21" spans="2:23" ht="13.9" customHeight="1" x14ac:dyDescent="0.25">
      <c r="B21" s="518" t="s">
        <v>894</v>
      </c>
      <c r="C21" s="519" t="s">
        <v>200</v>
      </c>
      <c r="D21" s="520"/>
      <c r="G21" s="532"/>
      <c r="H21" s="521" t="s">
        <v>893</v>
      </c>
      <c r="I21" s="411"/>
      <c r="J21" s="371">
        <v>9</v>
      </c>
      <c r="K21" s="372"/>
      <c r="L21" s="517" t="str">
        <f t="shared" si="11"/>
        <v>0x0009</v>
      </c>
      <c r="M21" s="517" t="str">
        <f t="shared" si="0"/>
        <v>0x0089</v>
      </c>
      <c r="N21" s="517" t="str">
        <f t="shared" si="1"/>
        <v>0x0109</v>
      </c>
      <c r="O21" s="517" t="str">
        <f t="shared" si="2"/>
        <v>0x0189</v>
      </c>
      <c r="P21" s="517" t="str">
        <f t="shared" si="3"/>
        <v>0x0209</v>
      </c>
      <c r="Q21" s="517" t="str">
        <f t="shared" si="4"/>
        <v>0x0289</v>
      </c>
      <c r="R21" s="517" t="str">
        <f t="shared" si="5"/>
        <v>0x0309</v>
      </c>
      <c r="S21" s="517" t="str">
        <f t="shared" si="6"/>
        <v>0x0389</v>
      </c>
      <c r="T21" s="517" t="str">
        <f t="shared" si="7"/>
        <v>0x0409</v>
      </c>
      <c r="U21" s="517" t="str">
        <f t="shared" si="8"/>
        <v>0x0489</v>
      </c>
      <c r="V21" s="517" t="str">
        <f t="shared" si="9"/>
        <v>0x0509</v>
      </c>
      <c r="W21" s="517" t="str">
        <f t="shared" si="10"/>
        <v>0x0589</v>
      </c>
    </row>
    <row r="22" spans="2:23" ht="13.9" customHeight="1" x14ac:dyDescent="0.25">
      <c r="B22" s="522" t="s">
        <v>895</v>
      </c>
      <c r="C22" s="523" t="s">
        <v>200</v>
      </c>
      <c r="D22" s="524"/>
      <c r="G22" s="532"/>
      <c r="H22" s="525" t="s">
        <v>896</v>
      </c>
      <c r="I22" s="411"/>
      <c r="J22" s="371">
        <v>10</v>
      </c>
      <c r="K22" s="372"/>
      <c r="L22" s="517" t="str">
        <f t="shared" si="11"/>
        <v>0x000A</v>
      </c>
      <c r="M22" s="517" t="str">
        <f t="shared" si="0"/>
        <v>0x008A</v>
      </c>
      <c r="N22" s="517" t="str">
        <f t="shared" si="1"/>
        <v>0x010A</v>
      </c>
      <c r="O22" s="517" t="str">
        <f t="shared" si="2"/>
        <v>0x018A</v>
      </c>
      <c r="P22" s="517" t="str">
        <f t="shared" si="3"/>
        <v>0x020A</v>
      </c>
      <c r="Q22" s="517" t="str">
        <f t="shared" si="4"/>
        <v>0x028A</v>
      </c>
      <c r="R22" s="517" t="str">
        <f t="shared" si="5"/>
        <v>0x030A</v>
      </c>
      <c r="S22" s="517" t="str">
        <f t="shared" si="6"/>
        <v>0x038A</v>
      </c>
      <c r="T22" s="517" t="str">
        <f t="shared" si="7"/>
        <v>0x040A</v>
      </c>
      <c r="U22" s="517" t="str">
        <f t="shared" si="8"/>
        <v>0x048A</v>
      </c>
      <c r="V22" s="517" t="str">
        <f t="shared" si="9"/>
        <v>0x050A</v>
      </c>
      <c r="W22" s="517" t="str">
        <f t="shared" si="10"/>
        <v>0x058A</v>
      </c>
    </row>
    <row r="23" spans="2:23" ht="13.9" customHeight="1" x14ac:dyDescent="0.25">
      <c r="B23" s="526" t="s">
        <v>897</v>
      </c>
      <c r="C23" s="527" t="s">
        <v>200</v>
      </c>
      <c r="D23" s="528"/>
      <c r="G23" s="532"/>
      <c r="H23" s="521" t="s">
        <v>742</v>
      </c>
      <c r="I23" s="411"/>
      <c r="J23" s="371">
        <v>11</v>
      </c>
      <c r="K23" s="372"/>
      <c r="L23" s="517" t="str">
        <f t="shared" si="11"/>
        <v>0x000B</v>
      </c>
      <c r="M23" s="517" t="str">
        <f t="shared" si="0"/>
        <v>0x008B</v>
      </c>
      <c r="N23" s="517" t="str">
        <f t="shared" si="1"/>
        <v>0x010B</v>
      </c>
      <c r="O23" s="517" t="str">
        <f t="shared" si="2"/>
        <v>0x018B</v>
      </c>
      <c r="P23" s="517" t="str">
        <f t="shared" si="3"/>
        <v>0x020B</v>
      </c>
      <c r="Q23" s="517" t="str">
        <f t="shared" si="4"/>
        <v>0x028B</v>
      </c>
      <c r="R23" s="517" t="str">
        <f t="shared" si="5"/>
        <v>0x030B</v>
      </c>
      <c r="S23" s="517" t="str">
        <f t="shared" si="6"/>
        <v>0x038B</v>
      </c>
      <c r="T23" s="517" t="str">
        <f t="shared" si="7"/>
        <v>0x040B</v>
      </c>
      <c r="U23" s="517" t="str">
        <f t="shared" si="8"/>
        <v>0x048B</v>
      </c>
      <c r="V23" s="517" t="str">
        <f t="shared" si="9"/>
        <v>0x050B</v>
      </c>
      <c r="W23" s="517" t="str">
        <f t="shared" si="10"/>
        <v>0x058B</v>
      </c>
    </row>
    <row r="24" spans="2:23" ht="13.9" customHeight="1" x14ac:dyDescent="0.25">
      <c r="B24" s="529" t="s">
        <v>888</v>
      </c>
      <c r="C24" s="530" t="s">
        <v>889</v>
      </c>
      <c r="D24" s="531"/>
      <c r="G24" s="514"/>
      <c r="H24" s="521" t="s">
        <v>898</v>
      </c>
      <c r="I24" s="411"/>
      <c r="J24" s="371">
        <v>12</v>
      </c>
      <c r="K24" s="372"/>
      <c r="L24" s="517" t="str">
        <f t="shared" si="11"/>
        <v>0x000C</v>
      </c>
      <c r="M24" s="517" t="str">
        <f t="shared" si="0"/>
        <v>0x008C</v>
      </c>
      <c r="N24" s="517" t="str">
        <f t="shared" si="1"/>
        <v>0x010C</v>
      </c>
      <c r="O24" s="517" t="str">
        <f t="shared" si="2"/>
        <v>0x018C</v>
      </c>
      <c r="P24" s="517" t="str">
        <f t="shared" si="3"/>
        <v>0x020C</v>
      </c>
      <c r="Q24" s="517" t="str">
        <f t="shared" si="4"/>
        <v>0x028C</v>
      </c>
      <c r="R24" s="517" t="str">
        <f t="shared" si="5"/>
        <v>0x030C</v>
      </c>
      <c r="S24" s="517" t="str">
        <f t="shared" si="6"/>
        <v>0x038C</v>
      </c>
      <c r="T24" s="517" t="str">
        <f t="shared" si="7"/>
        <v>0x040C</v>
      </c>
      <c r="U24" s="517" t="str">
        <f t="shared" si="8"/>
        <v>0x048C</v>
      </c>
      <c r="V24" s="517" t="str">
        <f t="shared" si="9"/>
        <v>0x050C</v>
      </c>
      <c r="W24" s="517" t="str">
        <f t="shared" si="10"/>
        <v>0x058C</v>
      </c>
    </row>
    <row r="25" spans="2:23" ht="13.9" customHeight="1" x14ac:dyDescent="0.25">
      <c r="B25" s="529" t="s">
        <v>888</v>
      </c>
      <c r="C25" s="530" t="s">
        <v>889</v>
      </c>
      <c r="D25" s="531"/>
      <c r="G25" s="514"/>
      <c r="H25" s="521" t="s">
        <v>899</v>
      </c>
      <c r="I25" s="411"/>
      <c r="J25" s="371">
        <v>13</v>
      </c>
      <c r="K25" s="372"/>
      <c r="L25" s="517" t="str">
        <f t="shared" si="11"/>
        <v>0x000D</v>
      </c>
      <c r="M25" s="517" t="str">
        <f t="shared" si="0"/>
        <v>0x008D</v>
      </c>
      <c r="N25" s="517" t="str">
        <f t="shared" si="1"/>
        <v>0x010D</v>
      </c>
      <c r="O25" s="517" t="str">
        <f t="shared" si="2"/>
        <v>0x018D</v>
      </c>
      <c r="P25" s="517" t="str">
        <f t="shared" si="3"/>
        <v>0x020D</v>
      </c>
      <c r="Q25" s="517" t="str">
        <f t="shared" si="4"/>
        <v>0x028D</v>
      </c>
      <c r="R25" s="517" t="str">
        <f t="shared" si="5"/>
        <v>0x030D</v>
      </c>
      <c r="S25" s="517" t="str">
        <f t="shared" si="6"/>
        <v>0x038D</v>
      </c>
      <c r="T25" s="517" t="str">
        <f t="shared" si="7"/>
        <v>0x040D</v>
      </c>
      <c r="U25" s="517" t="str">
        <f t="shared" si="8"/>
        <v>0x048D</v>
      </c>
      <c r="V25" s="517" t="str">
        <f t="shared" si="9"/>
        <v>0x050D</v>
      </c>
      <c r="W25" s="517" t="str">
        <f t="shared" si="10"/>
        <v>0x058D</v>
      </c>
    </row>
    <row r="26" spans="2:23" ht="13.9" customHeight="1" x14ac:dyDescent="0.25">
      <c r="B26" s="529" t="s">
        <v>888</v>
      </c>
      <c r="C26" s="530" t="s">
        <v>889</v>
      </c>
      <c r="D26" s="531"/>
      <c r="G26" s="514"/>
      <c r="H26" s="521" t="s">
        <v>900</v>
      </c>
      <c r="I26" s="411"/>
      <c r="J26" s="371">
        <v>14</v>
      </c>
      <c r="K26" s="372"/>
      <c r="L26" s="517" t="str">
        <f t="shared" si="11"/>
        <v>0x000E</v>
      </c>
      <c r="M26" s="517" t="str">
        <f t="shared" si="0"/>
        <v>0x008E</v>
      </c>
      <c r="N26" s="517" t="str">
        <f t="shared" si="1"/>
        <v>0x010E</v>
      </c>
      <c r="O26" s="517" t="str">
        <f t="shared" si="2"/>
        <v>0x018E</v>
      </c>
      <c r="P26" s="517" t="str">
        <f t="shared" si="3"/>
        <v>0x020E</v>
      </c>
      <c r="Q26" s="517" t="str">
        <f t="shared" si="4"/>
        <v>0x028E</v>
      </c>
      <c r="R26" s="517" t="str">
        <f t="shared" si="5"/>
        <v>0x030E</v>
      </c>
      <c r="S26" s="517" t="str">
        <f t="shared" si="6"/>
        <v>0x038E</v>
      </c>
      <c r="T26" s="517" t="str">
        <f t="shared" si="7"/>
        <v>0x040E</v>
      </c>
      <c r="U26" s="517" t="str">
        <f t="shared" si="8"/>
        <v>0x048E</v>
      </c>
      <c r="V26" s="517" t="str">
        <f t="shared" si="9"/>
        <v>0x050E</v>
      </c>
      <c r="W26" s="517" t="str">
        <f t="shared" si="10"/>
        <v>0x058E</v>
      </c>
    </row>
    <row r="27" spans="2:23" ht="13.9" customHeight="1" thickBot="1" x14ac:dyDescent="0.3">
      <c r="B27" s="533" t="s">
        <v>888</v>
      </c>
      <c r="C27" s="534" t="s">
        <v>889</v>
      </c>
      <c r="D27" s="535"/>
      <c r="G27" s="514"/>
      <c r="H27" s="536" t="s">
        <v>901</v>
      </c>
      <c r="I27" s="414"/>
      <c r="J27" s="384">
        <v>15</v>
      </c>
      <c r="K27" s="385"/>
      <c r="L27" s="537" t="str">
        <f t="shared" si="11"/>
        <v>0x000F</v>
      </c>
      <c r="M27" s="537" t="str">
        <f t="shared" si="0"/>
        <v>0x008F</v>
      </c>
      <c r="N27" s="537" t="str">
        <f t="shared" si="1"/>
        <v>0x010F</v>
      </c>
      <c r="O27" s="537" t="str">
        <f t="shared" si="2"/>
        <v>0x018F</v>
      </c>
      <c r="P27" s="537" t="str">
        <f t="shared" si="3"/>
        <v>0x020F</v>
      </c>
      <c r="Q27" s="537" t="str">
        <f t="shared" si="4"/>
        <v>0x028F</v>
      </c>
      <c r="R27" s="537" t="str">
        <f t="shared" si="5"/>
        <v>0x030F</v>
      </c>
      <c r="S27" s="537" t="str">
        <f t="shared" si="6"/>
        <v>0x038F</v>
      </c>
      <c r="T27" s="537" t="str">
        <f t="shared" si="7"/>
        <v>0x040F</v>
      </c>
      <c r="U27" s="537" t="str">
        <f t="shared" si="8"/>
        <v>0x048F</v>
      </c>
      <c r="V27" s="537" t="str">
        <f t="shared" si="9"/>
        <v>0x050F</v>
      </c>
      <c r="W27" s="537" t="str">
        <f t="shared" si="10"/>
        <v>0x058F</v>
      </c>
    </row>
    <row r="28" spans="2:23" ht="14.25" customHeight="1" thickTop="1" x14ac:dyDescent="0.25">
      <c r="G28" s="538" t="s">
        <v>902</v>
      </c>
      <c r="H28" s="539" t="s">
        <v>903</v>
      </c>
      <c r="I28" s="408"/>
      <c r="J28" s="394">
        <v>16</v>
      </c>
      <c r="K28" s="395">
        <v>2</v>
      </c>
      <c r="L28" s="540" t="str">
        <f t="shared" si="11"/>
        <v>0x0010</v>
      </c>
      <c r="M28" s="540" t="str">
        <f t="shared" si="0"/>
        <v>0x0090</v>
      </c>
      <c r="N28" s="540" t="str">
        <f t="shared" si="1"/>
        <v>0x0110</v>
      </c>
      <c r="O28" s="540" t="str">
        <f t="shared" si="2"/>
        <v>0x0190</v>
      </c>
      <c r="P28" s="540" t="str">
        <f t="shared" si="3"/>
        <v>0x0210</v>
      </c>
      <c r="Q28" s="540" t="str">
        <f t="shared" si="4"/>
        <v>0x0290</v>
      </c>
      <c r="R28" s="540" t="str">
        <f t="shared" si="5"/>
        <v>0x0310</v>
      </c>
      <c r="S28" s="540" t="str">
        <f t="shared" si="6"/>
        <v>0x0390</v>
      </c>
      <c r="T28" s="540" t="str">
        <f t="shared" si="7"/>
        <v>0x0410</v>
      </c>
      <c r="U28" s="540" t="str">
        <f t="shared" si="8"/>
        <v>0x0490</v>
      </c>
      <c r="V28" s="540" t="str">
        <f t="shared" si="9"/>
        <v>0x0510</v>
      </c>
      <c r="W28" s="540" t="str">
        <f t="shared" si="10"/>
        <v>0x0590</v>
      </c>
    </row>
    <row r="29" spans="2:23" ht="13.9" customHeight="1" x14ac:dyDescent="0.25">
      <c r="G29" s="541"/>
      <c r="H29" s="542" t="s">
        <v>904</v>
      </c>
      <c r="I29" s="411"/>
      <c r="J29" s="371">
        <v>17</v>
      </c>
      <c r="K29" s="372"/>
      <c r="L29" s="517" t="str">
        <f t="shared" si="11"/>
        <v>0x0011</v>
      </c>
      <c r="M29" s="517" t="str">
        <f t="shared" si="0"/>
        <v>0x0091</v>
      </c>
      <c r="N29" s="517" t="str">
        <f t="shared" si="1"/>
        <v>0x0111</v>
      </c>
      <c r="O29" s="517" t="str">
        <f t="shared" si="2"/>
        <v>0x0191</v>
      </c>
      <c r="P29" s="517" t="str">
        <f t="shared" si="3"/>
        <v>0x0211</v>
      </c>
      <c r="Q29" s="517" t="str">
        <f t="shared" si="4"/>
        <v>0x0291</v>
      </c>
      <c r="R29" s="517" t="str">
        <f t="shared" si="5"/>
        <v>0x0311</v>
      </c>
      <c r="S29" s="517" t="str">
        <f t="shared" si="6"/>
        <v>0x0391</v>
      </c>
      <c r="T29" s="517" t="str">
        <f t="shared" si="7"/>
        <v>0x0411</v>
      </c>
      <c r="U29" s="517" t="str">
        <f t="shared" si="8"/>
        <v>0x0491</v>
      </c>
      <c r="V29" s="517" t="str">
        <f t="shared" si="9"/>
        <v>0x0511</v>
      </c>
      <c r="W29" s="517" t="str">
        <f t="shared" si="10"/>
        <v>0x0591</v>
      </c>
    </row>
    <row r="30" spans="2:23" ht="13.9" customHeight="1" x14ac:dyDescent="0.25">
      <c r="G30" s="541"/>
      <c r="H30" s="542" t="s">
        <v>905</v>
      </c>
      <c r="I30" s="411"/>
      <c r="J30" s="371">
        <v>18</v>
      </c>
      <c r="K30" s="372"/>
      <c r="L30" s="517" t="str">
        <f t="shared" si="11"/>
        <v>0x0012</v>
      </c>
      <c r="M30" s="517" t="str">
        <f t="shared" si="0"/>
        <v>0x0092</v>
      </c>
      <c r="N30" s="517" t="str">
        <f t="shared" si="1"/>
        <v>0x0112</v>
      </c>
      <c r="O30" s="517" t="str">
        <f t="shared" si="2"/>
        <v>0x0192</v>
      </c>
      <c r="P30" s="517" t="str">
        <f t="shared" si="3"/>
        <v>0x0212</v>
      </c>
      <c r="Q30" s="517" t="str">
        <f t="shared" si="4"/>
        <v>0x0292</v>
      </c>
      <c r="R30" s="517" t="str">
        <f t="shared" si="5"/>
        <v>0x0312</v>
      </c>
      <c r="S30" s="517" t="str">
        <f t="shared" si="6"/>
        <v>0x0392</v>
      </c>
      <c r="T30" s="517" t="str">
        <f t="shared" si="7"/>
        <v>0x0412</v>
      </c>
      <c r="U30" s="517" t="str">
        <f t="shared" si="8"/>
        <v>0x0492</v>
      </c>
      <c r="V30" s="517" t="str">
        <f t="shared" si="9"/>
        <v>0x0512</v>
      </c>
      <c r="W30" s="517" t="str">
        <f t="shared" si="10"/>
        <v>0x0592</v>
      </c>
    </row>
    <row r="31" spans="2:23" ht="13.9" customHeight="1" thickBot="1" x14ac:dyDescent="0.3">
      <c r="G31" s="541"/>
      <c r="H31" s="542" t="s">
        <v>906</v>
      </c>
      <c r="I31" s="411"/>
      <c r="J31" s="371">
        <v>19</v>
      </c>
      <c r="K31" s="372"/>
      <c r="L31" s="517" t="str">
        <f t="shared" si="11"/>
        <v>0x0013</v>
      </c>
      <c r="M31" s="517" t="str">
        <f t="shared" si="0"/>
        <v>0x0093</v>
      </c>
      <c r="N31" s="517" t="str">
        <f t="shared" si="1"/>
        <v>0x0113</v>
      </c>
      <c r="O31" s="517" t="str">
        <f t="shared" si="2"/>
        <v>0x0193</v>
      </c>
      <c r="P31" s="517" t="str">
        <f t="shared" si="3"/>
        <v>0x0213</v>
      </c>
      <c r="Q31" s="517" t="str">
        <f t="shared" si="4"/>
        <v>0x0293</v>
      </c>
      <c r="R31" s="517" t="str">
        <f t="shared" si="5"/>
        <v>0x0313</v>
      </c>
      <c r="S31" s="517" t="str">
        <f t="shared" si="6"/>
        <v>0x0393</v>
      </c>
      <c r="T31" s="517" t="str">
        <f t="shared" si="7"/>
        <v>0x0413</v>
      </c>
      <c r="U31" s="517" t="str">
        <f t="shared" si="8"/>
        <v>0x0493</v>
      </c>
      <c r="V31" s="517" t="str">
        <f t="shared" si="9"/>
        <v>0x0513</v>
      </c>
      <c r="W31" s="517" t="str">
        <f t="shared" si="10"/>
        <v>0x0593</v>
      </c>
    </row>
    <row r="32" spans="2:23" ht="13.9" customHeight="1" thickBot="1" x14ac:dyDescent="0.3">
      <c r="B32" s="506" t="s">
        <v>878</v>
      </c>
      <c r="C32" s="507"/>
      <c r="D32" s="508" t="s">
        <v>879</v>
      </c>
      <c r="G32" s="541"/>
      <c r="H32" s="542" t="s">
        <v>907</v>
      </c>
      <c r="I32" s="411"/>
      <c r="J32" s="371">
        <v>20</v>
      </c>
      <c r="K32" s="372"/>
      <c r="L32" s="517" t="str">
        <f t="shared" si="11"/>
        <v>0x0014</v>
      </c>
      <c r="M32" s="517" t="str">
        <f t="shared" si="0"/>
        <v>0x0094</v>
      </c>
      <c r="N32" s="517" t="str">
        <f t="shared" si="1"/>
        <v>0x0114</v>
      </c>
      <c r="O32" s="517" t="str">
        <f t="shared" si="2"/>
        <v>0x0194</v>
      </c>
      <c r="P32" s="517" t="str">
        <f t="shared" si="3"/>
        <v>0x0214</v>
      </c>
      <c r="Q32" s="517" t="str">
        <f t="shared" si="4"/>
        <v>0x0294</v>
      </c>
      <c r="R32" s="517" t="str">
        <f t="shared" si="5"/>
        <v>0x0314</v>
      </c>
      <c r="S32" s="517" t="str">
        <f t="shared" si="6"/>
        <v>0x0394</v>
      </c>
      <c r="T32" s="517" t="str">
        <f t="shared" si="7"/>
        <v>0x0414</v>
      </c>
      <c r="U32" s="517" t="str">
        <f t="shared" si="8"/>
        <v>0x0494</v>
      </c>
      <c r="V32" s="517" t="str">
        <f t="shared" si="9"/>
        <v>0x0514</v>
      </c>
      <c r="W32" s="517" t="str">
        <f t="shared" si="10"/>
        <v>0x0594</v>
      </c>
    </row>
    <row r="33" spans="2:23" ht="13.9" customHeight="1" x14ac:dyDescent="0.25">
      <c r="B33" s="511" t="s">
        <v>880</v>
      </c>
      <c r="C33" s="512" t="s">
        <v>200</v>
      </c>
      <c r="D33" s="513"/>
      <c r="G33" s="541"/>
      <c r="H33" s="542" t="s">
        <v>908</v>
      </c>
      <c r="I33" s="411"/>
      <c r="J33" s="371">
        <v>21</v>
      </c>
      <c r="K33" s="372"/>
      <c r="L33" s="517" t="str">
        <f t="shared" si="11"/>
        <v>0x0015</v>
      </c>
      <c r="M33" s="517" t="str">
        <f t="shared" si="0"/>
        <v>0x0095</v>
      </c>
      <c r="N33" s="517" t="str">
        <f t="shared" si="1"/>
        <v>0x0115</v>
      </c>
      <c r="O33" s="517" t="str">
        <f t="shared" si="2"/>
        <v>0x0195</v>
      </c>
      <c r="P33" s="517" t="str">
        <f t="shared" si="3"/>
        <v>0x0215</v>
      </c>
      <c r="Q33" s="517" t="str">
        <f t="shared" si="4"/>
        <v>0x0295</v>
      </c>
      <c r="R33" s="517" t="str">
        <f t="shared" si="5"/>
        <v>0x0315</v>
      </c>
      <c r="S33" s="517" t="str">
        <f t="shared" si="6"/>
        <v>0x0395</v>
      </c>
      <c r="T33" s="517" t="str">
        <f t="shared" si="7"/>
        <v>0x0415</v>
      </c>
      <c r="U33" s="517" t="str">
        <f t="shared" si="8"/>
        <v>0x0495</v>
      </c>
      <c r="V33" s="517" t="str">
        <f t="shared" si="9"/>
        <v>0x0515</v>
      </c>
      <c r="W33" s="517" t="str">
        <f t="shared" si="10"/>
        <v>0x0595</v>
      </c>
    </row>
    <row r="34" spans="2:23" ht="13.9" customHeight="1" x14ac:dyDescent="0.25">
      <c r="B34" s="518" t="s">
        <v>882</v>
      </c>
      <c r="C34" s="519" t="s">
        <v>200</v>
      </c>
      <c r="D34" s="520"/>
      <c r="G34" s="541"/>
      <c r="H34" s="542" t="s">
        <v>909</v>
      </c>
      <c r="I34" s="411"/>
      <c r="J34" s="371">
        <v>22</v>
      </c>
      <c r="K34" s="372"/>
      <c r="L34" s="517" t="str">
        <f t="shared" si="11"/>
        <v>0x0016</v>
      </c>
      <c r="M34" s="517" t="str">
        <f t="shared" si="0"/>
        <v>0x0096</v>
      </c>
      <c r="N34" s="517" t="str">
        <f t="shared" si="1"/>
        <v>0x0116</v>
      </c>
      <c r="O34" s="517" t="str">
        <f t="shared" si="2"/>
        <v>0x0196</v>
      </c>
      <c r="P34" s="517" t="str">
        <f t="shared" si="3"/>
        <v>0x0216</v>
      </c>
      <c r="Q34" s="517" t="str">
        <f t="shared" si="4"/>
        <v>0x0296</v>
      </c>
      <c r="R34" s="517" t="str">
        <f t="shared" si="5"/>
        <v>0x0316</v>
      </c>
      <c r="S34" s="517" t="str">
        <f t="shared" si="6"/>
        <v>0x0396</v>
      </c>
      <c r="T34" s="517" t="str">
        <f t="shared" si="7"/>
        <v>0x0416</v>
      </c>
      <c r="U34" s="517" t="str">
        <f t="shared" si="8"/>
        <v>0x0496</v>
      </c>
      <c r="V34" s="517" t="str">
        <f t="shared" si="9"/>
        <v>0x0516</v>
      </c>
      <c r="W34" s="517" t="str">
        <f t="shared" si="10"/>
        <v>0x0596</v>
      </c>
    </row>
    <row r="35" spans="2:23" ht="13.9" customHeight="1" x14ac:dyDescent="0.25">
      <c r="B35" s="522" t="s">
        <v>884</v>
      </c>
      <c r="C35" s="523" t="s">
        <v>200</v>
      </c>
      <c r="D35" s="524"/>
      <c r="G35" s="541"/>
      <c r="H35" s="542" t="s">
        <v>910</v>
      </c>
      <c r="I35" s="411"/>
      <c r="J35" s="371">
        <v>23</v>
      </c>
      <c r="K35" s="372"/>
      <c r="L35" s="517" t="str">
        <f t="shared" si="11"/>
        <v>0x0017</v>
      </c>
      <c r="M35" s="517" t="str">
        <f t="shared" si="0"/>
        <v>0x0097</v>
      </c>
      <c r="N35" s="517" t="str">
        <f t="shared" si="1"/>
        <v>0x0117</v>
      </c>
      <c r="O35" s="517" t="str">
        <f t="shared" si="2"/>
        <v>0x0197</v>
      </c>
      <c r="P35" s="517" t="str">
        <f t="shared" si="3"/>
        <v>0x0217</v>
      </c>
      <c r="Q35" s="517" t="str">
        <f t="shared" si="4"/>
        <v>0x0297</v>
      </c>
      <c r="R35" s="517" t="str">
        <f t="shared" si="5"/>
        <v>0x0317</v>
      </c>
      <c r="S35" s="517" t="str">
        <f t="shared" si="6"/>
        <v>0x0397</v>
      </c>
      <c r="T35" s="517" t="str">
        <f t="shared" si="7"/>
        <v>0x0417</v>
      </c>
      <c r="U35" s="517" t="str">
        <f t="shared" si="8"/>
        <v>0x0497</v>
      </c>
      <c r="V35" s="517" t="str">
        <f t="shared" si="9"/>
        <v>0x0517</v>
      </c>
      <c r="W35" s="517" t="str">
        <f t="shared" si="10"/>
        <v>0x0597</v>
      </c>
    </row>
    <row r="36" spans="2:23" ht="13.9" customHeight="1" x14ac:dyDescent="0.25">
      <c r="B36" s="526" t="s">
        <v>886</v>
      </c>
      <c r="C36" s="527" t="s">
        <v>200</v>
      </c>
      <c r="D36" s="528"/>
      <c r="G36" s="541"/>
      <c r="H36" s="542" t="s">
        <v>911</v>
      </c>
      <c r="I36" s="411"/>
      <c r="J36" s="371">
        <v>24</v>
      </c>
      <c r="K36" s="372"/>
      <c r="L36" s="517" t="str">
        <f t="shared" si="11"/>
        <v>0x0018</v>
      </c>
      <c r="M36" s="517" t="str">
        <f t="shared" si="0"/>
        <v>0x0098</v>
      </c>
      <c r="N36" s="517" t="str">
        <f t="shared" si="1"/>
        <v>0x0118</v>
      </c>
      <c r="O36" s="517" t="str">
        <f t="shared" si="2"/>
        <v>0x0198</v>
      </c>
      <c r="P36" s="517" t="str">
        <f t="shared" si="3"/>
        <v>0x0218</v>
      </c>
      <c r="Q36" s="517" t="str">
        <f t="shared" si="4"/>
        <v>0x0298</v>
      </c>
      <c r="R36" s="517" t="str">
        <f t="shared" si="5"/>
        <v>0x0318</v>
      </c>
      <c r="S36" s="517" t="str">
        <f t="shared" si="6"/>
        <v>0x0398</v>
      </c>
      <c r="T36" s="517" t="str">
        <f t="shared" si="7"/>
        <v>0x0418</v>
      </c>
      <c r="U36" s="517" t="str">
        <f t="shared" si="8"/>
        <v>0x0498</v>
      </c>
      <c r="V36" s="517" t="str">
        <f t="shared" si="9"/>
        <v>0x0518</v>
      </c>
      <c r="W36" s="517" t="str">
        <f t="shared" si="10"/>
        <v>0x0598</v>
      </c>
    </row>
    <row r="37" spans="2:23" ht="13.9" customHeight="1" x14ac:dyDescent="0.25">
      <c r="B37" s="529" t="s">
        <v>888</v>
      </c>
      <c r="C37" s="530" t="s">
        <v>889</v>
      </c>
      <c r="D37" s="531"/>
      <c r="G37" s="541"/>
      <c r="H37" s="542" t="s">
        <v>912</v>
      </c>
      <c r="I37" s="411"/>
      <c r="J37" s="371">
        <v>25</v>
      </c>
      <c r="K37" s="372"/>
      <c r="L37" s="517" t="str">
        <f t="shared" si="11"/>
        <v>0x0019</v>
      </c>
      <c r="M37" s="517" t="str">
        <f t="shared" si="0"/>
        <v>0x0099</v>
      </c>
      <c r="N37" s="517" t="str">
        <f t="shared" si="1"/>
        <v>0x0119</v>
      </c>
      <c r="O37" s="517" t="str">
        <f t="shared" si="2"/>
        <v>0x0199</v>
      </c>
      <c r="P37" s="517" t="str">
        <f t="shared" si="3"/>
        <v>0x0219</v>
      </c>
      <c r="Q37" s="517" t="str">
        <f t="shared" si="4"/>
        <v>0x0299</v>
      </c>
      <c r="R37" s="517" t="str">
        <f t="shared" si="5"/>
        <v>0x0319</v>
      </c>
      <c r="S37" s="517" t="str">
        <f t="shared" si="6"/>
        <v>0x0399</v>
      </c>
      <c r="T37" s="517" t="str">
        <f t="shared" si="7"/>
        <v>0x0419</v>
      </c>
      <c r="U37" s="517" t="str">
        <f t="shared" si="8"/>
        <v>0x0499</v>
      </c>
      <c r="V37" s="517" t="str">
        <f t="shared" si="9"/>
        <v>0x0519</v>
      </c>
      <c r="W37" s="517" t="str">
        <f t="shared" si="10"/>
        <v>0x0599</v>
      </c>
    </row>
    <row r="38" spans="2:23" ht="13.9" customHeight="1" x14ac:dyDescent="0.25">
      <c r="B38" s="529" t="s">
        <v>888</v>
      </c>
      <c r="C38" s="530" t="s">
        <v>889</v>
      </c>
      <c r="D38" s="531"/>
      <c r="G38" s="541"/>
      <c r="H38" s="542" t="s">
        <v>913</v>
      </c>
      <c r="I38" s="411"/>
      <c r="J38" s="371">
        <v>26</v>
      </c>
      <c r="K38" s="372"/>
      <c r="L38" s="517" t="str">
        <f t="shared" si="11"/>
        <v>0x001A</v>
      </c>
      <c r="M38" s="517" t="str">
        <f t="shared" si="0"/>
        <v>0x009A</v>
      </c>
      <c r="N38" s="517" t="str">
        <f t="shared" si="1"/>
        <v>0x011A</v>
      </c>
      <c r="O38" s="517" t="str">
        <f t="shared" si="2"/>
        <v>0x019A</v>
      </c>
      <c r="P38" s="517" t="str">
        <f t="shared" si="3"/>
        <v>0x021A</v>
      </c>
      <c r="Q38" s="517" t="str">
        <f t="shared" si="4"/>
        <v>0x029A</v>
      </c>
      <c r="R38" s="517" t="str">
        <f t="shared" si="5"/>
        <v>0x031A</v>
      </c>
      <c r="S38" s="517" t="str">
        <f t="shared" si="6"/>
        <v>0x039A</v>
      </c>
      <c r="T38" s="517" t="str">
        <f t="shared" si="7"/>
        <v>0x041A</v>
      </c>
      <c r="U38" s="517" t="str">
        <f t="shared" si="8"/>
        <v>0x049A</v>
      </c>
      <c r="V38" s="517" t="str">
        <f t="shared" si="9"/>
        <v>0x051A</v>
      </c>
      <c r="W38" s="517" t="str">
        <f t="shared" si="10"/>
        <v>0x059A</v>
      </c>
    </row>
    <row r="39" spans="2:23" ht="13.9" customHeight="1" x14ac:dyDescent="0.25">
      <c r="B39" s="529" t="s">
        <v>888</v>
      </c>
      <c r="C39" s="530" t="s">
        <v>889</v>
      </c>
      <c r="D39" s="531"/>
      <c r="G39" s="541"/>
      <c r="H39" s="542" t="s">
        <v>914</v>
      </c>
      <c r="I39" s="411"/>
      <c r="J39" s="371">
        <v>27</v>
      </c>
      <c r="K39" s="372"/>
      <c r="L39" s="517" t="str">
        <f t="shared" si="11"/>
        <v>0x001B</v>
      </c>
      <c r="M39" s="517" t="str">
        <f t="shared" si="0"/>
        <v>0x009B</v>
      </c>
      <c r="N39" s="517" t="str">
        <f t="shared" si="1"/>
        <v>0x011B</v>
      </c>
      <c r="O39" s="517" t="str">
        <f t="shared" si="2"/>
        <v>0x019B</v>
      </c>
      <c r="P39" s="517" t="str">
        <f t="shared" si="3"/>
        <v>0x021B</v>
      </c>
      <c r="Q39" s="517" t="str">
        <f t="shared" si="4"/>
        <v>0x029B</v>
      </c>
      <c r="R39" s="517" t="str">
        <f t="shared" si="5"/>
        <v>0x031B</v>
      </c>
      <c r="S39" s="517" t="str">
        <f t="shared" si="6"/>
        <v>0x039B</v>
      </c>
      <c r="T39" s="517" t="str">
        <f t="shared" si="7"/>
        <v>0x041B</v>
      </c>
      <c r="U39" s="517" t="str">
        <f t="shared" si="8"/>
        <v>0x049B</v>
      </c>
      <c r="V39" s="517" t="str">
        <f t="shared" si="9"/>
        <v>0x051B</v>
      </c>
      <c r="W39" s="517" t="str">
        <f t="shared" si="10"/>
        <v>0x059B</v>
      </c>
    </row>
    <row r="40" spans="2:23" ht="13.9" customHeight="1" x14ac:dyDescent="0.25">
      <c r="B40" s="529" t="s">
        <v>888</v>
      </c>
      <c r="C40" s="530" t="s">
        <v>889</v>
      </c>
      <c r="D40" s="531"/>
      <c r="G40" s="541"/>
      <c r="H40" s="542" t="s">
        <v>915</v>
      </c>
      <c r="I40" s="411"/>
      <c r="J40" s="371">
        <v>28</v>
      </c>
      <c r="K40" s="372"/>
      <c r="L40" s="517" t="str">
        <f t="shared" si="11"/>
        <v>0x001C</v>
      </c>
      <c r="M40" s="517" t="str">
        <f t="shared" si="0"/>
        <v>0x009C</v>
      </c>
      <c r="N40" s="517" t="str">
        <f t="shared" si="1"/>
        <v>0x011C</v>
      </c>
      <c r="O40" s="517" t="str">
        <f t="shared" si="2"/>
        <v>0x019C</v>
      </c>
      <c r="P40" s="517" t="str">
        <f t="shared" si="3"/>
        <v>0x021C</v>
      </c>
      <c r="Q40" s="517" t="str">
        <f t="shared" si="4"/>
        <v>0x029C</v>
      </c>
      <c r="R40" s="517" t="str">
        <f t="shared" si="5"/>
        <v>0x031C</v>
      </c>
      <c r="S40" s="517" t="str">
        <f t="shared" si="6"/>
        <v>0x039C</v>
      </c>
      <c r="T40" s="517" t="str">
        <f t="shared" si="7"/>
        <v>0x041C</v>
      </c>
      <c r="U40" s="517" t="str">
        <f t="shared" si="8"/>
        <v>0x049C</v>
      </c>
      <c r="V40" s="517" t="str">
        <f t="shared" si="9"/>
        <v>0x051C</v>
      </c>
      <c r="W40" s="517" t="str">
        <f t="shared" si="10"/>
        <v>0x059C</v>
      </c>
    </row>
    <row r="41" spans="2:23" ht="13.9" customHeight="1" x14ac:dyDescent="0.25">
      <c r="B41" s="529" t="s">
        <v>888</v>
      </c>
      <c r="C41" s="530" t="s">
        <v>889</v>
      </c>
      <c r="D41" s="543"/>
      <c r="G41" s="541"/>
      <c r="H41" s="542" t="s">
        <v>916</v>
      </c>
      <c r="I41" s="411"/>
      <c r="J41" s="371">
        <v>29</v>
      </c>
      <c r="K41" s="372"/>
      <c r="L41" s="517" t="str">
        <f t="shared" si="11"/>
        <v>0x001D</v>
      </c>
      <c r="M41" s="517" t="str">
        <f t="shared" si="0"/>
        <v>0x009D</v>
      </c>
      <c r="N41" s="517" t="str">
        <f t="shared" si="1"/>
        <v>0x011D</v>
      </c>
      <c r="O41" s="517" t="str">
        <f t="shared" si="2"/>
        <v>0x019D</v>
      </c>
      <c r="P41" s="517" t="str">
        <f t="shared" si="3"/>
        <v>0x021D</v>
      </c>
      <c r="Q41" s="517" t="str">
        <f t="shared" si="4"/>
        <v>0x029D</v>
      </c>
      <c r="R41" s="517" t="str">
        <f t="shared" si="5"/>
        <v>0x031D</v>
      </c>
      <c r="S41" s="517" t="str">
        <f t="shared" si="6"/>
        <v>0x039D</v>
      </c>
      <c r="T41" s="517" t="str">
        <f t="shared" si="7"/>
        <v>0x041D</v>
      </c>
      <c r="U41" s="517" t="str">
        <f t="shared" si="8"/>
        <v>0x049D</v>
      </c>
      <c r="V41" s="517" t="str">
        <f t="shared" si="9"/>
        <v>0x051D</v>
      </c>
      <c r="W41" s="517" t="str">
        <f t="shared" si="10"/>
        <v>0x059D</v>
      </c>
    </row>
    <row r="42" spans="2:23" ht="13.9" customHeight="1" x14ac:dyDescent="0.25">
      <c r="B42" s="529" t="s">
        <v>888</v>
      </c>
      <c r="C42" s="530" t="s">
        <v>889</v>
      </c>
      <c r="D42" s="531"/>
      <c r="G42" s="541"/>
      <c r="H42" s="542" t="s">
        <v>917</v>
      </c>
      <c r="I42" s="411"/>
      <c r="J42" s="371">
        <v>30</v>
      </c>
      <c r="K42" s="372"/>
      <c r="L42" s="517" t="str">
        <f t="shared" si="11"/>
        <v>0x001E</v>
      </c>
      <c r="M42" s="517" t="str">
        <f t="shared" si="0"/>
        <v>0x009E</v>
      </c>
      <c r="N42" s="517" t="str">
        <f t="shared" si="1"/>
        <v>0x011E</v>
      </c>
      <c r="O42" s="517" t="str">
        <f t="shared" si="2"/>
        <v>0x019E</v>
      </c>
      <c r="P42" s="517" t="str">
        <f t="shared" si="3"/>
        <v>0x021E</v>
      </c>
      <c r="Q42" s="517" t="str">
        <f t="shared" si="4"/>
        <v>0x029E</v>
      </c>
      <c r="R42" s="517" t="str">
        <f t="shared" si="5"/>
        <v>0x031E</v>
      </c>
      <c r="S42" s="517" t="str">
        <f t="shared" si="6"/>
        <v>0x039E</v>
      </c>
      <c r="T42" s="517" t="str">
        <f t="shared" si="7"/>
        <v>0x041E</v>
      </c>
      <c r="U42" s="517" t="str">
        <f t="shared" si="8"/>
        <v>0x049E</v>
      </c>
      <c r="V42" s="517" t="str">
        <f t="shared" si="9"/>
        <v>0x051E</v>
      </c>
      <c r="W42" s="517" t="str">
        <f t="shared" si="10"/>
        <v>0x059E</v>
      </c>
    </row>
    <row r="43" spans="2:23" ht="13.9" customHeight="1" thickBot="1" x14ac:dyDescent="0.3">
      <c r="B43" s="529" t="s">
        <v>888</v>
      </c>
      <c r="C43" s="530" t="s">
        <v>889</v>
      </c>
      <c r="D43" s="531"/>
      <c r="G43" s="541"/>
      <c r="H43" s="544" t="s">
        <v>918</v>
      </c>
      <c r="I43" s="414"/>
      <c r="J43" s="384">
        <v>31</v>
      </c>
      <c r="K43" s="385"/>
      <c r="L43" s="537" t="str">
        <f t="shared" si="11"/>
        <v>0x001F</v>
      </c>
      <c r="M43" s="537" t="str">
        <f t="shared" si="0"/>
        <v>0x009F</v>
      </c>
      <c r="N43" s="537" t="str">
        <f t="shared" si="1"/>
        <v>0x011F</v>
      </c>
      <c r="O43" s="537" t="str">
        <f t="shared" si="2"/>
        <v>0x019F</v>
      </c>
      <c r="P43" s="537" t="str">
        <f t="shared" si="3"/>
        <v>0x021F</v>
      </c>
      <c r="Q43" s="537" t="str">
        <f t="shared" si="4"/>
        <v>0x029F</v>
      </c>
      <c r="R43" s="537" t="str">
        <f t="shared" si="5"/>
        <v>0x031F</v>
      </c>
      <c r="S43" s="537" t="str">
        <f t="shared" si="6"/>
        <v>0x039F</v>
      </c>
      <c r="T43" s="537" t="str">
        <f t="shared" si="7"/>
        <v>0x041F</v>
      </c>
      <c r="U43" s="537" t="str">
        <f t="shared" si="8"/>
        <v>0x049F</v>
      </c>
      <c r="V43" s="537" t="str">
        <f t="shared" si="9"/>
        <v>0x051F</v>
      </c>
      <c r="W43" s="537" t="str">
        <f t="shared" si="10"/>
        <v>0x059F</v>
      </c>
    </row>
    <row r="44" spans="2:23" ht="14.25" customHeight="1" thickTop="1" x14ac:dyDescent="0.25">
      <c r="B44" s="529" t="s">
        <v>888</v>
      </c>
      <c r="C44" s="530" t="s">
        <v>889</v>
      </c>
      <c r="D44" s="531"/>
      <c r="G44" s="541"/>
      <c r="H44" s="539" t="s">
        <v>919</v>
      </c>
      <c r="I44" s="408"/>
      <c r="J44" s="394">
        <v>32</v>
      </c>
      <c r="K44" s="395">
        <v>3</v>
      </c>
      <c r="L44" s="540" t="str">
        <f t="shared" si="11"/>
        <v>0x0020</v>
      </c>
      <c r="M44" s="540" t="str">
        <f t="shared" si="0"/>
        <v>0x00A0</v>
      </c>
      <c r="N44" s="540" t="str">
        <f t="shared" si="1"/>
        <v>0x0120</v>
      </c>
      <c r="O44" s="540" t="str">
        <f t="shared" si="2"/>
        <v>0x01A0</v>
      </c>
      <c r="P44" s="540" t="str">
        <f t="shared" si="3"/>
        <v>0x0220</v>
      </c>
      <c r="Q44" s="540" t="str">
        <f t="shared" si="4"/>
        <v>0x02A0</v>
      </c>
      <c r="R44" s="540" t="str">
        <f t="shared" si="5"/>
        <v>0x0320</v>
      </c>
      <c r="S44" s="540" t="str">
        <f t="shared" si="6"/>
        <v>0x03A0</v>
      </c>
      <c r="T44" s="540" t="str">
        <f t="shared" si="7"/>
        <v>0x0420</v>
      </c>
      <c r="U44" s="540" t="str">
        <f t="shared" si="8"/>
        <v>0x04A0</v>
      </c>
      <c r="V44" s="540" t="str">
        <f t="shared" si="9"/>
        <v>0x0520</v>
      </c>
      <c r="W44" s="540" t="str">
        <f t="shared" si="10"/>
        <v>0x05A0</v>
      </c>
    </row>
    <row r="45" spans="2:23" ht="13.9" customHeight="1" x14ac:dyDescent="0.25">
      <c r="B45" s="529" t="s">
        <v>888</v>
      </c>
      <c r="C45" s="530" t="s">
        <v>889</v>
      </c>
      <c r="D45" s="531"/>
      <c r="G45" s="541"/>
      <c r="H45" s="542" t="s">
        <v>920</v>
      </c>
      <c r="I45" s="411"/>
      <c r="J45" s="371">
        <v>33</v>
      </c>
      <c r="K45" s="372"/>
      <c r="L45" s="517" t="str">
        <f t="shared" si="11"/>
        <v>0x0021</v>
      </c>
      <c r="M45" s="517" t="str">
        <f t="shared" si="0"/>
        <v>0x00A1</v>
      </c>
      <c r="N45" s="517" t="str">
        <f t="shared" si="1"/>
        <v>0x0121</v>
      </c>
      <c r="O45" s="517" t="str">
        <f t="shared" si="2"/>
        <v>0x01A1</v>
      </c>
      <c r="P45" s="517" t="str">
        <f t="shared" si="3"/>
        <v>0x0221</v>
      </c>
      <c r="Q45" s="517" t="str">
        <f t="shared" si="4"/>
        <v>0x02A1</v>
      </c>
      <c r="R45" s="517" t="str">
        <f t="shared" si="5"/>
        <v>0x0321</v>
      </c>
      <c r="S45" s="517" t="str">
        <f t="shared" si="6"/>
        <v>0x03A1</v>
      </c>
      <c r="T45" s="517" t="str">
        <f t="shared" si="7"/>
        <v>0x0421</v>
      </c>
      <c r="U45" s="517" t="str">
        <f t="shared" si="8"/>
        <v>0x04A1</v>
      </c>
      <c r="V45" s="517" t="str">
        <f t="shared" si="9"/>
        <v>0x0521</v>
      </c>
      <c r="W45" s="517" t="str">
        <f t="shared" si="10"/>
        <v>0x05A1</v>
      </c>
    </row>
    <row r="46" spans="2:23" ht="13.9" customHeight="1" x14ac:dyDescent="0.25">
      <c r="B46" s="529" t="s">
        <v>888</v>
      </c>
      <c r="C46" s="530" t="s">
        <v>889</v>
      </c>
      <c r="D46" s="531"/>
      <c r="G46" s="541"/>
      <c r="H46" s="542" t="s">
        <v>921</v>
      </c>
      <c r="I46" s="411"/>
      <c r="J46" s="371">
        <v>34</v>
      </c>
      <c r="K46" s="372"/>
      <c r="L46" s="517" t="str">
        <f t="shared" si="11"/>
        <v>0x0022</v>
      </c>
      <c r="M46" s="517" t="str">
        <f t="shared" si="0"/>
        <v>0x00A2</v>
      </c>
      <c r="N46" s="517" t="str">
        <f t="shared" si="1"/>
        <v>0x0122</v>
      </c>
      <c r="O46" s="517" t="str">
        <f t="shared" si="2"/>
        <v>0x01A2</v>
      </c>
      <c r="P46" s="517" t="str">
        <f t="shared" si="3"/>
        <v>0x0222</v>
      </c>
      <c r="Q46" s="517" t="str">
        <f t="shared" si="4"/>
        <v>0x02A2</v>
      </c>
      <c r="R46" s="517" t="str">
        <f t="shared" si="5"/>
        <v>0x0322</v>
      </c>
      <c r="S46" s="517" t="str">
        <f t="shared" si="6"/>
        <v>0x03A2</v>
      </c>
      <c r="T46" s="517" t="str">
        <f t="shared" si="7"/>
        <v>0x0422</v>
      </c>
      <c r="U46" s="517" t="str">
        <f t="shared" si="8"/>
        <v>0x04A2</v>
      </c>
      <c r="V46" s="517" t="str">
        <f t="shared" si="9"/>
        <v>0x0522</v>
      </c>
      <c r="W46" s="517" t="str">
        <f t="shared" si="10"/>
        <v>0x05A2</v>
      </c>
    </row>
    <row r="47" spans="2:23" ht="13.9" customHeight="1" x14ac:dyDescent="0.25">
      <c r="B47" s="529" t="s">
        <v>888</v>
      </c>
      <c r="C47" s="530" t="s">
        <v>889</v>
      </c>
      <c r="D47" s="531"/>
      <c r="G47" s="541"/>
      <c r="H47" s="542" t="s">
        <v>922</v>
      </c>
      <c r="I47" s="411"/>
      <c r="J47" s="371">
        <v>35</v>
      </c>
      <c r="K47" s="372"/>
      <c r="L47" s="517" t="str">
        <f t="shared" si="11"/>
        <v>0x0023</v>
      </c>
      <c r="M47" s="517" t="str">
        <f t="shared" si="0"/>
        <v>0x00A3</v>
      </c>
      <c r="N47" s="517" t="str">
        <f t="shared" si="1"/>
        <v>0x0123</v>
      </c>
      <c r="O47" s="517" t="str">
        <f t="shared" si="2"/>
        <v>0x01A3</v>
      </c>
      <c r="P47" s="517" t="str">
        <f t="shared" si="3"/>
        <v>0x0223</v>
      </c>
      <c r="Q47" s="517" t="str">
        <f t="shared" si="4"/>
        <v>0x02A3</v>
      </c>
      <c r="R47" s="517" t="str">
        <f t="shared" si="5"/>
        <v>0x0323</v>
      </c>
      <c r="S47" s="517" t="str">
        <f t="shared" si="6"/>
        <v>0x03A3</v>
      </c>
      <c r="T47" s="517" t="str">
        <f t="shared" si="7"/>
        <v>0x0423</v>
      </c>
      <c r="U47" s="517" t="str">
        <f t="shared" si="8"/>
        <v>0x04A3</v>
      </c>
      <c r="V47" s="517" t="str">
        <f t="shared" si="9"/>
        <v>0x0523</v>
      </c>
      <c r="W47" s="517" t="str">
        <f t="shared" si="10"/>
        <v>0x05A3</v>
      </c>
    </row>
    <row r="48" spans="2:23" ht="13.9" customHeight="1" thickBot="1" x14ac:dyDescent="0.3">
      <c r="B48" s="533" t="s">
        <v>888</v>
      </c>
      <c r="C48" s="534" t="s">
        <v>889</v>
      </c>
      <c r="D48" s="535"/>
      <c r="G48" s="541"/>
      <c r="H48" s="542" t="s">
        <v>923</v>
      </c>
      <c r="I48" s="411"/>
      <c r="J48" s="371">
        <v>36</v>
      </c>
      <c r="K48" s="372"/>
      <c r="L48" s="517" t="str">
        <f t="shared" si="11"/>
        <v>0x0024</v>
      </c>
      <c r="M48" s="517" t="str">
        <f t="shared" si="0"/>
        <v>0x00A4</v>
      </c>
      <c r="N48" s="517" t="str">
        <f t="shared" si="1"/>
        <v>0x0124</v>
      </c>
      <c r="O48" s="517" t="str">
        <f t="shared" si="2"/>
        <v>0x01A4</v>
      </c>
      <c r="P48" s="517" t="str">
        <f t="shared" si="3"/>
        <v>0x0224</v>
      </c>
      <c r="Q48" s="517" t="str">
        <f t="shared" si="4"/>
        <v>0x02A4</v>
      </c>
      <c r="R48" s="517" t="str">
        <f t="shared" si="5"/>
        <v>0x0324</v>
      </c>
      <c r="S48" s="517" t="str">
        <f t="shared" si="6"/>
        <v>0x03A4</v>
      </c>
      <c r="T48" s="517" t="str">
        <f t="shared" si="7"/>
        <v>0x0424</v>
      </c>
      <c r="U48" s="517" t="str">
        <f t="shared" si="8"/>
        <v>0x04A4</v>
      </c>
      <c r="V48" s="517" t="str">
        <f t="shared" si="9"/>
        <v>0x0524</v>
      </c>
      <c r="W48" s="517" t="str">
        <f t="shared" si="10"/>
        <v>0x05A4</v>
      </c>
    </row>
    <row r="49" spans="2:23" ht="13.9" customHeight="1" x14ac:dyDescent="0.25">
      <c r="G49" s="541"/>
      <c r="H49" s="542" t="s">
        <v>924</v>
      </c>
      <c r="I49" s="411"/>
      <c r="J49" s="371">
        <v>37</v>
      </c>
      <c r="K49" s="372"/>
      <c r="L49" s="517" t="str">
        <f t="shared" si="11"/>
        <v>0x0025</v>
      </c>
      <c r="M49" s="517" t="str">
        <f t="shared" si="0"/>
        <v>0x00A5</v>
      </c>
      <c r="N49" s="517" t="str">
        <f t="shared" si="1"/>
        <v>0x0125</v>
      </c>
      <c r="O49" s="517" t="str">
        <f t="shared" si="2"/>
        <v>0x01A5</v>
      </c>
      <c r="P49" s="517" t="str">
        <f t="shared" si="3"/>
        <v>0x0225</v>
      </c>
      <c r="Q49" s="517" t="str">
        <f t="shared" si="4"/>
        <v>0x02A5</v>
      </c>
      <c r="R49" s="517" t="str">
        <f t="shared" si="5"/>
        <v>0x0325</v>
      </c>
      <c r="S49" s="517" t="str">
        <f t="shared" si="6"/>
        <v>0x03A5</v>
      </c>
      <c r="T49" s="517" t="str">
        <f t="shared" si="7"/>
        <v>0x0425</v>
      </c>
      <c r="U49" s="517" t="str">
        <f t="shared" si="8"/>
        <v>0x04A5</v>
      </c>
      <c r="V49" s="517" t="str">
        <f t="shared" si="9"/>
        <v>0x0525</v>
      </c>
      <c r="W49" s="517" t="str">
        <f t="shared" si="10"/>
        <v>0x05A5</v>
      </c>
    </row>
    <row r="50" spans="2:23" ht="13.9" customHeight="1" x14ac:dyDescent="0.25">
      <c r="G50" s="541"/>
      <c r="H50" s="542" t="s">
        <v>925</v>
      </c>
      <c r="I50" s="411"/>
      <c r="J50" s="371">
        <v>38</v>
      </c>
      <c r="K50" s="372"/>
      <c r="L50" s="517" t="str">
        <f t="shared" si="11"/>
        <v>0x0026</v>
      </c>
      <c r="M50" s="517" t="str">
        <f t="shared" si="0"/>
        <v>0x00A6</v>
      </c>
      <c r="N50" s="517" t="str">
        <f t="shared" si="1"/>
        <v>0x0126</v>
      </c>
      <c r="O50" s="517" t="str">
        <f t="shared" si="2"/>
        <v>0x01A6</v>
      </c>
      <c r="P50" s="517" t="str">
        <f t="shared" si="3"/>
        <v>0x0226</v>
      </c>
      <c r="Q50" s="517" t="str">
        <f t="shared" si="4"/>
        <v>0x02A6</v>
      </c>
      <c r="R50" s="517" t="str">
        <f t="shared" si="5"/>
        <v>0x0326</v>
      </c>
      <c r="S50" s="517" t="str">
        <f t="shared" si="6"/>
        <v>0x03A6</v>
      </c>
      <c r="T50" s="517" t="str">
        <f t="shared" si="7"/>
        <v>0x0426</v>
      </c>
      <c r="U50" s="517" t="str">
        <f t="shared" si="8"/>
        <v>0x04A6</v>
      </c>
      <c r="V50" s="517" t="str">
        <f t="shared" si="9"/>
        <v>0x0526</v>
      </c>
      <c r="W50" s="517" t="str">
        <f t="shared" si="10"/>
        <v>0x05A6</v>
      </c>
    </row>
    <row r="51" spans="2:23" ht="13.9" customHeight="1" x14ac:dyDescent="0.25">
      <c r="G51" s="541"/>
      <c r="H51" s="542" t="s">
        <v>926</v>
      </c>
      <c r="I51" s="411"/>
      <c r="J51" s="371">
        <v>39</v>
      </c>
      <c r="K51" s="372"/>
      <c r="L51" s="517" t="str">
        <f t="shared" si="11"/>
        <v>0x0027</v>
      </c>
      <c r="M51" s="517" t="str">
        <f t="shared" si="0"/>
        <v>0x00A7</v>
      </c>
      <c r="N51" s="517" t="str">
        <f t="shared" si="1"/>
        <v>0x0127</v>
      </c>
      <c r="O51" s="517" t="str">
        <f t="shared" si="2"/>
        <v>0x01A7</v>
      </c>
      <c r="P51" s="517" t="str">
        <f t="shared" si="3"/>
        <v>0x0227</v>
      </c>
      <c r="Q51" s="517" t="str">
        <f t="shared" si="4"/>
        <v>0x02A7</v>
      </c>
      <c r="R51" s="517" t="str">
        <f t="shared" si="5"/>
        <v>0x0327</v>
      </c>
      <c r="S51" s="517" t="str">
        <f t="shared" si="6"/>
        <v>0x03A7</v>
      </c>
      <c r="T51" s="517" t="str">
        <f t="shared" si="7"/>
        <v>0x0427</v>
      </c>
      <c r="U51" s="517" t="str">
        <f t="shared" si="8"/>
        <v>0x04A7</v>
      </c>
      <c r="V51" s="517" t="str">
        <f t="shared" si="9"/>
        <v>0x0527</v>
      </c>
      <c r="W51" s="517" t="str">
        <f t="shared" si="10"/>
        <v>0x05A7</v>
      </c>
    </row>
    <row r="52" spans="2:23" ht="13.9" customHeight="1" x14ac:dyDescent="0.25">
      <c r="G52" s="541"/>
      <c r="H52" s="542" t="s">
        <v>927</v>
      </c>
      <c r="I52" s="411"/>
      <c r="J52" s="371">
        <v>40</v>
      </c>
      <c r="K52" s="372"/>
      <c r="L52" s="517" t="str">
        <f t="shared" si="11"/>
        <v>0x0028</v>
      </c>
      <c r="M52" s="517" t="str">
        <f t="shared" si="0"/>
        <v>0x00A8</v>
      </c>
      <c r="N52" s="517" t="str">
        <f t="shared" si="1"/>
        <v>0x0128</v>
      </c>
      <c r="O52" s="517" t="str">
        <f t="shared" si="2"/>
        <v>0x01A8</v>
      </c>
      <c r="P52" s="517" t="str">
        <f t="shared" si="3"/>
        <v>0x0228</v>
      </c>
      <c r="Q52" s="517" t="str">
        <f t="shared" si="4"/>
        <v>0x02A8</v>
      </c>
      <c r="R52" s="517" t="str">
        <f t="shared" si="5"/>
        <v>0x0328</v>
      </c>
      <c r="S52" s="517" t="str">
        <f t="shared" si="6"/>
        <v>0x03A8</v>
      </c>
      <c r="T52" s="517" t="str">
        <f t="shared" si="7"/>
        <v>0x0428</v>
      </c>
      <c r="U52" s="517" t="str">
        <f t="shared" si="8"/>
        <v>0x04A8</v>
      </c>
      <c r="V52" s="517" t="str">
        <f t="shared" si="9"/>
        <v>0x0528</v>
      </c>
      <c r="W52" s="517" t="str">
        <f t="shared" si="10"/>
        <v>0x05A8</v>
      </c>
    </row>
    <row r="53" spans="2:23" ht="13.9" customHeight="1" x14ac:dyDescent="0.25">
      <c r="G53" s="541"/>
      <c r="H53" s="542" t="s">
        <v>928</v>
      </c>
      <c r="I53" s="411"/>
      <c r="J53" s="371">
        <v>41</v>
      </c>
      <c r="K53" s="372"/>
      <c r="L53" s="517" t="str">
        <f t="shared" si="11"/>
        <v>0x0029</v>
      </c>
      <c r="M53" s="517" t="str">
        <f t="shared" si="0"/>
        <v>0x00A9</v>
      </c>
      <c r="N53" s="517" t="str">
        <f t="shared" si="1"/>
        <v>0x0129</v>
      </c>
      <c r="O53" s="517" t="str">
        <f t="shared" si="2"/>
        <v>0x01A9</v>
      </c>
      <c r="P53" s="517" t="str">
        <f t="shared" si="3"/>
        <v>0x0229</v>
      </c>
      <c r="Q53" s="517" t="str">
        <f t="shared" si="4"/>
        <v>0x02A9</v>
      </c>
      <c r="R53" s="517" t="str">
        <f t="shared" si="5"/>
        <v>0x0329</v>
      </c>
      <c r="S53" s="517" t="str">
        <f t="shared" si="6"/>
        <v>0x03A9</v>
      </c>
      <c r="T53" s="517" t="str">
        <f t="shared" si="7"/>
        <v>0x0429</v>
      </c>
      <c r="U53" s="517" t="str">
        <f t="shared" si="8"/>
        <v>0x04A9</v>
      </c>
      <c r="V53" s="517" t="str">
        <f t="shared" si="9"/>
        <v>0x0529</v>
      </c>
      <c r="W53" s="517" t="str">
        <f t="shared" si="10"/>
        <v>0x05A9</v>
      </c>
    </row>
    <row r="54" spans="2:23" ht="13.9" customHeight="1" x14ac:dyDescent="0.25">
      <c r="G54" s="541"/>
      <c r="H54" s="542" t="s">
        <v>929</v>
      </c>
      <c r="I54" s="411"/>
      <c r="J54" s="371">
        <v>42</v>
      </c>
      <c r="K54" s="372"/>
      <c r="L54" s="517" t="str">
        <f t="shared" si="11"/>
        <v>0x002A</v>
      </c>
      <c r="M54" s="517" t="str">
        <f t="shared" si="0"/>
        <v>0x00AA</v>
      </c>
      <c r="N54" s="517" t="str">
        <f t="shared" si="1"/>
        <v>0x012A</v>
      </c>
      <c r="O54" s="517" t="str">
        <f t="shared" si="2"/>
        <v>0x01AA</v>
      </c>
      <c r="P54" s="517" t="str">
        <f t="shared" si="3"/>
        <v>0x022A</v>
      </c>
      <c r="Q54" s="517" t="str">
        <f t="shared" si="4"/>
        <v>0x02AA</v>
      </c>
      <c r="R54" s="517" t="str">
        <f t="shared" si="5"/>
        <v>0x032A</v>
      </c>
      <c r="S54" s="517" t="str">
        <f t="shared" si="6"/>
        <v>0x03AA</v>
      </c>
      <c r="T54" s="517" t="str">
        <f t="shared" si="7"/>
        <v>0x042A</v>
      </c>
      <c r="U54" s="517" t="str">
        <f t="shared" si="8"/>
        <v>0x04AA</v>
      </c>
      <c r="V54" s="517" t="str">
        <f t="shared" si="9"/>
        <v>0x052A</v>
      </c>
      <c r="W54" s="517" t="str">
        <f t="shared" si="10"/>
        <v>0x05AA</v>
      </c>
    </row>
    <row r="55" spans="2:23" ht="13.9" customHeight="1" thickBot="1" x14ac:dyDescent="0.3">
      <c r="G55" s="541"/>
      <c r="H55" s="542" t="s">
        <v>930</v>
      </c>
      <c r="I55" s="411"/>
      <c r="J55" s="371">
        <v>43</v>
      </c>
      <c r="K55" s="372"/>
      <c r="L55" s="517" t="str">
        <f t="shared" si="11"/>
        <v>0x002B</v>
      </c>
      <c r="M55" s="517" t="str">
        <f t="shared" si="0"/>
        <v>0x00AB</v>
      </c>
      <c r="N55" s="517" t="str">
        <f t="shared" si="1"/>
        <v>0x012B</v>
      </c>
      <c r="O55" s="517" t="str">
        <f t="shared" si="2"/>
        <v>0x01AB</v>
      </c>
      <c r="P55" s="517" t="str">
        <f t="shared" si="3"/>
        <v>0x022B</v>
      </c>
      <c r="Q55" s="517" t="str">
        <f t="shared" si="4"/>
        <v>0x02AB</v>
      </c>
      <c r="R55" s="517" t="str">
        <f t="shared" si="5"/>
        <v>0x032B</v>
      </c>
      <c r="S55" s="517" t="str">
        <f t="shared" si="6"/>
        <v>0x03AB</v>
      </c>
      <c r="T55" s="517" t="str">
        <f t="shared" si="7"/>
        <v>0x042B</v>
      </c>
      <c r="U55" s="517" t="str">
        <f t="shared" si="8"/>
        <v>0x04AB</v>
      </c>
      <c r="V55" s="517" t="str">
        <f t="shared" si="9"/>
        <v>0x052B</v>
      </c>
      <c r="W55" s="517" t="str">
        <f t="shared" si="10"/>
        <v>0x05AB</v>
      </c>
    </row>
    <row r="56" spans="2:23" ht="13.9" customHeight="1" thickBot="1" x14ac:dyDescent="0.3">
      <c r="B56" s="506" t="s">
        <v>878</v>
      </c>
      <c r="C56" s="507"/>
      <c r="D56" s="508" t="s">
        <v>879</v>
      </c>
      <c r="G56" s="541"/>
      <c r="H56" s="542" t="s">
        <v>931</v>
      </c>
      <c r="I56" s="411"/>
      <c r="J56" s="371">
        <v>44</v>
      </c>
      <c r="K56" s="372"/>
      <c r="L56" s="517" t="str">
        <f t="shared" si="11"/>
        <v>0x002C</v>
      </c>
      <c r="M56" s="517" t="str">
        <f t="shared" si="0"/>
        <v>0x00AC</v>
      </c>
      <c r="N56" s="517" t="str">
        <f t="shared" si="1"/>
        <v>0x012C</v>
      </c>
      <c r="O56" s="517" t="str">
        <f t="shared" si="2"/>
        <v>0x01AC</v>
      </c>
      <c r="P56" s="517" t="str">
        <f t="shared" si="3"/>
        <v>0x022C</v>
      </c>
      <c r="Q56" s="517" t="str">
        <f t="shared" si="4"/>
        <v>0x02AC</v>
      </c>
      <c r="R56" s="517" t="str">
        <f t="shared" si="5"/>
        <v>0x032C</v>
      </c>
      <c r="S56" s="517" t="str">
        <f t="shared" si="6"/>
        <v>0x03AC</v>
      </c>
      <c r="T56" s="517" t="str">
        <f t="shared" si="7"/>
        <v>0x042C</v>
      </c>
      <c r="U56" s="517" t="str">
        <f t="shared" si="8"/>
        <v>0x04AC</v>
      </c>
      <c r="V56" s="517" t="str">
        <f t="shared" si="9"/>
        <v>0x052C</v>
      </c>
      <c r="W56" s="517" t="str">
        <f t="shared" si="10"/>
        <v>0x05AC</v>
      </c>
    </row>
    <row r="57" spans="2:23" ht="13.9" customHeight="1" x14ac:dyDescent="0.25">
      <c r="B57" s="511" t="s">
        <v>932</v>
      </c>
      <c r="C57" s="512" t="s">
        <v>200</v>
      </c>
      <c r="D57" s="513"/>
      <c r="G57" s="541"/>
      <c r="H57" s="542" t="s">
        <v>933</v>
      </c>
      <c r="I57" s="411"/>
      <c r="J57" s="371">
        <v>45</v>
      </c>
      <c r="K57" s="372"/>
      <c r="L57" s="517" t="str">
        <f t="shared" si="11"/>
        <v>0x002D</v>
      </c>
      <c r="M57" s="517" t="str">
        <f t="shared" si="0"/>
        <v>0x00AD</v>
      </c>
      <c r="N57" s="517" t="str">
        <f t="shared" si="1"/>
        <v>0x012D</v>
      </c>
      <c r="O57" s="517" t="str">
        <f t="shared" si="2"/>
        <v>0x01AD</v>
      </c>
      <c r="P57" s="517" t="str">
        <f t="shared" si="3"/>
        <v>0x022D</v>
      </c>
      <c r="Q57" s="517" t="str">
        <f t="shared" si="4"/>
        <v>0x02AD</v>
      </c>
      <c r="R57" s="517" t="str">
        <f t="shared" si="5"/>
        <v>0x032D</v>
      </c>
      <c r="S57" s="517" t="str">
        <f t="shared" si="6"/>
        <v>0x03AD</v>
      </c>
      <c r="T57" s="517" t="str">
        <f t="shared" si="7"/>
        <v>0x042D</v>
      </c>
      <c r="U57" s="517" t="str">
        <f t="shared" si="8"/>
        <v>0x04AD</v>
      </c>
      <c r="V57" s="517" t="str">
        <f t="shared" si="9"/>
        <v>0x052D</v>
      </c>
      <c r="W57" s="517" t="str">
        <f t="shared" si="10"/>
        <v>0x05AD</v>
      </c>
    </row>
    <row r="58" spans="2:23" ht="13.9" customHeight="1" x14ac:dyDescent="0.25">
      <c r="B58" s="518" t="s">
        <v>934</v>
      </c>
      <c r="C58" s="519" t="s">
        <v>200</v>
      </c>
      <c r="D58" s="520"/>
      <c r="G58" s="541"/>
      <c r="H58" s="542" t="s">
        <v>935</v>
      </c>
      <c r="I58" s="411"/>
      <c r="J58" s="371">
        <v>46</v>
      </c>
      <c r="K58" s="372"/>
      <c r="L58" s="517" t="str">
        <f t="shared" si="11"/>
        <v>0x002E</v>
      </c>
      <c r="M58" s="517" t="str">
        <f t="shared" si="0"/>
        <v>0x00AE</v>
      </c>
      <c r="N58" s="517" t="str">
        <f t="shared" si="1"/>
        <v>0x012E</v>
      </c>
      <c r="O58" s="517" t="str">
        <f t="shared" si="2"/>
        <v>0x01AE</v>
      </c>
      <c r="P58" s="517" t="str">
        <f t="shared" si="3"/>
        <v>0x022E</v>
      </c>
      <c r="Q58" s="517" t="str">
        <f t="shared" si="4"/>
        <v>0x02AE</v>
      </c>
      <c r="R58" s="517" t="str">
        <f t="shared" si="5"/>
        <v>0x032E</v>
      </c>
      <c r="S58" s="517" t="str">
        <f t="shared" si="6"/>
        <v>0x03AE</v>
      </c>
      <c r="T58" s="517" t="str">
        <f t="shared" si="7"/>
        <v>0x042E</v>
      </c>
      <c r="U58" s="517" t="str">
        <f t="shared" si="8"/>
        <v>0x04AE</v>
      </c>
      <c r="V58" s="517" t="str">
        <f t="shared" si="9"/>
        <v>0x052E</v>
      </c>
      <c r="W58" s="517" t="str">
        <f t="shared" si="10"/>
        <v>0x05AE</v>
      </c>
    </row>
    <row r="59" spans="2:23" ht="13.9" customHeight="1" thickBot="1" x14ac:dyDescent="0.3">
      <c r="B59" s="522" t="s">
        <v>884</v>
      </c>
      <c r="C59" s="523" t="s">
        <v>200</v>
      </c>
      <c r="D59" s="524"/>
      <c r="G59" s="541"/>
      <c r="H59" s="544" t="s">
        <v>936</v>
      </c>
      <c r="I59" s="414"/>
      <c r="J59" s="384">
        <v>47</v>
      </c>
      <c r="K59" s="385"/>
      <c r="L59" s="537" t="str">
        <f t="shared" si="11"/>
        <v>0x002F</v>
      </c>
      <c r="M59" s="537" t="str">
        <f t="shared" si="0"/>
        <v>0x00AF</v>
      </c>
      <c r="N59" s="537" t="str">
        <f t="shared" si="1"/>
        <v>0x012F</v>
      </c>
      <c r="O59" s="537" t="str">
        <f t="shared" si="2"/>
        <v>0x01AF</v>
      </c>
      <c r="P59" s="537" t="str">
        <f t="shared" si="3"/>
        <v>0x022F</v>
      </c>
      <c r="Q59" s="537" t="str">
        <f t="shared" si="4"/>
        <v>0x02AF</v>
      </c>
      <c r="R59" s="537" t="str">
        <f t="shared" si="5"/>
        <v>0x032F</v>
      </c>
      <c r="S59" s="537" t="str">
        <f t="shared" si="6"/>
        <v>0x03AF</v>
      </c>
      <c r="T59" s="537" t="str">
        <f t="shared" si="7"/>
        <v>0x042F</v>
      </c>
      <c r="U59" s="537" t="str">
        <f t="shared" si="8"/>
        <v>0x04AF</v>
      </c>
      <c r="V59" s="537" t="str">
        <f t="shared" si="9"/>
        <v>0x052F</v>
      </c>
      <c r="W59" s="537" t="str">
        <f t="shared" si="10"/>
        <v>0x05AF</v>
      </c>
    </row>
    <row r="60" spans="2:23" ht="14.25" customHeight="1" thickTop="1" x14ac:dyDescent="0.25">
      <c r="B60" s="526" t="s">
        <v>886</v>
      </c>
      <c r="C60" s="527" t="s">
        <v>200</v>
      </c>
      <c r="D60" s="528"/>
      <c r="G60" s="541"/>
      <c r="H60" s="539" t="s">
        <v>937</v>
      </c>
      <c r="I60" s="408"/>
      <c r="J60" s="394">
        <v>48</v>
      </c>
      <c r="K60" s="409">
        <v>4</v>
      </c>
      <c r="L60" s="540" t="str">
        <f t="shared" si="11"/>
        <v>0x0030</v>
      </c>
      <c r="M60" s="540" t="str">
        <f t="shared" si="0"/>
        <v>0x00B0</v>
      </c>
      <c r="N60" s="540" t="str">
        <f t="shared" si="1"/>
        <v>0x0130</v>
      </c>
      <c r="O60" s="540" t="str">
        <f t="shared" si="2"/>
        <v>0x01B0</v>
      </c>
      <c r="P60" s="540" t="str">
        <f t="shared" si="3"/>
        <v>0x0230</v>
      </c>
      <c r="Q60" s="540" t="str">
        <f t="shared" si="4"/>
        <v>0x02B0</v>
      </c>
      <c r="R60" s="540" t="str">
        <f t="shared" si="5"/>
        <v>0x0330</v>
      </c>
      <c r="S60" s="540" t="str">
        <f t="shared" si="6"/>
        <v>0x03B0</v>
      </c>
      <c r="T60" s="540" t="str">
        <f t="shared" si="7"/>
        <v>0x0430</v>
      </c>
      <c r="U60" s="540" t="str">
        <f t="shared" si="8"/>
        <v>0x04B0</v>
      </c>
      <c r="V60" s="540" t="str">
        <f t="shared" si="9"/>
        <v>0x0530</v>
      </c>
      <c r="W60" s="540" t="str">
        <f t="shared" si="10"/>
        <v>0x05B0</v>
      </c>
    </row>
    <row r="61" spans="2:23" ht="13.5" customHeight="1" x14ac:dyDescent="0.25">
      <c r="B61" s="529" t="s">
        <v>888</v>
      </c>
      <c r="C61" s="530" t="s">
        <v>889</v>
      </c>
      <c r="D61" s="531"/>
      <c r="G61" s="541"/>
      <c r="H61" s="542" t="s">
        <v>938</v>
      </c>
      <c r="I61" s="411"/>
      <c r="J61" s="371">
        <v>49</v>
      </c>
      <c r="K61" s="412"/>
      <c r="L61" s="517" t="str">
        <f t="shared" si="11"/>
        <v>0x0031</v>
      </c>
      <c r="M61" s="517" t="str">
        <f t="shared" si="0"/>
        <v>0x00B1</v>
      </c>
      <c r="N61" s="517" t="str">
        <f t="shared" si="1"/>
        <v>0x0131</v>
      </c>
      <c r="O61" s="517" t="str">
        <f t="shared" si="2"/>
        <v>0x01B1</v>
      </c>
      <c r="P61" s="517" t="str">
        <f t="shared" si="3"/>
        <v>0x0231</v>
      </c>
      <c r="Q61" s="517" t="str">
        <f t="shared" si="4"/>
        <v>0x02B1</v>
      </c>
      <c r="R61" s="517" t="str">
        <f t="shared" si="5"/>
        <v>0x0331</v>
      </c>
      <c r="S61" s="517" t="str">
        <f t="shared" si="6"/>
        <v>0x03B1</v>
      </c>
      <c r="T61" s="517" t="str">
        <f t="shared" si="7"/>
        <v>0x0431</v>
      </c>
      <c r="U61" s="517" t="str">
        <f t="shared" si="8"/>
        <v>0x04B1</v>
      </c>
      <c r="V61" s="517" t="str">
        <f t="shared" si="9"/>
        <v>0x0531</v>
      </c>
      <c r="W61" s="517" t="str">
        <f t="shared" si="10"/>
        <v>0x05B1</v>
      </c>
    </row>
    <row r="62" spans="2:23" ht="13.5" customHeight="1" x14ac:dyDescent="0.25">
      <c r="B62" s="529" t="s">
        <v>888</v>
      </c>
      <c r="C62" s="530" t="s">
        <v>889</v>
      </c>
      <c r="D62" s="531"/>
      <c r="G62" s="541"/>
      <c r="H62" s="542" t="s">
        <v>939</v>
      </c>
      <c r="I62" s="411"/>
      <c r="J62" s="371">
        <v>50</v>
      </c>
      <c r="K62" s="412"/>
      <c r="L62" s="517" t="str">
        <f t="shared" si="11"/>
        <v>0x0032</v>
      </c>
      <c r="M62" s="517" t="str">
        <f t="shared" si="0"/>
        <v>0x00B2</v>
      </c>
      <c r="N62" s="517" t="str">
        <f t="shared" si="1"/>
        <v>0x0132</v>
      </c>
      <c r="O62" s="517" t="str">
        <f t="shared" si="2"/>
        <v>0x01B2</v>
      </c>
      <c r="P62" s="517" t="str">
        <f t="shared" si="3"/>
        <v>0x0232</v>
      </c>
      <c r="Q62" s="517" t="str">
        <f t="shared" si="4"/>
        <v>0x02B2</v>
      </c>
      <c r="R62" s="517" t="str">
        <f t="shared" si="5"/>
        <v>0x0332</v>
      </c>
      <c r="S62" s="517" t="str">
        <f t="shared" si="6"/>
        <v>0x03B2</v>
      </c>
      <c r="T62" s="517" t="str">
        <f t="shared" si="7"/>
        <v>0x0432</v>
      </c>
      <c r="U62" s="517" t="str">
        <f t="shared" si="8"/>
        <v>0x04B2</v>
      </c>
      <c r="V62" s="517" t="str">
        <f t="shared" si="9"/>
        <v>0x0532</v>
      </c>
      <c r="W62" s="517" t="str">
        <f t="shared" si="10"/>
        <v>0x05B2</v>
      </c>
    </row>
    <row r="63" spans="2:23" ht="13.5" customHeight="1" x14ac:dyDescent="0.25">
      <c r="B63" s="518" t="s">
        <v>940</v>
      </c>
      <c r="C63" s="519" t="s">
        <v>200</v>
      </c>
      <c r="D63" s="520"/>
      <c r="G63" s="541"/>
      <c r="H63" s="542" t="s">
        <v>941</v>
      </c>
      <c r="I63" s="411"/>
      <c r="J63" s="371">
        <v>51</v>
      </c>
      <c r="K63" s="412"/>
      <c r="L63" s="517" t="str">
        <f t="shared" si="11"/>
        <v>0x0033</v>
      </c>
      <c r="M63" s="517" t="str">
        <f t="shared" si="0"/>
        <v>0x00B3</v>
      </c>
      <c r="N63" s="517" t="str">
        <f t="shared" si="1"/>
        <v>0x0133</v>
      </c>
      <c r="O63" s="517" t="str">
        <f t="shared" si="2"/>
        <v>0x01B3</v>
      </c>
      <c r="P63" s="517" t="str">
        <f t="shared" si="3"/>
        <v>0x0233</v>
      </c>
      <c r="Q63" s="517" t="str">
        <f t="shared" si="4"/>
        <v>0x02B3</v>
      </c>
      <c r="R63" s="517" t="str">
        <f t="shared" si="5"/>
        <v>0x0333</v>
      </c>
      <c r="S63" s="517" t="str">
        <f t="shared" si="6"/>
        <v>0x03B3</v>
      </c>
      <c r="T63" s="517" t="str">
        <f t="shared" si="7"/>
        <v>0x0433</v>
      </c>
      <c r="U63" s="517" t="str">
        <f t="shared" si="8"/>
        <v>0x04B3</v>
      </c>
      <c r="V63" s="517" t="str">
        <f t="shared" si="9"/>
        <v>0x0533</v>
      </c>
      <c r="W63" s="517" t="str">
        <f t="shared" si="10"/>
        <v>0x05B3</v>
      </c>
    </row>
    <row r="64" spans="2:23" ht="13.5" customHeight="1" x14ac:dyDescent="0.25">
      <c r="B64" s="518" t="s">
        <v>942</v>
      </c>
      <c r="C64" s="519" t="s">
        <v>889</v>
      </c>
      <c r="D64" s="520"/>
      <c r="G64" s="541"/>
      <c r="H64" s="542" t="s">
        <v>943</v>
      </c>
      <c r="I64" s="411"/>
      <c r="J64" s="371">
        <v>52</v>
      </c>
      <c r="K64" s="412"/>
      <c r="L64" s="517" t="str">
        <f t="shared" si="11"/>
        <v>0x0034</v>
      </c>
      <c r="M64" s="517" t="str">
        <f t="shared" si="0"/>
        <v>0x00B4</v>
      </c>
      <c r="N64" s="517" t="str">
        <f t="shared" si="1"/>
        <v>0x0134</v>
      </c>
      <c r="O64" s="517" t="str">
        <f t="shared" si="2"/>
        <v>0x01B4</v>
      </c>
      <c r="P64" s="517" t="str">
        <f t="shared" si="3"/>
        <v>0x0234</v>
      </c>
      <c r="Q64" s="517" t="str">
        <f t="shared" si="4"/>
        <v>0x02B4</v>
      </c>
      <c r="R64" s="517" t="str">
        <f t="shared" si="5"/>
        <v>0x0334</v>
      </c>
      <c r="S64" s="517" t="str">
        <f t="shared" si="6"/>
        <v>0x03B4</v>
      </c>
      <c r="T64" s="517" t="str">
        <f t="shared" si="7"/>
        <v>0x0434</v>
      </c>
      <c r="U64" s="517" t="str">
        <f t="shared" si="8"/>
        <v>0x04B4</v>
      </c>
      <c r="V64" s="517" t="str">
        <f t="shared" si="9"/>
        <v>0x0534</v>
      </c>
      <c r="W64" s="517" t="str">
        <f t="shared" si="10"/>
        <v>0x05B4</v>
      </c>
    </row>
    <row r="65" spans="2:23" ht="13.5" customHeight="1" x14ac:dyDescent="0.25">
      <c r="B65" s="529" t="s">
        <v>888</v>
      </c>
      <c r="C65" s="530" t="s">
        <v>889</v>
      </c>
      <c r="D65" s="543"/>
      <c r="G65" s="541"/>
      <c r="H65" s="542" t="s">
        <v>944</v>
      </c>
      <c r="I65" s="411"/>
      <c r="J65" s="371">
        <v>53</v>
      </c>
      <c r="K65" s="412"/>
      <c r="L65" s="517" t="str">
        <f t="shared" si="11"/>
        <v>0x0035</v>
      </c>
      <c r="M65" s="517" t="str">
        <f t="shared" si="0"/>
        <v>0x00B5</v>
      </c>
      <c r="N65" s="517" t="str">
        <f t="shared" si="1"/>
        <v>0x0135</v>
      </c>
      <c r="O65" s="517" t="str">
        <f t="shared" si="2"/>
        <v>0x01B5</v>
      </c>
      <c r="P65" s="517" t="str">
        <f t="shared" si="3"/>
        <v>0x0235</v>
      </c>
      <c r="Q65" s="517" t="str">
        <f t="shared" si="4"/>
        <v>0x02B5</v>
      </c>
      <c r="R65" s="517" t="str">
        <f t="shared" si="5"/>
        <v>0x0335</v>
      </c>
      <c r="S65" s="517" t="str">
        <f t="shared" si="6"/>
        <v>0x03B5</v>
      </c>
      <c r="T65" s="517" t="str">
        <f t="shared" si="7"/>
        <v>0x0435</v>
      </c>
      <c r="U65" s="517" t="str">
        <f t="shared" si="8"/>
        <v>0x04B5</v>
      </c>
      <c r="V65" s="517" t="str">
        <f t="shared" si="9"/>
        <v>0x0535</v>
      </c>
      <c r="W65" s="517" t="str">
        <f t="shared" si="10"/>
        <v>0x05B5</v>
      </c>
    </row>
    <row r="66" spans="2:23" ht="13.5" customHeight="1" x14ac:dyDescent="0.25">
      <c r="B66" s="529" t="s">
        <v>888</v>
      </c>
      <c r="C66" s="530" t="s">
        <v>889</v>
      </c>
      <c r="D66" s="531"/>
      <c r="G66" s="541"/>
      <c r="H66" s="542" t="s">
        <v>945</v>
      </c>
      <c r="I66" s="411"/>
      <c r="J66" s="371">
        <v>54</v>
      </c>
      <c r="K66" s="412"/>
      <c r="L66" s="517" t="str">
        <f t="shared" si="11"/>
        <v>0x0036</v>
      </c>
      <c r="M66" s="517" t="str">
        <f t="shared" si="0"/>
        <v>0x00B6</v>
      </c>
      <c r="N66" s="517" t="str">
        <f t="shared" si="1"/>
        <v>0x0136</v>
      </c>
      <c r="O66" s="517" t="str">
        <f t="shared" si="2"/>
        <v>0x01B6</v>
      </c>
      <c r="P66" s="517" t="str">
        <f t="shared" si="3"/>
        <v>0x0236</v>
      </c>
      <c r="Q66" s="517" t="str">
        <f t="shared" si="4"/>
        <v>0x02B6</v>
      </c>
      <c r="R66" s="517" t="str">
        <f t="shared" si="5"/>
        <v>0x0336</v>
      </c>
      <c r="S66" s="517" t="str">
        <f t="shared" si="6"/>
        <v>0x03B6</v>
      </c>
      <c r="T66" s="517" t="str">
        <f t="shared" si="7"/>
        <v>0x0436</v>
      </c>
      <c r="U66" s="517" t="str">
        <f t="shared" si="8"/>
        <v>0x04B6</v>
      </c>
      <c r="V66" s="517" t="str">
        <f t="shared" si="9"/>
        <v>0x0536</v>
      </c>
      <c r="W66" s="517" t="str">
        <f t="shared" si="10"/>
        <v>0x05B6</v>
      </c>
    </row>
    <row r="67" spans="2:23" ht="13.5" customHeight="1" x14ac:dyDescent="0.25">
      <c r="B67" s="529" t="s">
        <v>888</v>
      </c>
      <c r="C67" s="530" t="s">
        <v>889</v>
      </c>
      <c r="D67" s="531"/>
      <c r="G67" s="541"/>
      <c r="H67" s="542" t="s">
        <v>946</v>
      </c>
      <c r="I67" s="411"/>
      <c r="J67" s="371">
        <v>55</v>
      </c>
      <c r="K67" s="412"/>
      <c r="L67" s="517" t="str">
        <f t="shared" si="11"/>
        <v>0x0037</v>
      </c>
      <c r="M67" s="517" t="str">
        <f t="shared" si="0"/>
        <v>0x00B7</v>
      </c>
      <c r="N67" s="517" t="str">
        <f t="shared" si="1"/>
        <v>0x0137</v>
      </c>
      <c r="O67" s="517" t="str">
        <f t="shared" si="2"/>
        <v>0x01B7</v>
      </c>
      <c r="P67" s="517" t="str">
        <f t="shared" si="3"/>
        <v>0x0237</v>
      </c>
      <c r="Q67" s="517" t="str">
        <f t="shared" si="4"/>
        <v>0x02B7</v>
      </c>
      <c r="R67" s="517" t="str">
        <f t="shared" si="5"/>
        <v>0x0337</v>
      </c>
      <c r="S67" s="517" t="str">
        <f t="shared" si="6"/>
        <v>0x03B7</v>
      </c>
      <c r="T67" s="517" t="str">
        <f t="shared" si="7"/>
        <v>0x0437</v>
      </c>
      <c r="U67" s="517" t="str">
        <f t="shared" si="8"/>
        <v>0x04B7</v>
      </c>
      <c r="V67" s="517" t="str">
        <f t="shared" si="9"/>
        <v>0x0537</v>
      </c>
      <c r="W67" s="517" t="str">
        <f t="shared" si="10"/>
        <v>0x05B7</v>
      </c>
    </row>
    <row r="68" spans="2:23" ht="13.5" customHeight="1" x14ac:dyDescent="0.25">
      <c r="B68" s="529" t="s">
        <v>888</v>
      </c>
      <c r="C68" s="530" t="s">
        <v>889</v>
      </c>
      <c r="D68" s="531"/>
      <c r="G68" s="541"/>
      <c r="H68" s="542" t="s">
        <v>947</v>
      </c>
      <c r="I68" s="411"/>
      <c r="J68" s="371">
        <v>56</v>
      </c>
      <c r="K68" s="412"/>
      <c r="L68" s="517" t="str">
        <f t="shared" si="11"/>
        <v>0x0038</v>
      </c>
      <c r="M68" s="517" t="str">
        <f t="shared" si="0"/>
        <v>0x00B8</v>
      </c>
      <c r="N68" s="517" t="str">
        <f t="shared" si="1"/>
        <v>0x0138</v>
      </c>
      <c r="O68" s="517" t="str">
        <f t="shared" si="2"/>
        <v>0x01B8</v>
      </c>
      <c r="P68" s="517" t="str">
        <f t="shared" si="3"/>
        <v>0x0238</v>
      </c>
      <c r="Q68" s="517" t="str">
        <f t="shared" si="4"/>
        <v>0x02B8</v>
      </c>
      <c r="R68" s="517" t="str">
        <f t="shared" si="5"/>
        <v>0x0338</v>
      </c>
      <c r="S68" s="517" t="str">
        <f t="shared" si="6"/>
        <v>0x03B8</v>
      </c>
      <c r="T68" s="517" t="str">
        <f t="shared" si="7"/>
        <v>0x0438</v>
      </c>
      <c r="U68" s="517" t="str">
        <f t="shared" si="8"/>
        <v>0x04B8</v>
      </c>
      <c r="V68" s="517" t="str">
        <f t="shared" si="9"/>
        <v>0x0538</v>
      </c>
      <c r="W68" s="517" t="str">
        <f t="shared" si="10"/>
        <v>0x05B8</v>
      </c>
    </row>
    <row r="69" spans="2:23" ht="13.5" customHeight="1" x14ac:dyDescent="0.25">
      <c r="B69" s="529" t="s">
        <v>888</v>
      </c>
      <c r="C69" s="530" t="s">
        <v>889</v>
      </c>
      <c r="D69" s="531"/>
      <c r="G69" s="541"/>
      <c r="H69" s="542" t="s">
        <v>948</v>
      </c>
      <c r="I69" s="411"/>
      <c r="J69" s="371">
        <v>57</v>
      </c>
      <c r="K69" s="412"/>
      <c r="L69" s="517" t="str">
        <f t="shared" si="11"/>
        <v>0x0039</v>
      </c>
      <c r="M69" s="517" t="str">
        <f t="shared" si="0"/>
        <v>0x00B9</v>
      </c>
      <c r="N69" s="517" t="str">
        <f t="shared" si="1"/>
        <v>0x0139</v>
      </c>
      <c r="O69" s="517" t="str">
        <f t="shared" si="2"/>
        <v>0x01B9</v>
      </c>
      <c r="P69" s="517" t="str">
        <f t="shared" si="3"/>
        <v>0x0239</v>
      </c>
      <c r="Q69" s="517" t="str">
        <f t="shared" si="4"/>
        <v>0x02B9</v>
      </c>
      <c r="R69" s="517" t="str">
        <f t="shared" si="5"/>
        <v>0x0339</v>
      </c>
      <c r="S69" s="517" t="str">
        <f t="shared" si="6"/>
        <v>0x03B9</v>
      </c>
      <c r="T69" s="517" t="str">
        <f t="shared" si="7"/>
        <v>0x0439</v>
      </c>
      <c r="U69" s="517" t="str">
        <f t="shared" si="8"/>
        <v>0x04B9</v>
      </c>
      <c r="V69" s="517" t="str">
        <f t="shared" si="9"/>
        <v>0x0539</v>
      </c>
      <c r="W69" s="517" t="str">
        <f t="shared" si="10"/>
        <v>0x05B9</v>
      </c>
    </row>
    <row r="70" spans="2:23" ht="13.5" customHeight="1" x14ac:dyDescent="0.25">
      <c r="B70" s="529" t="s">
        <v>888</v>
      </c>
      <c r="C70" s="530" t="s">
        <v>889</v>
      </c>
      <c r="D70" s="531"/>
      <c r="G70" s="541"/>
      <c r="H70" s="542" t="s">
        <v>949</v>
      </c>
      <c r="I70" s="411"/>
      <c r="J70" s="371">
        <v>58</v>
      </c>
      <c r="K70" s="412"/>
      <c r="L70" s="517" t="str">
        <f t="shared" si="11"/>
        <v>0x003A</v>
      </c>
      <c r="M70" s="517" t="str">
        <f t="shared" si="0"/>
        <v>0x00BA</v>
      </c>
      <c r="N70" s="517" t="str">
        <f t="shared" si="1"/>
        <v>0x013A</v>
      </c>
      <c r="O70" s="517" t="str">
        <f t="shared" si="2"/>
        <v>0x01BA</v>
      </c>
      <c r="P70" s="517" t="str">
        <f t="shared" si="3"/>
        <v>0x023A</v>
      </c>
      <c r="Q70" s="517" t="str">
        <f t="shared" si="4"/>
        <v>0x02BA</v>
      </c>
      <c r="R70" s="517" t="str">
        <f t="shared" si="5"/>
        <v>0x033A</v>
      </c>
      <c r="S70" s="517" t="str">
        <f t="shared" si="6"/>
        <v>0x03BA</v>
      </c>
      <c r="T70" s="517" t="str">
        <f t="shared" si="7"/>
        <v>0x043A</v>
      </c>
      <c r="U70" s="517" t="str">
        <f t="shared" si="8"/>
        <v>0x04BA</v>
      </c>
      <c r="V70" s="517" t="str">
        <f t="shared" si="9"/>
        <v>0x053A</v>
      </c>
      <c r="W70" s="517" t="str">
        <f t="shared" si="10"/>
        <v>0x05BA</v>
      </c>
    </row>
    <row r="71" spans="2:23" ht="13.5" customHeight="1" x14ac:dyDescent="0.25">
      <c r="B71" s="529" t="s">
        <v>888</v>
      </c>
      <c r="C71" s="530" t="s">
        <v>889</v>
      </c>
      <c r="D71" s="531"/>
      <c r="G71" s="541"/>
      <c r="H71" s="542" t="s">
        <v>950</v>
      </c>
      <c r="I71" s="411"/>
      <c r="J71" s="371">
        <v>59</v>
      </c>
      <c r="K71" s="412"/>
      <c r="L71" s="517" t="str">
        <f t="shared" si="11"/>
        <v>0x003B</v>
      </c>
      <c r="M71" s="517" t="str">
        <f t="shared" si="0"/>
        <v>0x00BB</v>
      </c>
      <c r="N71" s="517" t="str">
        <f t="shared" si="1"/>
        <v>0x013B</v>
      </c>
      <c r="O71" s="517" t="str">
        <f t="shared" si="2"/>
        <v>0x01BB</v>
      </c>
      <c r="P71" s="517" t="str">
        <f t="shared" si="3"/>
        <v>0x023B</v>
      </c>
      <c r="Q71" s="517" t="str">
        <f t="shared" si="4"/>
        <v>0x02BB</v>
      </c>
      <c r="R71" s="517" t="str">
        <f t="shared" si="5"/>
        <v>0x033B</v>
      </c>
      <c r="S71" s="517" t="str">
        <f t="shared" si="6"/>
        <v>0x03BB</v>
      </c>
      <c r="T71" s="517" t="str">
        <f t="shared" si="7"/>
        <v>0x043B</v>
      </c>
      <c r="U71" s="517" t="str">
        <f t="shared" si="8"/>
        <v>0x04BB</v>
      </c>
      <c r="V71" s="517" t="str">
        <f t="shared" si="9"/>
        <v>0x053B</v>
      </c>
      <c r="W71" s="517" t="str">
        <f t="shared" si="10"/>
        <v>0x05BB</v>
      </c>
    </row>
    <row r="72" spans="2:23" ht="13.5" customHeight="1" thickBot="1" x14ac:dyDescent="0.3">
      <c r="B72" s="533" t="s">
        <v>888</v>
      </c>
      <c r="C72" s="534" t="s">
        <v>889</v>
      </c>
      <c r="D72" s="535"/>
      <c r="G72" s="541"/>
      <c r="H72" s="542" t="s">
        <v>951</v>
      </c>
      <c r="I72" s="411"/>
      <c r="J72" s="371">
        <v>60</v>
      </c>
      <c r="K72" s="412"/>
      <c r="L72" s="517" t="str">
        <f t="shared" si="11"/>
        <v>0x003C</v>
      </c>
      <c r="M72" s="517" t="str">
        <f t="shared" si="0"/>
        <v>0x00BC</v>
      </c>
      <c r="N72" s="517" t="str">
        <f t="shared" si="1"/>
        <v>0x013C</v>
      </c>
      <c r="O72" s="517" t="str">
        <f t="shared" si="2"/>
        <v>0x01BC</v>
      </c>
      <c r="P72" s="517" t="str">
        <f t="shared" si="3"/>
        <v>0x023C</v>
      </c>
      <c r="Q72" s="517" t="str">
        <f t="shared" si="4"/>
        <v>0x02BC</v>
      </c>
      <c r="R72" s="517" t="str">
        <f t="shared" si="5"/>
        <v>0x033C</v>
      </c>
      <c r="S72" s="517" t="str">
        <f t="shared" si="6"/>
        <v>0x03BC</v>
      </c>
      <c r="T72" s="517" t="str">
        <f t="shared" si="7"/>
        <v>0x043C</v>
      </c>
      <c r="U72" s="517" t="str">
        <f t="shared" si="8"/>
        <v>0x04BC</v>
      </c>
      <c r="V72" s="517" t="str">
        <f t="shared" si="9"/>
        <v>0x053C</v>
      </c>
      <c r="W72" s="517" t="str">
        <f t="shared" si="10"/>
        <v>0x05BC</v>
      </c>
    </row>
    <row r="73" spans="2:23" ht="13.5" customHeight="1" x14ac:dyDescent="0.25">
      <c r="G73" s="541"/>
      <c r="H73" s="542" t="s">
        <v>952</v>
      </c>
      <c r="I73" s="411"/>
      <c r="J73" s="371">
        <v>61</v>
      </c>
      <c r="K73" s="412"/>
      <c r="L73" s="517" t="str">
        <f t="shared" si="11"/>
        <v>0x003D</v>
      </c>
      <c r="M73" s="517" t="str">
        <f t="shared" si="0"/>
        <v>0x00BD</v>
      </c>
      <c r="N73" s="517" t="str">
        <f t="shared" si="1"/>
        <v>0x013D</v>
      </c>
      <c r="O73" s="517" t="str">
        <f t="shared" si="2"/>
        <v>0x01BD</v>
      </c>
      <c r="P73" s="517" t="str">
        <f t="shared" si="3"/>
        <v>0x023D</v>
      </c>
      <c r="Q73" s="517" t="str">
        <f t="shared" si="4"/>
        <v>0x02BD</v>
      </c>
      <c r="R73" s="517" t="str">
        <f t="shared" si="5"/>
        <v>0x033D</v>
      </c>
      <c r="S73" s="517" t="str">
        <f t="shared" si="6"/>
        <v>0x03BD</v>
      </c>
      <c r="T73" s="517" t="str">
        <f t="shared" si="7"/>
        <v>0x043D</v>
      </c>
      <c r="U73" s="517" t="str">
        <f t="shared" si="8"/>
        <v>0x04BD</v>
      </c>
      <c r="V73" s="517" t="str">
        <f t="shared" si="9"/>
        <v>0x053D</v>
      </c>
      <c r="W73" s="517" t="str">
        <f t="shared" si="10"/>
        <v>0x05BD</v>
      </c>
    </row>
    <row r="74" spans="2:23" ht="14.25" customHeight="1" x14ac:dyDescent="0.25">
      <c r="G74" s="541"/>
      <c r="H74" s="542" t="s">
        <v>953</v>
      </c>
      <c r="I74" s="411"/>
      <c r="J74" s="371">
        <v>62</v>
      </c>
      <c r="K74" s="412"/>
      <c r="L74" s="517" t="str">
        <f t="shared" si="11"/>
        <v>0x003E</v>
      </c>
      <c r="M74" s="517" t="str">
        <f t="shared" si="0"/>
        <v>0x00BE</v>
      </c>
      <c r="N74" s="517" t="str">
        <f t="shared" si="1"/>
        <v>0x013E</v>
      </c>
      <c r="O74" s="517" t="str">
        <f t="shared" si="2"/>
        <v>0x01BE</v>
      </c>
      <c r="P74" s="517" t="str">
        <f t="shared" si="3"/>
        <v>0x023E</v>
      </c>
      <c r="Q74" s="517" t="str">
        <f t="shared" si="4"/>
        <v>0x02BE</v>
      </c>
      <c r="R74" s="517" t="str">
        <f t="shared" si="5"/>
        <v>0x033E</v>
      </c>
      <c r="S74" s="517" t="str">
        <f t="shared" si="6"/>
        <v>0x03BE</v>
      </c>
      <c r="T74" s="517" t="str">
        <f t="shared" si="7"/>
        <v>0x043E</v>
      </c>
      <c r="U74" s="517" t="str">
        <f t="shared" si="8"/>
        <v>0x04BE</v>
      </c>
      <c r="V74" s="517" t="str">
        <f t="shared" si="9"/>
        <v>0x053E</v>
      </c>
      <c r="W74" s="517" t="str">
        <f t="shared" si="10"/>
        <v>0x05BE</v>
      </c>
    </row>
    <row r="75" spans="2:23" ht="14.25" customHeight="1" thickBot="1" x14ac:dyDescent="0.3">
      <c r="G75" s="541"/>
      <c r="H75" s="544" t="s">
        <v>954</v>
      </c>
      <c r="I75" s="414"/>
      <c r="J75" s="384">
        <v>63</v>
      </c>
      <c r="K75" s="415"/>
      <c r="L75" s="537" t="str">
        <f t="shared" si="11"/>
        <v>0x003F</v>
      </c>
      <c r="M75" s="537" t="str">
        <f t="shared" si="0"/>
        <v>0x00BF</v>
      </c>
      <c r="N75" s="537" t="str">
        <f t="shared" si="1"/>
        <v>0x013F</v>
      </c>
      <c r="O75" s="537" t="str">
        <f t="shared" si="2"/>
        <v>0x01BF</v>
      </c>
      <c r="P75" s="537" t="str">
        <f t="shared" si="3"/>
        <v>0x023F</v>
      </c>
      <c r="Q75" s="537" t="str">
        <f t="shared" si="4"/>
        <v>0x02BF</v>
      </c>
      <c r="R75" s="537" t="str">
        <f t="shared" si="5"/>
        <v>0x033F</v>
      </c>
      <c r="S75" s="537" t="str">
        <f t="shared" si="6"/>
        <v>0x03BF</v>
      </c>
      <c r="T75" s="537" t="str">
        <f t="shared" si="7"/>
        <v>0x043F</v>
      </c>
      <c r="U75" s="537" t="str">
        <f t="shared" si="8"/>
        <v>0x04BF</v>
      </c>
      <c r="V75" s="537" t="str">
        <f t="shared" si="9"/>
        <v>0x053F</v>
      </c>
      <c r="W75" s="537" t="str">
        <f t="shared" si="10"/>
        <v>0x05BF</v>
      </c>
    </row>
    <row r="76" spans="2:23" ht="14.25" customHeight="1" thickTop="1" x14ac:dyDescent="0.25">
      <c r="G76" s="541"/>
      <c r="H76" s="539" t="s">
        <v>955</v>
      </c>
      <c r="I76" s="408"/>
      <c r="J76" s="394">
        <v>64</v>
      </c>
      <c r="K76" s="409">
        <v>5</v>
      </c>
      <c r="L76" s="540" t="str">
        <f t="shared" si="11"/>
        <v>0x0040</v>
      </c>
      <c r="M76" s="540" t="str">
        <f t="shared" si="0"/>
        <v>0x00C0</v>
      </c>
      <c r="N76" s="540" t="str">
        <f t="shared" si="1"/>
        <v>0x0140</v>
      </c>
      <c r="O76" s="540" t="str">
        <f t="shared" si="2"/>
        <v>0x01C0</v>
      </c>
      <c r="P76" s="540" t="str">
        <f t="shared" si="3"/>
        <v>0x0240</v>
      </c>
      <c r="Q76" s="540" t="str">
        <f t="shared" si="4"/>
        <v>0x02C0</v>
      </c>
      <c r="R76" s="540" t="str">
        <f t="shared" si="5"/>
        <v>0x0340</v>
      </c>
      <c r="S76" s="540" t="str">
        <f t="shared" si="6"/>
        <v>0x03C0</v>
      </c>
      <c r="T76" s="540" t="str">
        <f t="shared" si="7"/>
        <v>0x0440</v>
      </c>
      <c r="U76" s="540" t="str">
        <f t="shared" si="8"/>
        <v>0x04C0</v>
      </c>
      <c r="V76" s="540" t="str">
        <f t="shared" si="9"/>
        <v>0x0540</v>
      </c>
      <c r="W76" s="540" t="str">
        <f t="shared" si="10"/>
        <v>0x05C0</v>
      </c>
    </row>
    <row r="77" spans="2:23" ht="13.5" customHeight="1" x14ac:dyDescent="0.25">
      <c r="G77" s="541"/>
      <c r="H77" s="542" t="s">
        <v>956</v>
      </c>
      <c r="I77" s="411"/>
      <c r="J77" s="371">
        <v>65</v>
      </c>
      <c r="K77" s="412"/>
      <c r="L77" s="517" t="str">
        <f t="shared" si="11"/>
        <v>0x0041</v>
      </c>
      <c r="M77" s="517" t="str">
        <f t="shared" ref="M77:M139" si="12">CONCATENATE("0x",DEC2HEX(J77 + (128 * 1),4))</f>
        <v>0x00C1</v>
      </c>
      <c r="N77" s="517" t="str">
        <f t="shared" ref="N77:N139" si="13">CONCATENATE("0x",DEC2HEX(J77 + (128 * 2),4))</f>
        <v>0x0141</v>
      </c>
      <c r="O77" s="517" t="str">
        <f t="shared" ref="O77:O139" si="14">CONCATENATE("0x",DEC2HEX(J77 + (128 * 3),4))</f>
        <v>0x01C1</v>
      </c>
      <c r="P77" s="517" t="str">
        <f t="shared" ref="P77:P139" si="15">CONCATENATE("0x",DEC2HEX(J77 + (128 * 4),4))</f>
        <v>0x0241</v>
      </c>
      <c r="Q77" s="517" t="str">
        <f t="shared" ref="Q77:Q139" si="16">CONCATENATE("0x",DEC2HEX(J77 + (128 * 5),4))</f>
        <v>0x02C1</v>
      </c>
      <c r="R77" s="517" t="str">
        <f t="shared" ref="R77:R139" si="17">CONCATENATE("0x",DEC2HEX(J77 + (128 * 6),4))</f>
        <v>0x0341</v>
      </c>
      <c r="S77" s="517" t="str">
        <f t="shared" ref="S77:S139" si="18">CONCATENATE("0x",DEC2HEX(J77 + (128 * 7),4))</f>
        <v>0x03C1</v>
      </c>
      <c r="T77" s="517" t="str">
        <f t="shared" ref="T77:T139" si="19">CONCATENATE("0x",DEC2HEX(J77 + (128 * 8),4))</f>
        <v>0x0441</v>
      </c>
      <c r="U77" s="517" t="str">
        <f t="shared" ref="U77:U139" si="20">CONCATENATE("0x",DEC2HEX(J77 + (128 * 9),4))</f>
        <v>0x04C1</v>
      </c>
      <c r="V77" s="517" t="str">
        <f t="shared" ref="V77:V139" si="21">CONCATENATE("0x",DEC2HEX(J77 + (128 * 10),4))</f>
        <v>0x0541</v>
      </c>
      <c r="W77" s="517" t="str">
        <f t="shared" ref="W77:W139" si="22">CONCATENATE("0x",DEC2HEX(J77 + (128 * 11),4))</f>
        <v>0x05C1</v>
      </c>
    </row>
    <row r="78" spans="2:23" ht="13.5" customHeight="1" x14ac:dyDescent="0.25">
      <c r="G78" s="541"/>
      <c r="H78" s="542" t="s">
        <v>957</v>
      </c>
      <c r="I78" s="411"/>
      <c r="J78" s="371">
        <v>66</v>
      </c>
      <c r="K78" s="412"/>
      <c r="L78" s="517" t="str">
        <f t="shared" ref="L78:L139" si="23">CONCATENATE("0x",DEC2HEX(J78,4))</f>
        <v>0x0042</v>
      </c>
      <c r="M78" s="517" t="str">
        <f t="shared" si="12"/>
        <v>0x00C2</v>
      </c>
      <c r="N78" s="517" t="str">
        <f t="shared" si="13"/>
        <v>0x0142</v>
      </c>
      <c r="O78" s="517" t="str">
        <f t="shared" si="14"/>
        <v>0x01C2</v>
      </c>
      <c r="P78" s="517" t="str">
        <f t="shared" si="15"/>
        <v>0x0242</v>
      </c>
      <c r="Q78" s="517" t="str">
        <f t="shared" si="16"/>
        <v>0x02C2</v>
      </c>
      <c r="R78" s="517" t="str">
        <f t="shared" si="17"/>
        <v>0x0342</v>
      </c>
      <c r="S78" s="517" t="str">
        <f t="shared" si="18"/>
        <v>0x03C2</v>
      </c>
      <c r="T78" s="517" t="str">
        <f t="shared" si="19"/>
        <v>0x0442</v>
      </c>
      <c r="U78" s="517" t="str">
        <f t="shared" si="20"/>
        <v>0x04C2</v>
      </c>
      <c r="V78" s="517" t="str">
        <f t="shared" si="21"/>
        <v>0x0542</v>
      </c>
      <c r="W78" s="517" t="str">
        <f t="shared" si="22"/>
        <v>0x05C2</v>
      </c>
    </row>
    <row r="79" spans="2:23" ht="13.5" customHeight="1" x14ac:dyDescent="0.25">
      <c r="G79" s="541"/>
      <c r="H79" s="542" t="s">
        <v>958</v>
      </c>
      <c r="I79" s="411"/>
      <c r="J79" s="371">
        <v>67</v>
      </c>
      <c r="K79" s="412"/>
      <c r="L79" s="517" t="str">
        <f t="shared" si="23"/>
        <v>0x0043</v>
      </c>
      <c r="M79" s="517" t="str">
        <f t="shared" si="12"/>
        <v>0x00C3</v>
      </c>
      <c r="N79" s="517" t="str">
        <f t="shared" si="13"/>
        <v>0x0143</v>
      </c>
      <c r="O79" s="517" t="str">
        <f t="shared" si="14"/>
        <v>0x01C3</v>
      </c>
      <c r="P79" s="517" t="str">
        <f t="shared" si="15"/>
        <v>0x0243</v>
      </c>
      <c r="Q79" s="517" t="str">
        <f t="shared" si="16"/>
        <v>0x02C3</v>
      </c>
      <c r="R79" s="517" t="str">
        <f t="shared" si="17"/>
        <v>0x0343</v>
      </c>
      <c r="S79" s="517" t="str">
        <f t="shared" si="18"/>
        <v>0x03C3</v>
      </c>
      <c r="T79" s="517" t="str">
        <f t="shared" si="19"/>
        <v>0x0443</v>
      </c>
      <c r="U79" s="517" t="str">
        <f t="shared" si="20"/>
        <v>0x04C3</v>
      </c>
      <c r="V79" s="517" t="str">
        <f t="shared" si="21"/>
        <v>0x0543</v>
      </c>
      <c r="W79" s="517" t="str">
        <f t="shared" si="22"/>
        <v>0x05C3</v>
      </c>
    </row>
    <row r="80" spans="2:23" ht="13.5" customHeight="1" x14ac:dyDescent="0.25">
      <c r="G80" s="541"/>
      <c r="H80" s="542" t="s">
        <v>959</v>
      </c>
      <c r="I80" s="411"/>
      <c r="J80" s="371">
        <v>68</v>
      </c>
      <c r="K80" s="412"/>
      <c r="L80" s="517" t="str">
        <f t="shared" si="23"/>
        <v>0x0044</v>
      </c>
      <c r="M80" s="517" t="str">
        <f t="shared" si="12"/>
        <v>0x00C4</v>
      </c>
      <c r="N80" s="517" t="str">
        <f t="shared" si="13"/>
        <v>0x0144</v>
      </c>
      <c r="O80" s="517" t="str">
        <f t="shared" si="14"/>
        <v>0x01C4</v>
      </c>
      <c r="P80" s="517" t="str">
        <f t="shared" si="15"/>
        <v>0x0244</v>
      </c>
      <c r="Q80" s="517" t="str">
        <f t="shared" si="16"/>
        <v>0x02C4</v>
      </c>
      <c r="R80" s="517" t="str">
        <f t="shared" si="17"/>
        <v>0x0344</v>
      </c>
      <c r="S80" s="517" t="str">
        <f t="shared" si="18"/>
        <v>0x03C4</v>
      </c>
      <c r="T80" s="517" t="str">
        <f t="shared" si="19"/>
        <v>0x0444</v>
      </c>
      <c r="U80" s="517" t="str">
        <f t="shared" si="20"/>
        <v>0x04C4</v>
      </c>
      <c r="V80" s="517" t="str">
        <f t="shared" si="21"/>
        <v>0x0544</v>
      </c>
      <c r="W80" s="517" t="str">
        <f t="shared" si="22"/>
        <v>0x05C4</v>
      </c>
    </row>
    <row r="81" spans="7:23" ht="13.5" customHeight="1" x14ac:dyDescent="0.25">
      <c r="G81" s="541"/>
      <c r="H81" s="542" t="s">
        <v>960</v>
      </c>
      <c r="I81" s="411"/>
      <c r="J81" s="371">
        <v>69</v>
      </c>
      <c r="K81" s="412"/>
      <c r="L81" s="517" t="str">
        <f t="shared" si="23"/>
        <v>0x0045</v>
      </c>
      <c r="M81" s="517" t="str">
        <f t="shared" si="12"/>
        <v>0x00C5</v>
      </c>
      <c r="N81" s="517" t="str">
        <f t="shared" si="13"/>
        <v>0x0145</v>
      </c>
      <c r="O81" s="517" t="str">
        <f t="shared" si="14"/>
        <v>0x01C5</v>
      </c>
      <c r="P81" s="517" t="str">
        <f t="shared" si="15"/>
        <v>0x0245</v>
      </c>
      <c r="Q81" s="517" t="str">
        <f t="shared" si="16"/>
        <v>0x02C5</v>
      </c>
      <c r="R81" s="517" t="str">
        <f t="shared" si="17"/>
        <v>0x0345</v>
      </c>
      <c r="S81" s="517" t="str">
        <f t="shared" si="18"/>
        <v>0x03C5</v>
      </c>
      <c r="T81" s="517" t="str">
        <f t="shared" si="19"/>
        <v>0x0445</v>
      </c>
      <c r="U81" s="517" t="str">
        <f t="shared" si="20"/>
        <v>0x04C5</v>
      </c>
      <c r="V81" s="517" t="str">
        <f t="shared" si="21"/>
        <v>0x0545</v>
      </c>
      <c r="W81" s="517" t="str">
        <f t="shared" si="22"/>
        <v>0x05C5</v>
      </c>
    </row>
    <row r="82" spans="7:23" ht="13.5" customHeight="1" x14ac:dyDescent="0.25">
      <c r="G82" s="541"/>
      <c r="H82" s="542" t="s">
        <v>961</v>
      </c>
      <c r="I82" s="411"/>
      <c r="J82" s="371">
        <v>70</v>
      </c>
      <c r="K82" s="412"/>
      <c r="L82" s="517" t="str">
        <f t="shared" si="23"/>
        <v>0x0046</v>
      </c>
      <c r="M82" s="517" t="str">
        <f t="shared" si="12"/>
        <v>0x00C6</v>
      </c>
      <c r="N82" s="517" t="str">
        <f t="shared" si="13"/>
        <v>0x0146</v>
      </c>
      <c r="O82" s="517" t="str">
        <f t="shared" si="14"/>
        <v>0x01C6</v>
      </c>
      <c r="P82" s="517" t="str">
        <f t="shared" si="15"/>
        <v>0x0246</v>
      </c>
      <c r="Q82" s="517" t="str">
        <f t="shared" si="16"/>
        <v>0x02C6</v>
      </c>
      <c r="R82" s="517" t="str">
        <f t="shared" si="17"/>
        <v>0x0346</v>
      </c>
      <c r="S82" s="517" t="str">
        <f t="shared" si="18"/>
        <v>0x03C6</v>
      </c>
      <c r="T82" s="517" t="str">
        <f t="shared" si="19"/>
        <v>0x0446</v>
      </c>
      <c r="U82" s="517" t="str">
        <f t="shared" si="20"/>
        <v>0x04C6</v>
      </c>
      <c r="V82" s="517" t="str">
        <f t="shared" si="21"/>
        <v>0x0546</v>
      </c>
      <c r="W82" s="517" t="str">
        <f t="shared" si="22"/>
        <v>0x05C6</v>
      </c>
    </row>
    <row r="83" spans="7:23" ht="13.5" customHeight="1" x14ac:dyDescent="0.25">
      <c r="G83" s="541"/>
      <c r="H83" s="542" t="s">
        <v>962</v>
      </c>
      <c r="I83" s="411"/>
      <c r="J83" s="371">
        <v>71</v>
      </c>
      <c r="K83" s="412"/>
      <c r="L83" s="517" t="str">
        <f t="shared" si="23"/>
        <v>0x0047</v>
      </c>
      <c r="M83" s="517" t="str">
        <f t="shared" si="12"/>
        <v>0x00C7</v>
      </c>
      <c r="N83" s="517" t="str">
        <f t="shared" si="13"/>
        <v>0x0147</v>
      </c>
      <c r="O83" s="517" t="str">
        <f t="shared" si="14"/>
        <v>0x01C7</v>
      </c>
      <c r="P83" s="517" t="str">
        <f t="shared" si="15"/>
        <v>0x0247</v>
      </c>
      <c r="Q83" s="517" t="str">
        <f t="shared" si="16"/>
        <v>0x02C7</v>
      </c>
      <c r="R83" s="517" t="str">
        <f t="shared" si="17"/>
        <v>0x0347</v>
      </c>
      <c r="S83" s="517" t="str">
        <f t="shared" si="18"/>
        <v>0x03C7</v>
      </c>
      <c r="T83" s="517" t="str">
        <f t="shared" si="19"/>
        <v>0x0447</v>
      </c>
      <c r="U83" s="517" t="str">
        <f t="shared" si="20"/>
        <v>0x04C7</v>
      </c>
      <c r="V83" s="517" t="str">
        <f t="shared" si="21"/>
        <v>0x0547</v>
      </c>
      <c r="W83" s="517" t="str">
        <f t="shared" si="22"/>
        <v>0x05C7</v>
      </c>
    </row>
    <row r="84" spans="7:23" ht="13.5" customHeight="1" x14ac:dyDescent="0.25">
      <c r="G84" s="541"/>
      <c r="H84" s="542" t="s">
        <v>963</v>
      </c>
      <c r="I84" s="411"/>
      <c r="J84" s="371">
        <v>72</v>
      </c>
      <c r="K84" s="412"/>
      <c r="L84" s="517" t="str">
        <f t="shared" si="23"/>
        <v>0x0048</v>
      </c>
      <c r="M84" s="517" t="str">
        <f t="shared" si="12"/>
        <v>0x00C8</v>
      </c>
      <c r="N84" s="517" t="str">
        <f t="shared" si="13"/>
        <v>0x0148</v>
      </c>
      <c r="O84" s="517" t="str">
        <f t="shared" si="14"/>
        <v>0x01C8</v>
      </c>
      <c r="P84" s="517" t="str">
        <f t="shared" si="15"/>
        <v>0x0248</v>
      </c>
      <c r="Q84" s="517" t="str">
        <f t="shared" si="16"/>
        <v>0x02C8</v>
      </c>
      <c r="R84" s="517" t="str">
        <f t="shared" si="17"/>
        <v>0x0348</v>
      </c>
      <c r="S84" s="517" t="str">
        <f t="shared" si="18"/>
        <v>0x03C8</v>
      </c>
      <c r="T84" s="517" t="str">
        <f t="shared" si="19"/>
        <v>0x0448</v>
      </c>
      <c r="U84" s="517" t="str">
        <f t="shared" si="20"/>
        <v>0x04C8</v>
      </c>
      <c r="V84" s="517" t="str">
        <f t="shared" si="21"/>
        <v>0x0548</v>
      </c>
      <c r="W84" s="517" t="str">
        <f t="shared" si="22"/>
        <v>0x05C8</v>
      </c>
    </row>
    <row r="85" spans="7:23" ht="13.5" customHeight="1" x14ac:dyDescent="0.25">
      <c r="G85" s="545"/>
      <c r="H85" s="542" t="s">
        <v>964</v>
      </c>
      <c r="I85" s="411"/>
      <c r="J85" s="371">
        <v>73</v>
      </c>
      <c r="K85" s="412"/>
      <c r="L85" s="517" t="str">
        <f t="shared" si="23"/>
        <v>0x0049</v>
      </c>
      <c r="M85" s="517" t="str">
        <f t="shared" si="12"/>
        <v>0x00C9</v>
      </c>
      <c r="N85" s="517" t="str">
        <f t="shared" si="13"/>
        <v>0x0149</v>
      </c>
      <c r="O85" s="517" t="str">
        <f t="shared" si="14"/>
        <v>0x01C9</v>
      </c>
      <c r="P85" s="517" t="str">
        <f t="shared" si="15"/>
        <v>0x0249</v>
      </c>
      <c r="Q85" s="517" t="str">
        <f t="shared" si="16"/>
        <v>0x02C9</v>
      </c>
      <c r="R85" s="517" t="str">
        <f t="shared" si="17"/>
        <v>0x0349</v>
      </c>
      <c r="S85" s="517" t="str">
        <f t="shared" si="18"/>
        <v>0x03C9</v>
      </c>
      <c r="T85" s="517" t="str">
        <f t="shared" si="19"/>
        <v>0x0449</v>
      </c>
      <c r="U85" s="517" t="str">
        <f t="shared" si="20"/>
        <v>0x04C9</v>
      </c>
      <c r="V85" s="517" t="str">
        <f t="shared" si="21"/>
        <v>0x0549</v>
      </c>
      <c r="W85" s="517" t="str">
        <f t="shared" si="22"/>
        <v>0x05C9</v>
      </c>
    </row>
    <row r="86" spans="7:23" ht="13.5" customHeight="1" x14ac:dyDescent="0.25">
      <c r="G86" s="532"/>
      <c r="H86" s="546" t="s">
        <v>737</v>
      </c>
      <c r="I86" s="411"/>
      <c r="J86" s="371">
        <v>74</v>
      </c>
      <c r="K86" s="412"/>
      <c r="L86" s="517" t="str">
        <f t="shared" si="23"/>
        <v>0x004A</v>
      </c>
      <c r="M86" s="517" t="str">
        <f t="shared" si="12"/>
        <v>0x00CA</v>
      </c>
      <c r="N86" s="517" t="str">
        <f t="shared" si="13"/>
        <v>0x014A</v>
      </c>
      <c r="O86" s="517" t="str">
        <f t="shared" si="14"/>
        <v>0x01CA</v>
      </c>
      <c r="P86" s="517" t="str">
        <f t="shared" si="15"/>
        <v>0x024A</v>
      </c>
      <c r="Q86" s="517" t="str">
        <f t="shared" si="16"/>
        <v>0x02CA</v>
      </c>
      <c r="R86" s="517" t="str">
        <f t="shared" si="17"/>
        <v>0x034A</v>
      </c>
      <c r="S86" s="517" t="str">
        <f t="shared" si="18"/>
        <v>0x03CA</v>
      </c>
      <c r="T86" s="517" t="str">
        <f t="shared" si="19"/>
        <v>0x044A</v>
      </c>
      <c r="U86" s="517" t="str">
        <f t="shared" si="20"/>
        <v>0x04CA</v>
      </c>
      <c r="V86" s="517" t="str">
        <f t="shared" si="21"/>
        <v>0x054A</v>
      </c>
      <c r="W86" s="517" t="str">
        <f t="shared" si="22"/>
        <v>0x05CA</v>
      </c>
    </row>
    <row r="87" spans="7:23" ht="13.5" customHeight="1" x14ac:dyDescent="0.25">
      <c r="G87" s="532"/>
      <c r="H87" s="546" t="s">
        <v>737</v>
      </c>
      <c r="I87" s="411"/>
      <c r="J87" s="371">
        <v>75</v>
      </c>
      <c r="K87" s="412"/>
      <c r="L87" s="517" t="str">
        <f t="shared" si="23"/>
        <v>0x004B</v>
      </c>
      <c r="M87" s="517" t="str">
        <f t="shared" si="12"/>
        <v>0x00CB</v>
      </c>
      <c r="N87" s="517" t="str">
        <f t="shared" si="13"/>
        <v>0x014B</v>
      </c>
      <c r="O87" s="517" t="str">
        <f t="shared" si="14"/>
        <v>0x01CB</v>
      </c>
      <c r="P87" s="517" t="str">
        <f t="shared" si="15"/>
        <v>0x024B</v>
      </c>
      <c r="Q87" s="517" t="str">
        <f t="shared" si="16"/>
        <v>0x02CB</v>
      </c>
      <c r="R87" s="517" t="str">
        <f t="shared" si="17"/>
        <v>0x034B</v>
      </c>
      <c r="S87" s="517" t="str">
        <f t="shared" si="18"/>
        <v>0x03CB</v>
      </c>
      <c r="T87" s="517" t="str">
        <f t="shared" si="19"/>
        <v>0x044B</v>
      </c>
      <c r="U87" s="517" t="str">
        <f t="shared" si="20"/>
        <v>0x04CB</v>
      </c>
      <c r="V87" s="517" t="str">
        <f t="shared" si="21"/>
        <v>0x054B</v>
      </c>
      <c r="W87" s="517" t="str">
        <f t="shared" si="22"/>
        <v>0x05CB</v>
      </c>
    </row>
    <row r="88" spans="7:23" ht="13.5" customHeight="1" x14ac:dyDescent="0.25">
      <c r="G88" s="532"/>
      <c r="H88" s="546" t="s">
        <v>737</v>
      </c>
      <c r="I88" s="411"/>
      <c r="J88" s="371">
        <v>76</v>
      </c>
      <c r="K88" s="412"/>
      <c r="L88" s="517" t="str">
        <f t="shared" si="23"/>
        <v>0x004C</v>
      </c>
      <c r="M88" s="517" t="str">
        <f t="shared" si="12"/>
        <v>0x00CC</v>
      </c>
      <c r="N88" s="517" t="str">
        <f t="shared" si="13"/>
        <v>0x014C</v>
      </c>
      <c r="O88" s="517" t="str">
        <f t="shared" si="14"/>
        <v>0x01CC</v>
      </c>
      <c r="P88" s="517" t="str">
        <f t="shared" si="15"/>
        <v>0x024C</v>
      </c>
      <c r="Q88" s="517" t="str">
        <f t="shared" si="16"/>
        <v>0x02CC</v>
      </c>
      <c r="R88" s="517" t="str">
        <f t="shared" si="17"/>
        <v>0x034C</v>
      </c>
      <c r="S88" s="517" t="str">
        <f t="shared" si="18"/>
        <v>0x03CC</v>
      </c>
      <c r="T88" s="517" t="str">
        <f t="shared" si="19"/>
        <v>0x044C</v>
      </c>
      <c r="U88" s="517" t="str">
        <f t="shared" si="20"/>
        <v>0x04CC</v>
      </c>
      <c r="V88" s="517" t="str">
        <f t="shared" si="21"/>
        <v>0x054C</v>
      </c>
      <c r="W88" s="517" t="str">
        <f t="shared" si="22"/>
        <v>0x05CC</v>
      </c>
    </row>
    <row r="89" spans="7:23" ht="13.5" customHeight="1" x14ac:dyDescent="0.25">
      <c r="G89" s="532"/>
      <c r="H89" s="546" t="s">
        <v>737</v>
      </c>
      <c r="I89" s="411"/>
      <c r="J89" s="371">
        <v>77</v>
      </c>
      <c r="K89" s="412"/>
      <c r="L89" s="517" t="str">
        <f t="shared" si="23"/>
        <v>0x004D</v>
      </c>
      <c r="M89" s="517" t="str">
        <f t="shared" si="12"/>
        <v>0x00CD</v>
      </c>
      <c r="N89" s="517" t="str">
        <f t="shared" si="13"/>
        <v>0x014D</v>
      </c>
      <c r="O89" s="517" t="str">
        <f t="shared" si="14"/>
        <v>0x01CD</v>
      </c>
      <c r="P89" s="517" t="str">
        <f t="shared" si="15"/>
        <v>0x024D</v>
      </c>
      <c r="Q89" s="517" t="str">
        <f t="shared" si="16"/>
        <v>0x02CD</v>
      </c>
      <c r="R89" s="517" t="str">
        <f t="shared" si="17"/>
        <v>0x034D</v>
      </c>
      <c r="S89" s="517" t="str">
        <f t="shared" si="18"/>
        <v>0x03CD</v>
      </c>
      <c r="T89" s="517" t="str">
        <f t="shared" si="19"/>
        <v>0x044D</v>
      </c>
      <c r="U89" s="517" t="str">
        <f t="shared" si="20"/>
        <v>0x04CD</v>
      </c>
      <c r="V89" s="517" t="str">
        <f t="shared" si="21"/>
        <v>0x054D</v>
      </c>
      <c r="W89" s="517" t="str">
        <f t="shared" si="22"/>
        <v>0x05CD</v>
      </c>
    </row>
    <row r="90" spans="7:23" ht="14.25" customHeight="1" x14ac:dyDescent="0.25">
      <c r="G90" s="532"/>
      <c r="H90" s="546" t="s">
        <v>737</v>
      </c>
      <c r="I90" s="411"/>
      <c r="J90" s="371">
        <v>78</v>
      </c>
      <c r="K90" s="412"/>
      <c r="L90" s="517" t="str">
        <f t="shared" si="23"/>
        <v>0x004E</v>
      </c>
      <c r="M90" s="517" t="str">
        <f t="shared" si="12"/>
        <v>0x00CE</v>
      </c>
      <c r="N90" s="517" t="str">
        <f t="shared" si="13"/>
        <v>0x014E</v>
      </c>
      <c r="O90" s="517" t="str">
        <f t="shared" si="14"/>
        <v>0x01CE</v>
      </c>
      <c r="P90" s="517" t="str">
        <f t="shared" si="15"/>
        <v>0x024E</v>
      </c>
      <c r="Q90" s="517" t="str">
        <f t="shared" si="16"/>
        <v>0x02CE</v>
      </c>
      <c r="R90" s="517" t="str">
        <f t="shared" si="17"/>
        <v>0x034E</v>
      </c>
      <c r="S90" s="517" t="str">
        <f t="shared" si="18"/>
        <v>0x03CE</v>
      </c>
      <c r="T90" s="517" t="str">
        <f t="shared" si="19"/>
        <v>0x044E</v>
      </c>
      <c r="U90" s="517" t="str">
        <f t="shared" si="20"/>
        <v>0x04CE</v>
      </c>
      <c r="V90" s="517" t="str">
        <f t="shared" si="21"/>
        <v>0x054E</v>
      </c>
      <c r="W90" s="517" t="str">
        <f t="shared" si="22"/>
        <v>0x05CE</v>
      </c>
    </row>
    <row r="91" spans="7:23" ht="14.25" customHeight="1" thickBot="1" x14ac:dyDescent="0.3">
      <c r="G91" s="532"/>
      <c r="H91" s="547" t="s">
        <v>737</v>
      </c>
      <c r="I91" s="414"/>
      <c r="J91" s="384">
        <v>79</v>
      </c>
      <c r="K91" s="415"/>
      <c r="L91" s="537" t="str">
        <f t="shared" si="23"/>
        <v>0x004F</v>
      </c>
      <c r="M91" s="537" t="str">
        <f t="shared" si="12"/>
        <v>0x00CF</v>
      </c>
      <c r="N91" s="537" t="str">
        <f t="shared" si="13"/>
        <v>0x014F</v>
      </c>
      <c r="O91" s="537" t="str">
        <f t="shared" si="14"/>
        <v>0x01CF</v>
      </c>
      <c r="P91" s="537" t="str">
        <f t="shared" si="15"/>
        <v>0x024F</v>
      </c>
      <c r="Q91" s="537" t="str">
        <f t="shared" si="16"/>
        <v>0x02CF</v>
      </c>
      <c r="R91" s="537" t="str">
        <f t="shared" si="17"/>
        <v>0x034F</v>
      </c>
      <c r="S91" s="537" t="str">
        <f t="shared" si="18"/>
        <v>0x03CF</v>
      </c>
      <c r="T91" s="537" t="str">
        <f t="shared" si="19"/>
        <v>0x044F</v>
      </c>
      <c r="U91" s="537" t="str">
        <f t="shared" si="20"/>
        <v>0x04CF</v>
      </c>
      <c r="V91" s="537" t="str">
        <f t="shared" si="21"/>
        <v>0x054F</v>
      </c>
      <c r="W91" s="537" t="str">
        <f t="shared" si="22"/>
        <v>0x05CF</v>
      </c>
    </row>
    <row r="92" spans="7:23" ht="14.25" customHeight="1" thickTop="1" x14ac:dyDescent="0.25">
      <c r="G92" s="532"/>
      <c r="H92" s="548" t="s">
        <v>737</v>
      </c>
      <c r="I92" s="408"/>
      <c r="J92" s="394">
        <v>80</v>
      </c>
      <c r="K92" s="409">
        <v>6</v>
      </c>
      <c r="L92" s="540" t="str">
        <f t="shared" si="23"/>
        <v>0x0050</v>
      </c>
      <c r="M92" s="540" t="str">
        <f t="shared" si="12"/>
        <v>0x00D0</v>
      </c>
      <c r="N92" s="540" t="str">
        <f t="shared" si="13"/>
        <v>0x0150</v>
      </c>
      <c r="O92" s="540" t="str">
        <f t="shared" si="14"/>
        <v>0x01D0</v>
      </c>
      <c r="P92" s="540" t="str">
        <f t="shared" si="15"/>
        <v>0x0250</v>
      </c>
      <c r="Q92" s="540" t="str">
        <f t="shared" si="16"/>
        <v>0x02D0</v>
      </c>
      <c r="R92" s="540" t="str">
        <f t="shared" si="17"/>
        <v>0x0350</v>
      </c>
      <c r="S92" s="540" t="str">
        <f t="shared" si="18"/>
        <v>0x03D0</v>
      </c>
      <c r="T92" s="540" t="str">
        <f t="shared" si="19"/>
        <v>0x0450</v>
      </c>
      <c r="U92" s="540" t="str">
        <f t="shared" si="20"/>
        <v>0x04D0</v>
      </c>
      <c r="V92" s="540" t="str">
        <f t="shared" si="21"/>
        <v>0x0550</v>
      </c>
      <c r="W92" s="540" t="str">
        <f t="shared" si="22"/>
        <v>0x05D0</v>
      </c>
    </row>
    <row r="93" spans="7:23" ht="13.5" customHeight="1" x14ac:dyDescent="0.25">
      <c r="G93" s="532"/>
      <c r="H93" s="546" t="s">
        <v>737</v>
      </c>
      <c r="I93" s="411"/>
      <c r="J93" s="371">
        <v>81</v>
      </c>
      <c r="K93" s="412"/>
      <c r="L93" s="517" t="str">
        <f t="shared" si="23"/>
        <v>0x0051</v>
      </c>
      <c r="M93" s="517" t="str">
        <f t="shared" si="12"/>
        <v>0x00D1</v>
      </c>
      <c r="N93" s="517" t="str">
        <f t="shared" si="13"/>
        <v>0x0151</v>
      </c>
      <c r="O93" s="517" t="str">
        <f t="shared" si="14"/>
        <v>0x01D1</v>
      </c>
      <c r="P93" s="517" t="str">
        <f t="shared" si="15"/>
        <v>0x0251</v>
      </c>
      <c r="Q93" s="517" t="str">
        <f t="shared" si="16"/>
        <v>0x02D1</v>
      </c>
      <c r="R93" s="517" t="str">
        <f t="shared" si="17"/>
        <v>0x0351</v>
      </c>
      <c r="S93" s="517" t="str">
        <f t="shared" si="18"/>
        <v>0x03D1</v>
      </c>
      <c r="T93" s="517" t="str">
        <f t="shared" si="19"/>
        <v>0x0451</v>
      </c>
      <c r="U93" s="517" t="str">
        <f t="shared" si="20"/>
        <v>0x04D1</v>
      </c>
      <c r="V93" s="517" t="str">
        <f t="shared" si="21"/>
        <v>0x0551</v>
      </c>
      <c r="W93" s="517" t="str">
        <f t="shared" si="22"/>
        <v>0x05D1</v>
      </c>
    </row>
    <row r="94" spans="7:23" ht="13.5" customHeight="1" x14ac:dyDescent="0.25">
      <c r="G94" s="532"/>
      <c r="H94" s="546" t="s">
        <v>737</v>
      </c>
      <c r="I94" s="411"/>
      <c r="J94" s="371">
        <v>82</v>
      </c>
      <c r="K94" s="412"/>
      <c r="L94" s="517" t="str">
        <f t="shared" si="23"/>
        <v>0x0052</v>
      </c>
      <c r="M94" s="517" t="str">
        <f t="shared" si="12"/>
        <v>0x00D2</v>
      </c>
      <c r="N94" s="517" t="str">
        <f t="shared" si="13"/>
        <v>0x0152</v>
      </c>
      <c r="O94" s="517" t="str">
        <f t="shared" si="14"/>
        <v>0x01D2</v>
      </c>
      <c r="P94" s="517" t="str">
        <f t="shared" si="15"/>
        <v>0x0252</v>
      </c>
      <c r="Q94" s="517" t="str">
        <f t="shared" si="16"/>
        <v>0x02D2</v>
      </c>
      <c r="R94" s="517" t="str">
        <f t="shared" si="17"/>
        <v>0x0352</v>
      </c>
      <c r="S94" s="517" t="str">
        <f t="shared" si="18"/>
        <v>0x03D2</v>
      </c>
      <c r="T94" s="517" t="str">
        <f t="shared" si="19"/>
        <v>0x0452</v>
      </c>
      <c r="U94" s="517" t="str">
        <f t="shared" si="20"/>
        <v>0x04D2</v>
      </c>
      <c r="V94" s="517" t="str">
        <f t="shared" si="21"/>
        <v>0x0552</v>
      </c>
      <c r="W94" s="517" t="str">
        <f t="shared" si="22"/>
        <v>0x05D2</v>
      </c>
    </row>
    <row r="95" spans="7:23" ht="13.5" customHeight="1" x14ac:dyDescent="0.25">
      <c r="G95" s="532"/>
      <c r="H95" s="546" t="s">
        <v>737</v>
      </c>
      <c r="I95" s="411"/>
      <c r="J95" s="371">
        <v>83</v>
      </c>
      <c r="K95" s="412"/>
      <c r="L95" s="517" t="str">
        <f t="shared" si="23"/>
        <v>0x0053</v>
      </c>
      <c r="M95" s="517" t="str">
        <f t="shared" si="12"/>
        <v>0x00D3</v>
      </c>
      <c r="N95" s="517" t="str">
        <f t="shared" si="13"/>
        <v>0x0153</v>
      </c>
      <c r="O95" s="517" t="str">
        <f t="shared" si="14"/>
        <v>0x01D3</v>
      </c>
      <c r="P95" s="517" t="str">
        <f t="shared" si="15"/>
        <v>0x0253</v>
      </c>
      <c r="Q95" s="517" t="str">
        <f t="shared" si="16"/>
        <v>0x02D3</v>
      </c>
      <c r="R95" s="517" t="str">
        <f t="shared" si="17"/>
        <v>0x0353</v>
      </c>
      <c r="S95" s="517" t="str">
        <f t="shared" si="18"/>
        <v>0x03D3</v>
      </c>
      <c r="T95" s="517" t="str">
        <f t="shared" si="19"/>
        <v>0x0453</v>
      </c>
      <c r="U95" s="517" t="str">
        <f t="shared" si="20"/>
        <v>0x04D3</v>
      </c>
      <c r="V95" s="517" t="str">
        <f t="shared" si="21"/>
        <v>0x0553</v>
      </c>
      <c r="W95" s="517" t="str">
        <f t="shared" si="22"/>
        <v>0x05D3</v>
      </c>
    </row>
    <row r="96" spans="7:23" ht="13.5" customHeight="1" x14ac:dyDescent="0.25">
      <c r="G96" s="532"/>
      <c r="H96" s="546" t="s">
        <v>737</v>
      </c>
      <c r="I96" s="411"/>
      <c r="J96" s="371">
        <v>84</v>
      </c>
      <c r="K96" s="412"/>
      <c r="L96" s="517" t="str">
        <f t="shared" si="23"/>
        <v>0x0054</v>
      </c>
      <c r="M96" s="517" t="str">
        <f t="shared" si="12"/>
        <v>0x00D4</v>
      </c>
      <c r="N96" s="517" t="str">
        <f t="shared" si="13"/>
        <v>0x0154</v>
      </c>
      <c r="O96" s="517" t="str">
        <f t="shared" si="14"/>
        <v>0x01D4</v>
      </c>
      <c r="P96" s="517" t="str">
        <f t="shared" si="15"/>
        <v>0x0254</v>
      </c>
      <c r="Q96" s="517" t="str">
        <f t="shared" si="16"/>
        <v>0x02D4</v>
      </c>
      <c r="R96" s="517" t="str">
        <f t="shared" si="17"/>
        <v>0x0354</v>
      </c>
      <c r="S96" s="517" t="str">
        <f t="shared" si="18"/>
        <v>0x03D4</v>
      </c>
      <c r="T96" s="517" t="str">
        <f t="shared" si="19"/>
        <v>0x0454</v>
      </c>
      <c r="U96" s="517" t="str">
        <f t="shared" si="20"/>
        <v>0x04D4</v>
      </c>
      <c r="V96" s="517" t="str">
        <f t="shared" si="21"/>
        <v>0x0554</v>
      </c>
      <c r="W96" s="517" t="str">
        <f t="shared" si="22"/>
        <v>0x05D4</v>
      </c>
    </row>
    <row r="97" spans="7:23" ht="13.5" customHeight="1" x14ac:dyDescent="0.25">
      <c r="G97" s="532"/>
      <c r="H97" s="546" t="s">
        <v>737</v>
      </c>
      <c r="I97" s="411"/>
      <c r="J97" s="371">
        <v>85</v>
      </c>
      <c r="K97" s="412"/>
      <c r="L97" s="517" t="str">
        <f t="shared" si="23"/>
        <v>0x0055</v>
      </c>
      <c r="M97" s="517" t="str">
        <f t="shared" si="12"/>
        <v>0x00D5</v>
      </c>
      <c r="N97" s="517" t="str">
        <f t="shared" si="13"/>
        <v>0x0155</v>
      </c>
      <c r="O97" s="517" t="str">
        <f t="shared" si="14"/>
        <v>0x01D5</v>
      </c>
      <c r="P97" s="517" t="str">
        <f t="shared" si="15"/>
        <v>0x0255</v>
      </c>
      <c r="Q97" s="517" t="str">
        <f t="shared" si="16"/>
        <v>0x02D5</v>
      </c>
      <c r="R97" s="517" t="str">
        <f t="shared" si="17"/>
        <v>0x0355</v>
      </c>
      <c r="S97" s="517" t="str">
        <f t="shared" si="18"/>
        <v>0x03D5</v>
      </c>
      <c r="T97" s="517" t="str">
        <f t="shared" si="19"/>
        <v>0x0455</v>
      </c>
      <c r="U97" s="517" t="str">
        <f t="shared" si="20"/>
        <v>0x04D5</v>
      </c>
      <c r="V97" s="517" t="str">
        <f t="shared" si="21"/>
        <v>0x0555</v>
      </c>
      <c r="W97" s="517" t="str">
        <f t="shared" si="22"/>
        <v>0x05D5</v>
      </c>
    </row>
    <row r="98" spans="7:23" ht="13.5" customHeight="1" x14ac:dyDescent="0.25">
      <c r="G98" s="532"/>
      <c r="H98" s="546" t="s">
        <v>737</v>
      </c>
      <c r="I98" s="411"/>
      <c r="J98" s="371">
        <v>86</v>
      </c>
      <c r="K98" s="412"/>
      <c r="L98" s="517" t="str">
        <f t="shared" si="23"/>
        <v>0x0056</v>
      </c>
      <c r="M98" s="517" t="str">
        <f t="shared" si="12"/>
        <v>0x00D6</v>
      </c>
      <c r="N98" s="517" t="str">
        <f t="shared" si="13"/>
        <v>0x0156</v>
      </c>
      <c r="O98" s="517" t="str">
        <f t="shared" si="14"/>
        <v>0x01D6</v>
      </c>
      <c r="P98" s="517" t="str">
        <f t="shared" si="15"/>
        <v>0x0256</v>
      </c>
      <c r="Q98" s="517" t="str">
        <f t="shared" si="16"/>
        <v>0x02D6</v>
      </c>
      <c r="R98" s="517" t="str">
        <f t="shared" si="17"/>
        <v>0x0356</v>
      </c>
      <c r="S98" s="517" t="str">
        <f t="shared" si="18"/>
        <v>0x03D6</v>
      </c>
      <c r="T98" s="517" t="str">
        <f t="shared" si="19"/>
        <v>0x0456</v>
      </c>
      <c r="U98" s="517" t="str">
        <f t="shared" si="20"/>
        <v>0x04D6</v>
      </c>
      <c r="V98" s="517" t="str">
        <f t="shared" si="21"/>
        <v>0x0556</v>
      </c>
      <c r="W98" s="517" t="str">
        <f t="shared" si="22"/>
        <v>0x05D6</v>
      </c>
    </row>
    <row r="99" spans="7:23" ht="13.5" customHeight="1" x14ac:dyDescent="0.25">
      <c r="G99" s="532"/>
      <c r="H99" s="546" t="s">
        <v>737</v>
      </c>
      <c r="I99" s="411"/>
      <c r="J99" s="371">
        <v>87</v>
      </c>
      <c r="K99" s="412"/>
      <c r="L99" s="517" t="str">
        <f t="shared" si="23"/>
        <v>0x0057</v>
      </c>
      <c r="M99" s="517" t="str">
        <f t="shared" si="12"/>
        <v>0x00D7</v>
      </c>
      <c r="N99" s="517" t="str">
        <f t="shared" si="13"/>
        <v>0x0157</v>
      </c>
      <c r="O99" s="517" t="str">
        <f t="shared" si="14"/>
        <v>0x01D7</v>
      </c>
      <c r="P99" s="517" t="str">
        <f t="shared" si="15"/>
        <v>0x0257</v>
      </c>
      <c r="Q99" s="517" t="str">
        <f t="shared" si="16"/>
        <v>0x02D7</v>
      </c>
      <c r="R99" s="517" t="str">
        <f t="shared" si="17"/>
        <v>0x0357</v>
      </c>
      <c r="S99" s="517" t="str">
        <f t="shared" si="18"/>
        <v>0x03D7</v>
      </c>
      <c r="T99" s="517" t="str">
        <f t="shared" si="19"/>
        <v>0x0457</v>
      </c>
      <c r="U99" s="517" t="str">
        <f t="shared" si="20"/>
        <v>0x04D7</v>
      </c>
      <c r="V99" s="517" t="str">
        <f t="shared" si="21"/>
        <v>0x0557</v>
      </c>
      <c r="W99" s="517" t="str">
        <f t="shared" si="22"/>
        <v>0x05D7</v>
      </c>
    </row>
    <row r="100" spans="7:23" ht="13.5" customHeight="1" x14ac:dyDescent="0.25">
      <c r="G100" s="532"/>
      <c r="H100" s="546" t="s">
        <v>737</v>
      </c>
      <c r="I100" s="411"/>
      <c r="J100" s="371">
        <v>88</v>
      </c>
      <c r="K100" s="412"/>
      <c r="L100" s="517" t="str">
        <f t="shared" si="23"/>
        <v>0x0058</v>
      </c>
      <c r="M100" s="517" t="str">
        <f t="shared" si="12"/>
        <v>0x00D8</v>
      </c>
      <c r="N100" s="517" t="str">
        <f t="shared" si="13"/>
        <v>0x0158</v>
      </c>
      <c r="O100" s="517" t="str">
        <f t="shared" si="14"/>
        <v>0x01D8</v>
      </c>
      <c r="P100" s="517" t="str">
        <f t="shared" si="15"/>
        <v>0x0258</v>
      </c>
      <c r="Q100" s="517" t="str">
        <f t="shared" si="16"/>
        <v>0x02D8</v>
      </c>
      <c r="R100" s="517" t="str">
        <f t="shared" si="17"/>
        <v>0x0358</v>
      </c>
      <c r="S100" s="517" t="str">
        <f t="shared" si="18"/>
        <v>0x03D8</v>
      </c>
      <c r="T100" s="517" t="str">
        <f t="shared" si="19"/>
        <v>0x0458</v>
      </c>
      <c r="U100" s="517" t="str">
        <f t="shared" si="20"/>
        <v>0x04D8</v>
      </c>
      <c r="V100" s="517" t="str">
        <f t="shared" si="21"/>
        <v>0x0558</v>
      </c>
      <c r="W100" s="517" t="str">
        <f t="shared" si="22"/>
        <v>0x05D8</v>
      </c>
    </row>
    <row r="101" spans="7:23" ht="13.5" customHeight="1" x14ac:dyDescent="0.25">
      <c r="G101" s="532"/>
      <c r="H101" s="546" t="s">
        <v>737</v>
      </c>
      <c r="I101" s="411"/>
      <c r="J101" s="371">
        <v>89</v>
      </c>
      <c r="K101" s="412"/>
      <c r="L101" s="517" t="str">
        <f t="shared" si="23"/>
        <v>0x0059</v>
      </c>
      <c r="M101" s="517" t="str">
        <f t="shared" si="12"/>
        <v>0x00D9</v>
      </c>
      <c r="N101" s="517" t="str">
        <f t="shared" si="13"/>
        <v>0x0159</v>
      </c>
      <c r="O101" s="517" t="str">
        <f t="shared" si="14"/>
        <v>0x01D9</v>
      </c>
      <c r="P101" s="517" t="str">
        <f t="shared" si="15"/>
        <v>0x0259</v>
      </c>
      <c r="Q101" s="517" t="str">
        <f t="shared" si="16"/>
        <v>0x02D9</v>
      </c>
      <c r="R101" s="517" t="str">
        <f t="shared" si="17"/>
        <v>0x0359</v>
      </c>
      <c r="S101" s="517" t="str">
        <f t="shared" si="18"/>
        <v>0x03D9</v>
      </c>
      <c r="T101" s="517" t="str">
        <f t="shared" si="19"/>
        <v>0x0459</v>
      </c>
      <c r="U101" s="517" t="str">
        <f t="shared" si="20"/>
        <v>0x04D9</v>
      </c>
      <c r="V101" s="517" t="str">
        <f t="shared" si="21"/>
        <v>0x0559</v>
      </c>
      <c r="W101" s="517" t="str">
        <f t="shared" si="22"/>
        <v>0x05D9</v>
      </c>
    </row>
    <row r="102" spans="7:23" ht="13.5" customHeight="1" x14ac:dyDescent="0.25">
      <c r="G102" s="532"/>
      <c r="H102" s="546" t="s">
        <v>737</v>
      </c>
      <c r="I102" s="411"/>
      <c r="J102" s="371">
        <v>90</v>
      </c>
      <c r="K102" s="412"/>
      <c r="L102" s="517" t="str">
        <f t="shared" si="23"/>
        <v>0x005A</v>
      </c>
      <c r="M102" s="517" t="str">
        <f t="shared" si="12"/>
        <v>0x00DA</v>
      </c>
      <c r="N102" s="517" t="str">
        <f t="shared" si="13"/>
        <v>0x015A</v>
      </c>
      <c r="O102" s="517" t="str">
        <f t="shared" si="14"/>
        <v>0x01DA</v>
      </c>
      <c r="P102" s="517" t="str">
        <f t="shared" si="15"/>
        <v>0x025A</v>
      </c>
      <c r="Q102" s="517" t="str">
        <f t="shared" si="16"/>
        <v>0x02DA</v>
      </c>
      <c r="R102" s="517" t="str">
        <f t="shared" si="17"/>
        <v>0x035A</v>
      </c>
      <c r="S102" s="517" t="str">
        <f t="shared" si="18"/>
        <v>0x03DA</v>
      </c>
      <c r="T102" s="517" t="str">
        <f t="shared" si="19"/>
        <v>0x045A</v>
      </c>
      <c r="U102" s="517" t="str">
        <f t="shared" si="20"/>
        <v>0x04DA</v>
      </c>
      <c r="V102" s="517" t="str">
        <f t="shared" si="21"/>
        <v>0x055A</v>
      </c>
      <c r="W102" s="517" t="str">
        <f t="shared" si="22"/>
        <v>0x05DA</v>
      </c>
    </row>
    <row r="103" spans="7:23" ht="13.5" customHeight="1" x14ac:dyDescent="0.25">
      <c r="G103" s="532"/>
      <c r="H103" s="546" t="s">
        <v>737</v>
      </c>
      <c r="I103" s="411"/>
      <c r="J103" s="371">
        <v>91</v>
      </c>
      <c r="K103" s="412"/>
      <c r="L103" s="517" t="str">
        <f t="shared" si="23"/>
        <v>0x005B</v>
      </c>
      <c r="M103" s="517" t="str">
        <f t="shared" si="12"/>
        <v>0x00DB</v>
      </c>
      <c r="N103" s="517" t="str">
        <f t="shared" si="13"/>
        <v>0x015B</v>
      </c>
      <c r="O103" s="517" t="str">
        <f t="shared" si="14"/>
        <v>0x01DB</v>
      </c>
      <c r="P103" s="517" t="str">
        <f t="shared" si="15"/>
        <v>0x025B</v>
      </c>
      <c r="Q103" s="517" t="str">
        <f t="shared" si="16"/>
        <v>0x02DB</v>
      </c>
      <c r="R103" s="517" t="str">
        <f t="shared" si="17"/>
        <v>0x035B</v>
      </c>
      <c r="S103" s="517" t="str">
        <f t="shared" si="18"/>
        <v>0x03DB</v>
      </c>
      <c r="T103" s="517" t="str">
        <f t="shared" si="19"/>
        <v>0x045B</v>
      </c>
      <c r="U103" s="517" t="str">
        <f t="shared" si="20"/>
        <v>0x04DB</v>
      </c>
      <c r="V103" s="517" t="str">
        <f t="shared" si="21"/>
        <v>0x055B</v>
      </c>
      <c r="W103" s="517" t="str">
        <f t="shared" si="22"/>
        <v>0x05DB</v>
      </c>
    </row>
    <row r="104" spans="7:23" ht="13.5" customHeight="1" x14ac:dyDescent="0.25">
      <c r="G104" s="532"/>
      <c r="H104" s="546" t="s">
        <v>737</v>
      </c>
      <c r="I104" s="411"/>
      <c r="J104" s="371">
        <v>92</v>
      </c>
      <c r="K104" s="412"/>
      <c r="L104" s="517" t="str">
        <f t="shared" si="23"/>
        <v>0x005C</v>
      </c>
      <c r="M104" s="517" t="str">
        <f t="shared" si="12"/>
        <v>0x00DC</v>
      </c>
      <c r="N104" s="517" t="str">
        <f t="shared" si="13"/>
        <v>0x015C</v>
      </c>
      <c r="O104" s="517" t="str">
        <f t="shared" si="14"/>
        <v>0x01DC</v>
      </c>
      <c r="P104" s="517" t="str">
        <f t="shared" si="15"/>
        <v>0x025C</v>
      </c>
      <c r="Q104" s="517" t="str">
        <f t="shared" si="16"/>
        <v>0x02DC</v>
      </c>
      <c r="R104" s="517" t="str">
        <f t="shared" si="17"/>
        <v>0x035C</v>
      </c>
      <c r="S104" s="517" t="str">
        <f t="shared" si="18"/>
        <v>0x03DC</v>
      </c>
      <c r="T104" s="517" t="str">
        <f t="shared" si="19"/>
        <v>0x045C</v>
      </c>
      <c r="U104" s="517" t="str">
        <f t="shared" si="20"/>
        <v>0x04DC</v>
      </c>
      <c r="V104" s="517" t="str">
        <f t="shared" si="21"/>
        <v>0x055C</v>
      </c>
      <c r="W104" s="517" t="str">
        <f t="shared" si="22"/>
        <v>0x05DC</v>
      </c>
    </row>
    <row r="105" spans="7:23" ht="13.5" customHeight="1" x14ac:dyDescent="0.25">
      <c r="G105" s="532"/>
      <c r="H105" s="546" t="s">
        <v>737</v>
      </c>
      <c r="I105" s="411"/>
      <c r="J105" s="371">
        <v>93</v>
      </c>
      <c r="K105" s="412"/>
      <c r="L105" s="517" t="str">
        <f t="shared" si="23"/>
        <v>0x005D</v>
      </c>
      <c r="M105" s="517" t="str">
        <f t="shared" si="12"/>
        <v>0x00DD</v>
      </c>
      <c r="N105" s="517" t="str">
        <f t="shared" si="13"/>
        <v>0x015D</v>
      </c>
      <c r="O105" s="517" t="str">
        <f t="shared" si="14"/>
        <v>0x01DD</v>
      </c>
      <c r="P105" s="517" t="str">
        <f t="shared" si="15"/>
        <v>0x025D</v>
      </c>
      <c r="Q105" s="517" t="str">
        <f t="shared" si="16"/>
        <v>0x02DD</v>
      </c>
      <c r="R105" s="517" t="str">
        <f t="shared" si="17"/>
        <v>0x035D</v>
      </c>
      <c r="S105" s="517" t="str">
        <f t="shared" si="18"/>
        <v>0x03DD</v>
      </c>
      <c r="T105" s="517" t="str">
        <f t="shared" si="19"/>
        <v>0x045D</v>
      </c>
      <c r="U105" s="517" t="str">
        <f t="shared" si="20"/>
        <v>0x04DD</v>
      </c>
      <c r="V105" s="517" t="str">
        <f t="shared" si="21"/>
        <v>0x055D</v>
      </c>
      <c r="W105" s="517" t="str">
        <f t="shared" si="22"/>
        <v>0x05DD</v>
      </c>
    </row>
    <row r="106" spans="7:23" ht="14.25" customHeight="1" x14ac:dyDescent="0.25">
      <c r="G106" s="532"/>
      <c r="H106" s="546" t="s">
        <v>737</v>
      </c>
      <c r="I106" s="411"/>
      <c r="J106" s="371">
        <v>94</v>
      </c>
      <c r="K106" s="412"/>
      <c r="L106" s="517" t="str">
        <f t="shared" si="23"/>
        <v>0x005E</v>
      </c>
      <c r="M106" s="517" t="str">
        <f t="shared" si="12"/>
        <v>0x00DE</v>
      </c>
      <c r="N106" s="517" t="str">
        <f t="shared" si="13"/>
        <v>0x015E</v>
      </c>
      <c r="O106" s="517" t="str">
        <f t="shared" si="14"/>
        <v>0x01DE</v>
      </c>
      <c r="P106" s="517" t="str">
        <f t="shared" si="15"/>
        <v>0x025E</v>
      </c>
      <c r="Q106" s="517" t="str">
        <f t="shared" si="16"/>
        <v>0x02DE</v>
      </c>
      <c r="R106" s="517" t="str">
        <f t="shared" si="17"/>
        <v>0x035E</v>
      </c>
      <c r="S106" s="517" t="str">
        <f t="shared" si="18"/>
        <v>0x03DE</v>
      </c>
      <c r="T106" s="517" t="str">
        <f t="shared" si="19"/>
        <v>0x045E</v>
      </c>
      <c r="U106" s="517" t="str">
        <f t="shared" si="20"/>
        <v>0x04DE</v>
      </c>
      <c r="V106" s="517" t="str">
        <f t="shared" si="21"/>
        <v>0x055E</v>
      </c>
      <c r="W106" s="517" t="str">
        <f t="shared" si="22"/>
        <v>0x05DE</v>
      </c>
    </row>
    <row r="107" spans="7:23" ht="14.25" customHeight="1" thickBot="1" x14ac:dyDescent="0.3">
      <c r="G107" s="532"/>
      <c r="H107" s="547" t="s">
        <v>737</v>
      </c>
      <c r="I107" s="414"/>
      <c r="J107" s="384">
        <v>95</v>
      </c>
      <c r="K107" s="415"/>
      <c r="L107" s="537" t="str">
        <f t="shared" si="23"/>
        <v>0x005F</v>
      </c>
      <c r="M107" s="537" t="str">
        <f t="shared" si="12"/>
        <v>0x00DF</v>
      </c>
      <c r="N107" s="537" t="str">
        <f t="shared" si="13"/>
        <v>0x015F</v>
      </c>
      <c r="O107" s="537" t="str">
        <f t="shared" si="14"/>
        <v>0x01DF</v>
      </c>
      <c r="P107" s="537" t="str">
        <f t="shared" si="15"/>
        <v>0x025F</v>
      </c>
      <c r="Q107" s="537" t="str">
        <f t="shared" si="16"/>
        <v>0x02DF</v>
      </c>
      <c r="R107" s="537" t="str">
        <f t="shared" si="17"/>
        <v>0x035F</v>
      </c>
      <c r="S107" s="537" t="str">
        <f t="shared" si="18"/>
        <v>0x03DF</v>
      </c>
      <c r="T107" s="537" t="str">
        <f t="shared" si="19"/>
        <v>0x045F</v>
      </c>
      <c r="U107" s="537" t="str">
        <f t="shared" si="20"/>
        <v>0x04DF</v>
      </c>
      <c r="V107" s="537" t="str">
        <f t="shared" si="21"/>
        <v>0x055F</v>
      </c>
      <c r="W107" s="537" t="str">
        <f t="shared" si="22"/>
        <v>0x05DF</v>
      </c>
    </row>
    <row r="108" spans="7:23" ht="14.25" customHeight="1" thickTop="1" x14ac:dyDescent="0.25">
      <c r="G108" s="532"/>
      <c r="H108" s="548" t="s">
        <v>737</v>
      </c>
      <c r="I108" s="408"/>
      <c r="J108" s="394">
        <v>96</v>
      </c>
      <c r="K108" s="409">
        <v>7</v>
      </c>
      <c r="L108" s="540" t="str">
        <f t="shared" si="23"/>
        <v>0x0060</v>
      </c>
      <c r="M108" s="540" t="str">
        <f t="shared" si="12"/>
        <v>0x00E0</v>
      </c>
      <c r="N108" s="540" t="str">
        <f t="shared" si="13"/>
        <v>0x0160</v>
      </c>
      <c r="O108" s="540" t="str">
        <f t="shared" si="14"/>
        <v>0x01E0</v>
      </c>
      <c r="P108" s="540" t="str">
        <f t="shared" si="15"/>
        <v>0x0260</v>
      </c>
      <c r="Q108" s="540" t="str">
        <f t="shared" si="16"/>
        <v>0x02E0</v>
      </c>
      <c r="R108" s="540" t="str">
        <f t="shared" si="17"/>
        <v>0x0360</v>
      </c>
      <c r="S108" s="540" t="str">
        <f t="shared" si="18"/>
        <v>0x03E0</v>
      </c>
      <c r="T108" s="540" t="str">
        <f t="shared" si="19"/>
        <v>0x0460</v>
      </c>
      <c r="U108" s="540" t="str">
        <f t="shared" si="20"/>
        <v>0x04E0</v>
      </c>
      <c r="V108" s="540" t="str">
        <f t="shared" si="21"/>
        <v>0x0560</v>
      </c>
      <c r="W108" s="540" t="str">
        <f t="shared" si="22"/>
        <v>0x05E0</v>
      </c>
    </row>
    <row r="109" spans="7:23" ht="13.5" customHeight="1" x14ac:dyDescent="0.25">
      <c r="G109" s="532"/>
      <c r="H109" s="546" t="s">
        <v>737</v>
      </c>
      <c r="I109" s="411"/>
      <c r="J109" s="371">
        <v>97</v>
      </c>
      <c r="K109" s="412"/>
      <c r="L109" s="517" t="str">
        <f t="shared" si="23"/>
        <v>0x0061</v>
      </c>
      <c r="M109" s="517" t="str">
        <f t="shared" si="12"/>
        <v>0x00E1</v>
      </c>
      <c r="N109" s="517" t="str">
        <f t="shared" si="13"/>
        <v>0x0161</v>
      </c>
      <c r="O109" s="517" t="str">
        <f t="shared" si="14"/>
        <v>0x01E1</v>
      </c>
      <c r="P109" s="517" t="str">
        <f t="shared" si="15"/>
        <v>0x0261</v>
      </c>
      <c r="Q109" s="517" t="str">
        <f t="shared" si="16"/>
        <v>0x02E1</v>
      </c>
      <c r="R109" s="517" t="str">
        <f t="shared" si="17"/>
        <v>0x0361</v>
      </c>
      <c r="S109" s="517" t="str">
        <f t="shared" si="18"/>
        <v>0x03E1</v>
      </c>
      <c r="T109" s="517" t="str">
        <f t="shared" si="19"/>
        <v>0x0461</v>
      </c>
      <c r="U109" s="517" t="str">
        <f t="shared" si="20"/>
        <v>0x04E1</v>
      </c>
      <c r="V109" s="517" t="str">
        <f t="shared" si="21"/>
        <v>0x0561</v>
      </c>
      <c r="W109" s="517" t="str">
        <f t="shared" si="22"/>
        <v>0x05E1</v>
      </c>
    </row>
    <row r="110" spans="7:23" ht="13.5" customHeight="1" x14ac:dyDescent="0.25">
      <c r="G110" s="532"/>
      <c r="H110" s="546" t="s">
        <v>737</v>
      </c>
      <c r="I110" s="411"/>
      <c r="J110" s="371">
        <v>98</v>
      </c>
      <c r="K110" s="412"/>
      <c r="L110" s="517" t="str">
        <f t="shared" si="23"/>
        <v>0x0062</v>
      </c>
      <c r="M110" s="517" t="str">
        <f t="shared" si="12"/>
        <v>0x00E2</v>
      </c>
      <c r="N110" s="517" t="str">
        <f t="shared" si="13"/>
        <v>0x0162</v>
      </c>
      <c r="O110" s="517" t="str">
        <f t="shared" si="14"/>
        <v>0x01E2</v>
      </c>
      <c r="P110" s="517" t="str">
        <f t="shared" si="15"/>
        <v>0x0262</v>
      </c>
      <c r="Q110" s="517" t="str">
        <f t="shared" si="16"/>
        <v>0x02E2</v>
      </c>
      <c r="R110" s="517" t="str">
        <f t="shared" si="17"/>
        <v>0x0362</v>
      </c>
      <c r="S110" s="517" t="str">
        <f t="shared" si="18"/>
        <v>0x03E2</v>
      </c>
      <c r="T110" s="517" t="str">
        <f t="shared" si="19"/>
        <v>0x0462</v>
      </c>
      <c r="U110" s="517" t="str">
        <f t="shared" si="20"/>
        <v>0x04E2</v>
      </c>
      <c r="V110" s="517" t="str">
        <f t="shared" si="21"/>
        <v>0x0562</v>
      </c>
      <c r="W110" s="517" t="str">
        <f t="shared" si="22"/>
        <v>0x05E2</v>
      </c>
    </row>
    <row r="111" spans="7:23" ht="13.5" customHeight="1" x14ac:dyDescent="0.25">
      <c r="G111" s="532"/>
      <c r="H111" s="546" t="s">
        <v>737</v>
      </c>
      <c r="I111" s="411"/>
      <c r="J111" s="371">
        <v>99</v>
      </c>
      <c r="K111" s="412"/>
      <c r="L111" s="517" t="str">
        <f t="shared" si="23"/>
        <v>0x0063</v>
      </c>
      <c r="M111" s="517" t="str">
        <f t="shared" si="12"/>
        <v>0x00E3</v>
      </c>
      <c r="N111" s="517" t="str">
        <f t="shared" si="13"/>
        <v>0x0163</v>
      </c>
      <c r="O111" s="517" t="str">
        <f t="shared" si="14"/>
        <v>0x01E3</v>
      </c>
      <c r="P111" s="517" t="str">
        <f t="shared" si="15"/>
        <v>0x0263</v>
      </c>
      <c r="Q111" s="517" t="str">
        <f t="shared" si="16"/>
        <v>0x02E3</v>
      </c>
      <c r="R111" s="517" t="str">
        <f t="shared" si="17"/>
        <v>0x0363</v>
      </c>
      <c r="S111" s="517" t="str">
        <f t="shared" si="18"/>
        <v>0x03E3</v>
      </c>
      <c r="T111" s="517" t="str">
        <f t="shared" si="19"/>
        <v>0x0463</v>
      </c>
      <c r="U111" s="517" t="str">
        <f t="shared" si="20"/>
        <v>0x04E3</v>
      </c>
      <c r="V111" s="517" t="str">
        <f t="shared" si="21"/>
        <v>0x0563</v>
      </c>
      <c r="W111" s="517" t="str">
        <f t="shared" si="22"/>
        <v>0x05E3</v>
      </c>
    </row>
    <row r="112" spans="7:23" ht="13.5" customHeight="1" x14ac:dyDescent="0.25">
      <c r="G112" s="532"/>
      <c r="H112" s="546" t="s">
        <v>737</v>
      </c>
      <c r="I112" s="411"/>
      <c r="J112" s="371">
        <v>100</v>
      </c>
      <c r="K112" s="412"/>
      <c r="L112" s="517" t="str">
        <f t="shared" si="23"/>
        <v>0x0064</v>
      </c>
      <c r="M112" s="517" t="str">
        <f t="shared" si="12"/>
        <v>0x00E4</v>
      </c>
      <c r="N112" s="517" t="str">
        <f t="shared" si="13"/>
        <v>0x0164</v>
      </c>
      <c r="O112" s="517" t="str">
        <f t="shared" si="14"/>
        <v>0x01E4</v>
      </c>
      <c r="P112" s="517" t="str">
        <f t="shared" si="15"/>
        <v>0x0264</v>
      </c>
      <c r="Q112" s="517" t="str">
        <f t="shared" si="16"/>
        <v>0x02E4</v>
      </c>
      <c r="R112" s="517" t="str">
        <f t="shared" si="17"/>
        <v>0x0364</v>
      </c>
      <c r="S112" s="517" t="str">
        <f t="shared" si="18"/>
        <v>0x03E4</v>
      </c>
      <c r="T112" s="517" t="str">
        <f t="shared" si="19"/>
        <v>0x0464</v>
      </c>
      <c r="U112" s="517" t="str">
        <f t="shared" si="20"/>
        <v>0x04E4</v>
      </c>
      <c r="V112" s="517" t="str">
        <f t="shared" si="21"/>
        <v>0x0564</v>
      </c>
      <c r="W112" s="517" t="str">
        <f t="shared" si="22"/>
        <v>0x05E4</v>
      </c>
    </row>
    <row r="113" spans="7:23" ht="13.5" customHeight="1" x14ac:dyDescent="0.25">
      <c r="G113" s="532"/>
      <c r="H113" s="546" t="s">
        <v>737</v>
      </c>
      <c r="I113" s="411"/>
      <c r="J113" s="371">
        <v>101</v>
      </c>
      <c r="K113" s="412"/>
      <c r="L113" s="517" t="str">
        <f t="shared" si="23"/>
        <v>0x0065</v>
      </c>
      <c r="M113" s="517" t="str">
        <f t="shared" si="12"/>
        <v>0x00E5</v>
      </c>
      <c r="N113" s="517" t="str">
        <f t="shared" si="13"/>
        <v>0x0165</v>
      </c>
      <c r="O113" s="517" t="str">
        <f t="shared" si="14"/>
        <v>0x01E5</v>
      </c>
      <c r="P113" s="517" t="str">
        <f t="shared" si="15"/>
        <v>0x0265</v>
      </c>
      <c r="Q113" s="517" t="str">
        <f t="shared" si="16"/>
        <v>0x02E5</v>
      </c>
      <c r="R113" s="517" t="str">
        <f t="shared" si="17"/>
        <v>0x0365</v>
      </c>
      <c r="S113" s="517" t="str">
        <f t="shared" si="18"/>
        <v>0x03E5</v>
      </c>
      <c r="T113" s="517" t="str">
        <f t="shared" si="19"/>
        <v>0x0465</v>
      </c>
      <c r="U113" s="517" t="str">
        <f t="shared" si="20"/>
        <v>0x04E5</v>
      </c>
      <c r="V113" s="517" t="str">
        <f t="shared" si="21"/>
        <v>0x0565</v>
      </c>
      <c r="W113" s="517" t="str">
        <f t="shared" si="22"/>
        <v>0x05E5</v>
      </c>
    </row>
    <row r="114" spans="7:23" ht="13.5" customHeight="1" x14ac:dyDescent="0.25">
      <c r="G114" s="532"/>
      <c r="H114" s="546" t="s">
        <v>737</v>
      </c>
      <c r="I114" s="411"/>
      <c r="J114" s="371">
        <v>102</v>
      </c>
      <c r="K114" s="412"/>
      <c r="L114" s="517" t="str">
        <f t="shared" si="23"/>
        <v>0x0066</v>
      </c>
      <c r="M114" s="517" t="str">
        <f t="shared" si="12"/>
        <v>0x00E6</v>
      </c>
      <c r="N114" s="517" t="str">
        <f t="shared" si="13"/>
        <v>0x0166</v>
      </c>
      <c r="O114" s="517" t="str">
        <f t="shared" si="14"/>
        <v>0x01E6</v>
      </c>
      <c r="P114" s="517" t="str">
        <f t="shared" si="15"/>
        <v>0x0266</v>
      </c>
      <c r="Q114" s="517" t="str">
        <f t="shared" si="16"/>
        <v>0x02E6</v>
      </c>
      <c r="R114" s="517" t="str">
        <f t="shared" si="17"/>
        <v>0x0366</v>
      </c>
      <c r="S114" s="517" t="str">
        <f t="shared" si="18"/>
        <v>0x03E6</v>
      </c>
      <c r="T114" s="517" t="str">
        <f t="shared" si="19"/>
        <v>0x0466</v>
      </c>
      <c r="U114" s="517" t="str">
        <f t="shared" si="20"/>
        <v>0x04E6</v>
      </c>
      <c r="V114" s="517" t="str">
        <f t="shared" si="21"/>
        <v>0x0566</v>
      </c>
      <c r="W114" s="517" t="str">
        <f t="shared" si="22"/>
        <v>0x05E6</v>
      </c>
    </row>
    <row r="115" spans="7:23" ht="13.5" customHeight="1" x14ac:dyDescent="0.25">
      <c r="G115" s="532"/>
      <c r="H115" s="546" t="s">
        <v>737</v>
      </c>
      <c r="I115" s="411"/>
      <c r="J115" s="371">
        <v>103</v>
      </c>
      <c r="K115" s="412"/>
      <c r="L115" s="517" t="str">
        <f t="shared" si="23"/>
        <v>0x0067</v>
      </c>
      <c r="M115" s="517" t="str">
        <f t="shared" si="12"/>
        <v>0x00E7</v>
      </c>
      <c r="N115" s="517" t="str">
        <f t="shared" si="13"/>
        <v>0x0167</v>
      </c>
      <c r="O115" s="517" t="str">
        <f t="shared" si="14"/>
        <v>0x01E7</v>
      </c>
      <c r="P115" s="517" t="str">
        <f t="shared" si="15"/>
        <v>0x0267</v>
      </c>
      <c r="Q115" s="517" t="str">
        <f t="shared" si="16"/>
        <v>0x02E7</v>
      </c>
      <c r="R115" s="517" t="str">
        <f t="shared" si="17"/>
        <v>0x0367</v>
      </c>
      <c r="S115" s="517" t="str">
        <f t="shared" si="18"/>
        <v>0x03E7</v>
      </c>
      <c r="T115" s="517" t="str">
        <f t="shared" si="19"/>
        <v>0x0467</v>
      </c>
      <c r="U115" s="517" t="str">
        <f t="shared" si="20"/>
        <v>0x04E7</v>
      </c>
      <c r="V115" s="517" t="str">
        <f t="shared" si="21"/>
        <v>0x0567</v>
      </c>
      <c r="W115" s="517" t="str">
        <f t="shared" si="22"/>
        <v>0x05E7</v>
      </c>
    </row>
    <row r="116" spans="7:23" ht="13.5" customHeight="1" x14ac:dyDescent="0.25">
      <c r="G116" s="532"/>
      <c r="H116" s="546" t="s">
        <v>737</v>
      </c>
      <c r="I116" s="411"/>
      <c r="J116" s="371">
        <v>104</v>
      </c>
      <c r="K116" s="412"/>
      <c r="L116" s="517" t="str">
        <f t="shared" si="23"/>
        <v>0x0068</v>
      </c>
      <c r="M116" s="517" t="str">
        <f t="shared" si="12"/>
        <v>0x00E8</v>
      </c>
      <c r="N116" s="517" t="str">
        <f t="shared" si="13"/>
        <v>0x0168</v>
      </c>
      <c r="O116" s="517" t="str">
        <f t="shared" si="14"/>
        <v>0x01E8</v>
      </c>
      <c r="P116" s="517" t="str">
        <f t="shared" si="15"/>
        <v>0x0268</v>
      </c>
      <c r="Q116" s="517" t="str">
        <f t="shared" si="16"/>
        <v>0x02E8</v>
      </c>
      <c r="R116" s="517" t="str">
        <f t="shared" si="17"/>
        <v>0x0368</v>
      </c>
      <c r="S116" s="517" t="str">
        <f t="shared" si="18"/>
        <v>0x03E8</v>
      </c>
      <c r="T116" s="517" t="str">
        <f t="shared" si="19"/>
        <v>0x0468</v>
      </c>
      <c r="U116" s="517" t="str">
        <f t="shared" si="20"/>
        <v>0x04E8</v>
      </c>
      <c r="V116" s="517" t="str">
        <f t="shared" si="21"/>
        <v>0x0568</v>
      </c>
      <c r="W116" s="517" t="str">
        <f t="shared" si="22"/>
        <v>0x05E8</v>
      </c>
    </row>
    <row r="117" spans="7:23" ht="13.5" customHeight="1" x14ac:dyDescent="0.25">
      <c r="G117" s="532"/>
      <c r="H117" s="546" t="s">
        <v>737</v>
      </c>
      <c r="I117" s="411"/>
      <c r="J117" s="371">
        <v>105</v>
      </c>
      <c r="K117" s="412"/>
      <c r="L117" s="517" t="str">
        <f t="shared" si="23"/>
        <v>0x0069</v>
      </c>
      <c r="M117" s="517" t="str">
        <f t="shared" si="12"/>
        <v>0x00E9</v>
      </c>
      <c r="N117" s="517" t="str">
        <f t="shared" si="13"/>
        <v>0x0169</v>
      </c>
      <c r="O117" s="517" t="str">
        <f t="shared" si="14"/>
        <v>0x01E9</v>
      </c>
      <c r="P117" s="517" t="str">
        <f t="shared" si="15"/>
        <v>0x0269</v>
      </c>
      <c r="Q117" s="517" t="str">
        <f t="shared" si="16"/>
        <v>0x02E9</v>
      </c>
      <c r="R117" s="517" t="str">
        <f t="shared" si="17"/>
        <v>0x0369</v>
      </c>
      <c r="S117" s="517" t="str">
        <f t="shared" si="18"/>
        <v>0x03E9</v>
      </c>
      <c r="T117" s="517" t="str">
        <f t="shared" si="19"/>
        <v>0x0469</v>
      </c>
      <c r="U117" s="517" t="str">
        <f t="shared" si="20"/>
        <v>0x04E9</v>
      </c>
      <c r="V117" s="517" t="str">
        <f t="shared" si="21"/>
        <v>0x0569</v>
      </c>
      <c r="W117" s="517" t="str">
        <f t="shared" si="22"/>
        <v>0x05E9</v>
      </c>
    </row>
    <row r="118" spans="7:23" ht="13.5" customHeight="1" x14ac:dyDescent="0.25">
      <c r="G118" s="532"/>
      <c r="H118" s="546" t="s">
        <v>737</v>
      </c>
      <c r="I118" s="411"/>
      <c r="J118" s="371">
        <v>106</v>
      </c>
      <c r="K118" s="412"/>
      <c r="L118" s="517" t="str">
        <f t="shared" si="23"/>
        <v>0x006A</v>
      </c>
      <c r="M118" s="517" t="str">
        <f t="shared" si="12"/>
        <v>0x00EA</v>
      </c>
      <c r="N118" s="517" t="str">
        <f t="shared" si="13"/>
        <v>0x016A</v>
      </c>
      <c r="O118" s="517" t="str">
        <f t="shared" si="14"/>
        <v>0x01EA</v>
      </c>
      <c r="P118" s="517" t="str">
        <f t="shared" si="15"/>
        <v>0x026A</v>
      </c>
      <c r="Q118" s="517" t="str">
        <f t="shared" si="16"/>
        <v>0x02EA</v>
      </c>
      <c r="R118" s="517" t="str">
        <f t="shared" si="17"/>
        <v>0x036A</v>
      </c>
      <c r="S118" s="517" t="str">
        <f t="shared" si="18"/>
        <v>0x03EA</v>
      </c>
      <c r="T118" s="517" t="str">
        <f t="shared" si="19"/>
        <v>0x046A</v>
      </c>
      <c r="U118" s="517" t="str">
        <f t="shared" si="20"/>
        <v>0x04EA</v>
      </c>
      <c r="V118" s="517" t="str">
        <f t="shared" si="21"/>
        <v>0x056A</v>
      </c>
      <c r="W118" s="517" t="str">
        <f t="shared" si="22"/>
        <v>0x05EA</v>
      </c>
    </row>
    <row r="119" spans="7:23" ht="13.5" customHeight="1" x14ac:dyDescent="0.25">
      <c r="G119" s="532"/>
      <c r="H119" s="546" t="s">
        <v>737</v>
      </c>
      <c r="I119" s="411"/>
      <c r="J119" s="371">
        <v>107</v>
      </c>
      <c r="K119" s="412"/>
      <c r="L119" s="517" t="str">
        <f t="shared" si="23"/>
        <v>0x006B</v>
      </c>
      <c r="M119" s="517" t="str">
        <f t="shared" si="12"/>
        <v>0x00EB</v>
      </c>
      <c r="N119" s="517" t="str">
        <f t="shared" si="13"/>
        <v>0x016B</v>
      </c>
      <c r="O119" s="517" t="str">
        <f t="shared" si="14"/>
        <v>0x01EB</v>
      </c>
      <c r="P119" s="517" t="str">
        <f t="shared" si="15"/>
        <v>0x026B</v>
      </c>
      <c r="Q119" s="517" t="str">
        <f t="shared" si="16"/>
        <v>0x02EB</v>
      </c>
      <c r="R119" s="517" t="str">
        <f t="shared" si="17"/>
        <v>0x036B</v>
      </c>
      <c r="S119" s="517" t="str">
        <f t="shared" si="18"/>
        <v>0x03EB</v>
      </c>
      <c r="T119" s="517" t="str">
        <f t="shared" si="19"/>
        <v>0x046B</v>
      </c>
      <c r="U119" s="517" t="str">
        <f t="shared" si="20"/>
        <v>0x04EB</v>
      </c>
      <c r="V119" s="517" t="str">
        <f t="shared" si="21"/>
        <v>0x056B</v>
      </c>
      <c r="W119" s="517" t="str">
        <f t="shared" si="22"/>
        <v>0x05EB</v>
      </c>
    </row>
    <row r="120" spans="7:23" ht="13.5" customHeight="1" x14ac:dyDescent="0.25">
      <c r="G120" s="532"/>
      <c r="H120" s="546" t="s">
        <v>737</v>
      </c>
      <c r="I120" s="411"/>
      <c r="J120" s="371">
        <v>108</v>
      </c>
      <c r="K120" s="412"/>
      <c r="L120" s="517" t="str">
        <f t="shared" si="23"/>
        <v>0x006C</v>
      </c>
      <c r="M120" s="517" t="str">
        <f t="shared" si="12"/>
        <v>0x00EC</v>
      </c>
      <c r="N120" s="517" t="str">
        <f t="shared" si="13"/>
        <v>0x016C</v>
      </c>
      <c r="O120" s="517" t="str">
        <f t="shared" si="14"/>
        <v>0x01EC</v>
      </c>
      <c r="P120" s="517" t="str">
        <f t="shared" si="15"/>
        <v>0x026C</v>
      </c>
      <c r="Q120" s="517" t="str">
        <f t="shared" si="16"/>
        <v>0x02EC</v>
      </c>
      <c r="R120" s="517" t="str">
        <f t="shared" si="17"/>
        <v>0x036C</v>
      </c>
      <c r="S120" s="517" t="str">
        <f t="shared" si="18"/>
        <v>0x03EC</v>
      </c>
      <c r="T120" s="517" t="str">
        <f t="shared" si="19"/>
        <v>0x046C</v>
      </c>
      <c r="U120" s="517" t="str">
        <f t="shared" si="20"/>
        <v>0x04EC</v>
      </c>
      <c r="V120" s="517" t="str">
        <f t="shared" si="21"/>
        <v>0x056C</v>
      </c>
      <c r="W120" s="517" t="str">
        <f t="shared" si="22"/>
        <v>0x05EC</v>
      </c>
    </row>
    <row r="121" spans="7:23" ht="13.5" customHeight="1" x14ac:dyDescent="0.25">
      <c r="G121" s="532"/>
      <c r="H121" s="546" t="s">
        <v>737</v>
      </c>
      <c r="I121" s="411"/>
      <c r="J121" s="371">
        <v>109</v>
      </c>
      <c r="K121" s="412"/>
      <c r="L121" s="517" t="str">
        <f t="shared" si="23"/>
        <v>0x006D</v>
      </c>
      <c r="M121" s="517" t="str">
        <f t="shared" si="12"/>
        <v>0x00ED</v>
      </c>
      <c r="N121" s="517" t="str">
        <f t="shared" si="13"/>
        <v>0x016D</v>
      </c>
      <c r="O121" s="517" t="str">
        <f t="shared" si="14"/>
        <v>0x01ED</v>
      </c>
      <c r="P121" s="517" t="str">
        <f t="shared" si="15"/>
        <v>0x026D</v>
      </c>
      <c r="Q121" s="517" t="str">
        <f t="shared" si="16"/>
        <v>0x02ED</v>
      </c>
      <c r="R121" s="517" t="str">
        <f t="shared" si="17"/>
        <v>0x036D</v>
      </c>
      <c r="S121" s="517" t="str">
        <f t="shared" si="18"/>
        <v>0x03ED</v>
      </c>
      <c r="T121" s="517" t="str">
        <f t="shared" si="19"/>
        <v>0x046D</v>
      </c>
      <c r="U121" s="517" t="str">
        <f t="shared" si="20"/>
        <v>0x04ED</v>
      </c>
      <c r="V121" s="517" t="str">
        <f t="shared" si="21"/>
        <v>0x056D</v>
      </c>
      <c r="W121" s="517" t="str">
        <f t="shared" si="22"/>
        <v>0x05ED</v>
      </c>
    </row>
    <row r="122" spans="7:23" ht="14.25" customHeight="1" x14ac:dyDescent="0.25">
      <c r="G122" s="532"/>
      <c r="H122" s="546" t="s">
        <v>737</v>
      </c>
      <c r="I122" s="411"/>
      <c r="J122" s="371">
        <v>110</v>
      </c>
      <c r="K122" s="412"/>
      <c r="L122" s="517" t="str">
        <f t="shared" si="23"/>
        <v>0x006E</v>
      </c>
      <c r="M122" s="517" t="str">
        <f t="shared" si="12"/>
        <v>0x00EE</v>
      </c>
      <c r="N122" s="517" t="str">
        <f t="shared" si="13"/>
        <v>0x016E</v>
      </c>
      <c r="O122" s="517" t="str">
        <f t="shared" si="14"/>
        <v>0x01EE</v>
      </c>
      <c r="P122" s="517" t="str">
        <f t="shared" si="15"/>
        <v>0x026E</v>
      </c>
      <c r="Q122" s="517" t="str">
        <f t="shared" si="16"/>
        <v>0x02EE</v>
      </c>
      <c r="R122" s="517" t="str">
        <f t="shared" si="17"/>
        <v>0x036E</v>
      </c>
      <c r="S122" s="517" t="str">
        <f t="shared" si="18"/>
        <v>0x03EE</v>
      </c>
      <c r="T122" s="517" t="str">
        <f t="shared" si="19"/>
        <v>0x046E</v>
      </c>
      <c r="U122" s="517" t="str">
        <f t="shared" si="20"/>
        <v>0x04EE</v>
      </c>
      <c r="V122" s="517" t="str">
        <f t="shared" si="21"/>
        <v>0x056E</v>
      </c>
      <c r="W122" s="517" t="str">
        <f t="shared" si="22"/>
        <v>0x05EE</v>
      </c>
    </row>
    <row r="123" spans="7:23" ht="14.25" customHeight="1" thickBot="1" x14ac:dyDescent="0.3">
      <c r="G123" s="532"/>
      <c r="H123" s="547" t="s">
        <v>737</v>
      </c>
      <c r="I123" s="414"/>
      <c r="J123" s="384">
        <v>111</v>
      </c>
      <c r="K123" s="415"/>
      <c r="L123" s="537" t="str">
        <f t="shared" si="23"/>
        <v>0x006F</v>
      </c>
      <c r="M123" s="537" t="str">
        <f t="shared" si="12"/>
        <v>0x00EF</v>
      </c>
      <c r="N123" s="537" t="str">
        <f t="shared" si="13"/>
        <v>0x016F</v>
      </c>
      <c r="O123" s="537" t="str">
        <f t="shared" si="14"/>
        <v>0x01EF</v>
      </c>
      <c r="P123" s="537" t="str">
        <f t="shared" si="15"/>
        <v>0x026F</v>
      </c>
      <c r="Q123" s="537" t="str">
        <f t="shared" si="16"/>
        <v>0x02EF</v>
      </c>
      <c r="R123" s="537" t="str">
        <f t="shared" si="17"/>
        <v>0x036F</v>
      </c>
      <c r="S123" s="537" t="str">
        <f t="shared" si="18"/>
        <v>0x03EF</v>
      </c>
      <c r="T123" s="537" t="str">
        <f t="shared" si="19"/>
        <v>0x046F</v>
      </c>
      <c r="U123" s="537" t="str">
        <f t="shared" si="20"/>
        <v>0x04EF</v>
      </c>
      <c r="V123" s="537" t="str">
        <f t="shared" si="21"/>
        <v>0x056F</v>
      </c>
      <c r="W123" s="537" t="str">
        <f t="shared" si="22"/>
        <v>0x05EF</v>
      </c>
    </row>
    <row r="124" spans="7:23" ht="14.25" customHeight="1" thickTop="1" x14ac:dyDescent="0.25">
      <c r="G124" s="532"/>
      <c r="H124" s="548" t="s">
        <v>737</v>
      </c>
      <c r="I124" s="408"/>
      <c r="J124" s="394">
        <v>112</v>
      </c>
      <c r="K124" s="409">
        <v>8</v>
      </c>
      <c r="L124" s="540" t="str">
        <f t="shared" si="23"/>
        <v>0x0070</v>
      </c>
      <c r="M124" s="540" t="str">
        <f t="shared" si="12"/>
        <v>0x00F0</v>
      </c>
      <c r="N124" s="540" t="str">
        <f t="shared" si="13"/>
        <v>0x0170</v>
      </c>
      <c r="O124" s="540" t="str">
        <f t="shared" si="14"/>
        <v>0x01F0</v>
      </c>
      <c r="P124" s="540" t="str">
        <f t="shared" si="15"/>
        <v>0x0270</v>
      </c>
      <c r="Q124" s="540" t="str">
        <f t="shared" si="16"/>
        <v>0x02F0</v>
      </c>
      <c r="R124" s="540" t="str">
        <f t="shared" si="17"/>
        <v>0x0370</v>
      </c>
      <c r="S124" s="540" t="str">
        <f t="shared" si="18"/>
        <v>0x03F0</v>
      </c>
      <c r="T124" s="540" t="str">
        <f t="shared" si="19"/>
        <v>0x0470</v>
      </c>
      <c r="U124" s="540" t="str">
        <f t="shared" si="20"/>
        <v>0x04F0</v>
      </c>
      <c r="V124" s="540" t="str">
        <f t="shared" si="21"/>
        <v>0x0570</v>
      </c>
      <c r="W124" s="540" t="str">
        <f t="shared" si="22"/>
        <v>0x05F0</v>
      </c>
    </row>
    <row r="125" spans="7:23" ht="13.5" customHeight="1" x14ac:dyDescent="0.25">
      <c r="G125" s="532"/>
      <c r="H125" s="546" t="s">
        <v>737</v>
      </c>
      <c r="I125" s="411"/>
      <c r="J125" s="371">
        <v>113</v>
      </c>
      <c r="K125" s="412"/>
      <c r="L125" s="517" t="str">
        <f t="shared" si="23"/>
        <v>0x0071</v>
      </c>
      <c r="M125" s="517" t="str">
        <f t="shared" si="12"/>
        <v>0x00F1</v>
      </c>
      <c r="N125" s="517" t="str">
        <f t="shared" si="13"/>
        <v>0x0171</v>
      </c>
      <c r="O125" s="517" t="str">
        <f t="shared" si="14"/>
        <v>0x01F1</v>
      </c>
      <c r="P125" s="517" t="str">
        <f t="shared" si="15"/>
        <v>0x0271</v>
      </c>
      <c r="Q125" s="517" t="str">
        <f t="shared" si="16"/>
        <v>0x02F1</v>
      </c>
      <c r="R125" s="517" t="str">
        <f t="shared" si="17"/>
        <v>0x0371</v>
      </c>
      <c r="S125" s="517" t="str">
        <f t="shared" si="18"/>
        <v>0x03F1</v>
      </c>
      <c r="T125" s="517" t="str">
        <f t="shared" si="19"/>
        <v>0x0471</v>
      </c>
      <c r="U125" s="517" t="str">
        <f t="shared" si="20"/>
        <v>0x04F1</v>
      </c>
      <c r="V125" s="517" t="str">
        <f t="shared" si="21"/>
        <v>0x0571</v>
      </c>
      <c r="W125" s="517" t="str">
        <f t="shared" si="22"/>
        <v>0x05F1</v>
      </c>
    </row>
    <row r="126" spans="7:23" ht="13.5" customHeight="1" x14ac:dyDescent="0.25">
      <c r="G126" s="532"/>
      <c r="H126" s="546" t="s">
        <v>737</v>
      </c>
      <c r="I126" s="411"/>
      <c r="J126" s="371">
        <v>114</v>
      </c>
      <c r="K126" s="412"/>
      <c r="L126" s="517" t="str">
        <f t="shared" si="23"/>
        <v>0x0072</v>
      </c>
      <c r="M126" s="517" t="str">
        <f t="shared" si="12"/>
        <v>0x00F2</v>
      </c>
      <c r="N126" s="517" t="str">
        <f t="shared" si="13"/>
        <v>0x0172</v>
      </c>
      <c r="O126" s="517" t="str">
        <f t="shared" si="14"/>
        <v>0x01F2</v>
      </c>
      <c r="P126" s="517" t="str">
        <f t="shared" si="15"/>
        <v>0x0272</v>
      </c>
      <c r="Q126" s="517" t="str">
        <f t="shared" si="16"/>
        <v>0x02F2</v>
      </c>
      <c r="R126" s="517" t="str">
        <f t="shared" si="17"/>
        <v>0x0372</v>
      </c>
      <c r="S126" s="517" t="str">
        <f t="shared" si="18"/>
        <v>0x03F2</v>
      </c>
      <c r="T126" s="517" t="str">
        <f t="shared" si="19"/>
        <v>0x0472</v>
      </c>
      <c r="U126" s="517" t="str">
        <f t="shared" si="20"/>
        <v>0x04F2</v>
      </c>
      <c r="V126" s="517" t="str">
        <f t="shared" si="21"/>
        <v>0x0572</v>
      </c>
      <c r="W126" s="517" t="str">
        <f t="shared" si="22"/>
        <v>0x05F2</v>
      </c>
    </row>
    <row r="127" spans="7:23" ht="13.5" customHeight="1" x14ac:dyDescent="0.25">
      <c r="G127" s="532"/>
      <c r="H127" s="546" t="s">
        <v>737</v>
      </c>
      <c r="I127" s="411"/>
      <c r="J127" s="371">
        <v>115</v>
      </c>
      <c r="K127" s="412"/>
      <c r="L127" s="517" t="str">
        <f t="shared" si="23"/>
        <v>0x0073</v>
      </c>
      <c r="M127" s="517" t="str">
        <f t="shared" si="12"/>
        <v>0x00F3</v>
      </c>
      <c r="N127" s="517" t="str">
        <f t="shared" si="13"/>
        <v>0x0173</v>
      </c>
      <c r="O127" s="517" t="str">
        <f t="shared" si="14"/>
        <v>0x01F3</v>
      </c>
      <c r="P127" s="517" t="str">
        <f t="shared" si="15"/>
        <v>0x0273</v>
      </c>
      <c r="Q127" s="517" t="str">
        <f t="shared" si="16"/>
        <v>0x02F3</v>
      </c>
      <c r="R127" s="517" t="str">
        <f t="shared" si="17"/>
        <v>0x0373</v>
      </c>
      <c r="S127" s="517" t="str">
        <f t="shared" si="18"/>
        <v>0x03F3</v>
      </c>
      <c r="T127" s="517" t="str">
        <f t="shared" si="19"/>
        <v>0x0473</v>
      </c>
      <c r="U127" s="517" t="str">
        <f t="shared" si="20"/>
        <v>0x04F3</v>
      </c>
      <c r="V127" s="517" t="str">
        <f t="shared" si="21"/>
        <v>0x0573</v>
      </c>
      <c r="W127" s="517" t="str">
        <f t="shared" si="22"/>
        <v>0x05F3</v>
      </c>
    </row>
    <row r="128" spans="7:23" ht="13.5" customHeight="1" x14ac:dyDescent="0.25">
      <c r="G128" s="532"/>
      <c r="H128" s="546" t="s">
        <v>737</v>
      </c>
      <c r="I128" s="411"/>
      <c r="J128" s="371">
        <v>116</v>
      </c>
      <c r="K128" s="412"/>
      <c r="L128" s="517" t="str">
        <f t="shared" si="23"/>
        <v>0x0074</v>
      </c>
      <c r="M128" s="517" t="str">
        <f t="shared" si="12"/>
        <v>0x00F4</v>
      </c>
      <c r="N128" s="517" t="str">
        <f t="shared" si="13"/>
        <v>0x0174</v>
      </c>
      <c r="O128" s="517" t="str">
        <f t="shared" si="14"/>
        <v>0x01F4</v>
      </c>
      <c r="P128" s="517" t="str">
        <f t="shared" si="15"/>
        <v>0x0274</v>
      </c>
      <c r="Q128" s="517" t="str">
        <f t="shared" si="16"/>
        <v>0x02F4</v>
      </c>
      <c r="R128" s="517" t="str">
        <f t="shared" si="17"/>
        <v>0x0374</v>
      </c>
      <c r="S128" s="517" t="str">
        <f t="shared" si="18"/>
        <v>0x03F4</v>
      </c>
      <c r="T128" s="517" t="str">
        <f t="shared" si="19"/>
        <v>0x0474</v>
      </c>
      <c r="U128" s="517" t="str">
        <f t="shared" si="20"/>
        <v>0x04F4</v>
      </c>
      <c r="V128" s="517" t="str">
        <f t="shared" si="21"/>
        <v>0x0574</v>
      </c>
      <c r="W128" s="517" t="str">
        <f t="shared" si="22"/>
        <v>0x05F4</v>
      </c>
    </row>
    <row r="129" spans="7:25" ht="13.5" customHeight="1" x14ac:dyDescent="0.25">
      <c r="G129" s="532"/>
      <c r="H129" s="546" t="s">
        <v>737</v>
      </c>
      <c r="I129" s="411"/>
      <c r="J129" s="371">
        <v>117</v>
      </c>
      <c r="K129" s="412"/>
      <c r="L129" s="517" t="str">
        <f t="shared" si="23"/>
        <v>0x0075</v>
      </c>
      <c r="M129" s="517" t="str">
        <f t="shared" si="12"/>
        <v>0x00F5</v>
      </c>
      <c r="N129" s="517" t="str">
        <f t="shared" si="13"/>
        <v>0x0175</v>
      </c>
      <c r="O129" s="517" t="str">
        <f t="shared" si="14"/>
        <v>0x01F5</v>
      </c>
      <c r="P129" s="517" t="str">
        <f t="shared" si="15"/>
        <v>0x0275</v>
      </c>
      <c r="Q129" s="517" t="str">
        <f t="shared" si="16"/>
        <v>0x02F5</v>
      </c>
      <c r="R129" s="517" t="str">
        <f t="shared" si="17"/>
        <v>0x0375</v>
      </c>
      <c r="S129" s="517" t="str">
        <f t="shared" si="18"/>
        <v>0x03F5</v>
      </c>
      <c r="T129" s="517" t="str">
        <f t="shared" si="19"/>
        <v>0x0475</v>
      </c>
      <c r="U129" s="517" t="str">
        <f t="shared" si="20"/>
        <v>0x04F5</v>
      </c>
      <c r="V129" s="517" t="str">
        <f t="shared" si="21"/>
        <v>0x0575</v>
      </c>
      <c r="W129" s="517" t="str">
        <f t="shared" si="22"/>
        <v>0x05F5</v>
      </c>
    </row>
    <row r="130" spans="7:25" ht="13.5" customHeight="1" x14ac:dyDescent="0.25">
      <c r="G130" s="532"/>
      <c r="H130" s="546" t="s">
        <v>737</v>
      </c>
      <c r="I130" s="411"/>
      <c r="J130" s="371">
        <v>118</v>
      </c>
      <c r="K130" s="412"/>
      <c r="L130" s="517" t="str">
        <f t="shared" si="23"/>
        <v>0x0076</v>
      </c>
      <c r="M130" s="517" t="str">
        <f t="shared" si="12"/>
        <v>0x00F6</v>
      </c>
      <c r="N130" s="517" t="str">
        <f t="shared" si="13"/>
        <v>0x0176</v>
      </c>
      <c r="O130" s="517" t="str">
        <f t="shared" si="14"/>
        <v>0x01F6</v>
      </c>
      <c r="P130" s="517" t="str">
        <f t="shared" si="15"/>
        <v>0x0276</v>
      </c>
      <c r="Q130" s="517" t="str">
        <f t="shared" si="16"/>
        <v>0x02F6</v>
      </c>
      <c r="R130" s="517" t="str">
        <f t="shared" si="17"/>
        <v>0x0376</v>
      </c>
      <c r="S130" s="517" t="str">
        <f t="shared" si="18"/>
        <v>0x03F6</v>
      </c>
      <c r="T130" s="517" t="str">
        <f t="shared" si="19"/>
        <v>0x0476</v>
      </c>
      <c r="U130" s="517" t="str">
        <f t="shared" si="20"/>
        <v>0x04F6</v>
      </c>
      <c r="V130" s="517" t="str">
        <f t="shared" si="21"/>
        <v>0x0576</v>
      </c>
      <c r="W130" s="517" t="str">
        <f t="shared" si="22"/>
        <v>0x05F6</v>
      </c>
    </row>
    <row r="131" spans="7:25" ht="13.5" customHeight="1" x14ac:dyDescent="0.25">
      <c r="G131" s="532"/>
      <c r="H131" s="546" t="s">
        <v>737</v>
      </c>
      <c r="I131" s="411"/>
      <c r="J131" s="371">
        <v>119</v>
      </c>
      <c r="K131" s="412"/>
      <c r="L131" s="517" t="str">
        <f t="shared" si="23"/>
        <v>0x0077</v>
      </c>
      <c r="M131" s="517" t="str">
        <f t="shared" si="12"/>
        <v>0x00F7</v>
      </c>
      <c r="N131" s="517" t="str">
        <f t="shared" si="13"/>
        <v>0x0177</v>
      </c>
      <c r="O131" s="517" t="str">
        <f t="shared" si="14"/>
        <v>0x01F7</v>
      </c>
      <c r="P131" s="517" t="str">
        <f t="shared" si="15"/>
        <v>0x0277</v>
      </c>
      <c r="Q131" s="517" t="str">
        <f t="shared" si="16"/>
        <v>0x02F7</v>
      </c>
      <c r="R131" s="517" t="str">
        <f t="shared" si="17"/>
        <v>0x0377</v>
      </c>
      <c r="S131" s="517" t="str">
        <f t="shared" si="18"/>
        <v>0x03F7</v>
      </c>
      <c r="T131" s="517" t="str">
        <f t="shared" si="19"/>
        <v>0x0477</v>
      </c>
      <c r="U131" s="517" t="str">
        <f t="shared" si="20"/>
        <v>0x04F7</v>
      </c>
      <c r="V131" s="517" t="str">
        <f t="shared" si="21"/>
        <v>0x0577</v>
      </c>
      <c r="W131" s="517" t="str">
        <f t="shared" si="22"/>
        <v>0x05F7</v>
      </c>
    </row>
    <row r="132" spans="7:25" ht="13.5" customHeight="1" x14ac:dyDescent="0.25">
      <c r="G132" s="532"/>
      <c r="H132" s="546" t="s">
        <v>737</v>
      </c>
      <c r="I132" s="411"/>
      <c r="J132" s="371">
        <v>120</v>
      </c>
      <c r="K132" s="412"/>
      <c r="L132" s="517" t="str">
        <f t="shared" si="23"/>
        <v>0x0078</v>
      </c>
      <c r="M132" s="517" t="str">
        <f t="shared" si="12"/>
        <v>0x00F8</v>
      </c>
      <c r="N132" s="517" t="str">
        <f t="shared" si="13"/>
        <v>0x0178</v>
      </c>
      <c r="O132" s="517" t="str">
        <f t="shared" si="14"/>
        <v>0x01F8</v>
      </c>
      <c r="P132" s="517" t="str">
        <f t="shared" si="15"/>
        <v>0x0278</v>
      </c>
      <c r="Q132" s="517" t="str">
        <f t="shared" si="16"/>
        <v>0x02F8</v>
      </c>
      <c r="R132" s="517" t="str">
        <f t="shared" si="17"/>
        <v>0x0378</v>
      </c>
      <c r="S132" s="517" t="str">
        <f t="shared" si="18"/>
        <v>0x03F8</v>
      </c>
      <c r="T132" s="517" t="str">
        <f t="shared" si="19"/>
        <v>0x0478</v>
      </c>
      <c r="U132" s="517" t="str">
        <f t="shared" si="20"/>
        <v>0x04F8</v>
      </c>
      <c r="V132" s="517" t="str">
        <f t="shared" si="21"/>
        <v>0x0578</v>
      </c>
      <c r="W132" s="517" t="str">
        <f t="shared" si="22"/>
        <v>0x05F8</v>
      </c>
    </row>
    <row r="133" spans="7:25" ht="13.5" customHeight="1" x14ac:dyDescent="0.25">
      <c r="G133" s="532"/>
      <c r="H133" s="546" t="s">
        <v>737</v>
      </c>
      <c r="I133" s="411"/>
      <c r="J133" s="371">
        <v>121</v>
      </c>
      <c r="K133" s="412"/>
      <c r="L133" s="517" t="str">
        <f t="shared" si="23"/>
        <v>0x0079</v>
      </c>
      <c r="M133" s="517" t="str">
        <f t="shared" si="12"/>
        <v>0x00F9</v>
      </c>
      <c r="N133" s="517" t="str">
        <f t="shared" si="13"/>
        <v>0x0179</v>
      </c>
      <c r="O133" s="517" t="str">
        <f t="shared" si="14"/>
        <v>0x01F9</v>
      </c>
      <c r="P133" s="517" t="str">
        <f t="shared" si="15"/>
        <v>0x0279</v>
      </c>
      <c r="Q133" s="517" t="str">
        <f t="shared" si="16"/>
        <v>0x02F9</v>
      </c>
      <c r="R133" s="517" t="str">
        <f t="shared" si="17"/>
        <v>0x0379</v>
      </c>
      <c r="S133" s="517" t="str">
        <f t="shared" si="18"/>
        <v>0x03F9</v>
      </c>
      <c r="T133" s="517" t="str">
        <f t="shared" si="19"/>
        <v>0x0479</v>
      </c>
      <c r="U133" s="517" t="str">
        <f t="shared" si="20"/>
        <v>0x04F9</v>
      </c>
      <c r="V133" s="517" t="str">
        <f t="shared" si="21"/>
        <v>0x0579</v>
      </c>
      <c r="W133" s="517" t="str">
        <f t="shared" si="22"/>
        <v>0x05F9</v>
      </c>
    </row>
    <row r="134" spans="7:25" ht="13.5" customHeight="1" x14ac:dyDescent="0.25">
      <c r="G134" s="532"/>
      <c r="H134" s="546" t="s">
        <v>737</v>
      </c>
      <c r="I134" s="411"/>
      <c r="J134" s="371">
        <v>122</v>
      </c>
      <c r="K134" s="412"/>
      <c r="L134" s="517" t="str">
        <f t="shared" si="23"/>
        <v>0x007A</v>
      </c>
      <c r="M134" s="517" t="str">
        <f t="shared" si="12"/>
        <v>0x00FA</v>
      </c>
      <c r="N134" s="517" t="str">
        <f t="shared" si="13"/>
        <v>0x017A</v>
      </c>
      <c r="O134" s="517" t="str">
        <f t="shared" si="14"/>
        <v>0x01FA</v>
      </c>
      <c r="P134" s="517" t="str">
        <f t="shared" si="15"/>
        <v>0x027A</v>
      </c>
      <c r="Q134" s="517" t="str">
        <f t="shared" si="16"/>
        <v>0x02FA</v>
      </c>
      <c r="R134" s="517" t="str">
        <f t="shared" si="17"/>
        <v>0x037A</v>
      </c>
      <c r="S134" s="517" t="str">
        <f t="shared" si="18"/>
        <v>0x03FA</v>
      </c>
      <c r="T134" s="517" t="str">
        <f t="shared" si="19"/>
        <v>0x047A</v>
      </c>
      <c r="U134" s="517" t="str">
        <f t="shared" si="20"/>
        <v>0x04FA</v>
      </c>
      <c r="V134" s="517" t="str">
        <f t="shared" si="21"/>
        <v>0x057A</v>
      </c>
      <c r="W134" s="517" t="str">
        <f t="shared" si="22"/>
        <v>0x05FA</v>
      </c>
    </row>
    <row r="135" spans="7:25" ht="13.5" customHeight="1" x14ac:dyDescent="0.25">
      <c r="G135" s="532"/>
      <c r="H135" s="546" t="s">
        <v>737</v>
      </c>
      <c r="I135" s="411"/>
      <c r="J135" s="371">
        <v>123</v>
      </c>
      <c r="K135" s="412"/>
      <c r="L135" s="517" t="str">
        <f t="shared" si="23"/>
        <v>0x007B</v>
      </c>
      <c r="M135" s="517" t="str">
        <f t="shared" si="12"/>
        <v>0x00FB</v>
      </c>
      <c r="N135" s="517" t="str">
        <f t="shared" si="13"/>
        <v>0x017B</v>
      </c>
      <c r="O135" s="517" t="str">
        <f t="shared" si="14"/>
        <v>0x01FB</v>
      </c>
      <c r="P135" s="517" t="str">
        <f t="shared" si="15"/>
        <v>0x027B</v>
      </c>
      <c r="Q135" s="517" t="str">
        <f t="shared" si="16"/>
        <v>0x02FB</v>
      </c>
      <c r="R135" s="517" t="str">
        <f t="shared" si="17"/>
        <v>0x037B</v>
      </c>
      <c r="S135" s="517" t="str">
        <f t="shared" si="18"/>
        <v>0x03FB</v>
      </c>
      <c r="T135" s="517" t="str">
        <f t="shared" si="19"/>
        <v>0x047B</v>
      </c>
      <c r="U135" s="517" t="str">
        <f t="shared" si="20"/>
        <v>0x04FB</v>
      </c>
      <c r="V135" s="517" t="str">
        <f t="shared" si="21"/>
        <v>0x057B</v>
      </c>
      <c r="W135" s="517" t="str">
        <f t="shared" si="22"/>
        <v>0x05FB</v>
      </c>
    </row>
    <row r="136" spans="7:25" ht="13.5" customHeight="1" x14ac:dyDescent="0.25">
      <c r="G136" s="532"/>
      <c r="H136" s="546" t="s">
        <v>737</v>
      </c>
      <c r="I136" s="411"/>
      <c r="J136" s="371">
        <v>124</v>
      </c>
      <c r="K136" s="412"/>
      <c r="L136" s="517" t="str">
        <f t="shared" si="23"/>
        <v>0x007C</v>
      </c>
      <c r="M136" s="517" t="str">
        <f t="shared" si="12"/>
        <v>0x00FC</v>
      </c>
      <c r="N136" s="517" t="str">
        <f t="shared" si="13"/>
        <v>0x017C</v>
      </c>
      <c r="O136" s="517" t="str">
        <f t="shared" si="14"/>
        <v>0x01FC</v>
      </c>
      <c r="P136" s="517" t="str">
        <f t="shared" si="15"/>
        <v>0x027C</v>
      </c>
      <c r="Q136" s="517" t="str">
        <f t="shared" si="16"/>
        <v>0x02FC</v>
      </c>
      <c r="R136" s="517" t="str">
        <f t="shared" si="17"/>
        <v>0x037C</v>
      </c>
      <c r="S136" s="517" t="str">
        <f t="shared" si="18"/>
        <v>0x03FC</v>
      </c>
      <c r="T136" s="517" t="str">
        <f t="shared" si="19"/>
        <v>0x047C</v>
      </c>
      <c r="U136" s="517" t="str">
        <f t="shared" si="20"/>
        <v>0x04FC</v>
      </c>
      <c r="V136" s="517" t="str">
        <f t="shared" si="21"/>
        <v>0x057C</v>
      </c>
      <c r="W136" s="517" t="str">
        <f t="shared" si="22"/>
        <v>0x05FC</v>
      </c>
    </row>
    <row r="137" spans="7:25" ht="13.5" customHeight="1" x14ac:dyDescent="0.25">
      <c r="G137" s="532"/>
      <c r="H137" s="546" t="s">
        <v>737</v>
      </c>
      <c r="I137" s="411"/>
      <c r="J137" s="371">
        <v>125</v>
      </c>
      <c r="K137" s="412"/>
      <c r="L137" s="517" t="str">
        <f t="shared" si="23"/>
        <v>0x007D</v>
      </c>
      <c r="M137" s="517" t="str">
        <f t="shared" si="12"/>
        <v>0x00FD</v>
      </c>
      <c r="N137" s="517" t="str">
        <f t="shared" si="13"/>
        <v>0x017D</v>
      </c>
      <c r="O137" s="517" t="str">
        <f t="shared" si="14"/>
        <v>0x01FD</v>
      </c>
      <c r="P137" s="517" t="str">
        <f t="shared" si="15"/>
        <v>0x027D</v>
      </c>
      <c r="Q137" s="517" t="str">
        <f t="shared" si="16"/>
        <v>0x02FD</v>
      </c>
      <c r="R137" s="517" t="str">
        <f t="shared" si="17"/>
        <v>0x037D</v>
      </c>
      <c r="S137" s="517" t="str">
        <f t="shared" si="18"/>
        <v>0x03FD</v>
      </c>
      <c r="T137" s="517" t="str">
        <f t="shared" si="19"/>
        <v>0x047D</v>
      </c>
      <c r="U137" s="517" t="str">
        <f t="shared" si="20"/>
        <v>0x04FD</v>
      </c>
      <c r="V137" s="517" t="str">
        <f t="shared" si="21"/>
        <v>0x057D</v>
      </c>
      <c r="W137" s="517" t="str">
        <f t="shared" si="22"/>
        <v>0x05FD</v>
      </c>
    </row>
    <row r="138" spans="7:25" ht="14.25" customHeight="1" x14ac:dyDescent="0.25">
      <c r="G138" s="532"/>
      <c r="H138" s="546" t="s">
        <v>737</v>
      </c>
      <c r="I138" s="411"/>
      <c r="J138" s="371">
        <v>126</v>
      </c>
      <c r="K138" s="412"/>
      <c r="L138" s="517" t="str">
        <f t="shared" si="23"/>
        <v>0x007E</v>
      </c>
      <c r="M138" s="517" t="str">
        <f t="shared" si="12"/>
        <v>0x00FE</v>
      </c>
      <c r="N138" s="517" t="str">
        <f t="shared" si="13"/>
        <v>0x017E</v>
      </c>
      <c r="O138" s="517" t="str">
        <f t="shared" si="14"/>
        <v>0x01FE</v>
      </c>
      <c r="P138" s="517" t="str">
        <f t="shared" si="15"/>
        <v>0x027E</v>
      </c>
      <c r="Q138" s="517" t="str">
        <f t="shared" si="16"/>
        <v>0x02FE</v>
      </c>
      <c r="R138" s="517" t="str">
        <f t="shared" si="17"/>
        <v>0x037E</v>
      </c>
      <c r="S138" s="517" t="str">
        <f t="shared" si="18"/>
        <v>0x03FE</v>
      </c>
      <c r="T138" s="517" t="str">
        <f t="shared" si="19"/>
        <v>0x047E</v>
      </c>
      <c r="U138" s="517" t="str">
        <f t="shared" si="20"/>
        <v>0x04FE</v>
      </c>
      <c r="V138" s="517" t="str">
        <f t="shared" si="21"/>
        <v>0x057E</v>
      </c>
      <c r="W138" s="517" t="str">
        <f t="shared" si="22"/>
        <v>0x05FE</v>
      </c>
    </row>
    <row r="139" spans="7:25" ht="14.25" customHeight="1" thickBot="1" x14ac:dyDescent="0.3">
      <c r="G139" s="532"/>
      <c r="H139" s="547" t="s">
        <v>737</v>
      </c>
      <c r="I139" s="414"/>
      <c r="J139" s="384">
        <v>127</v>
      </c>
      <c r="K139" s="415"/>
      <c r="L139" s="537" t="str">
        <f t="shared" si="23"/>
        <v>0x007F</v>
      </c>
      <c r="M139" s="537" t="str">
        <f t="shared" si="12"/>
        <v>0x00FF</v>
      </c>
      <c r="N139" s="537" t="str">
        <f t="shared" si="13"/>
        <v>0x017F</v>
      </c>
      <c r="O139" s="537" t="str">
        <f t="shared" si="14"/>
        <v>0x01FF</v>
      </c>
      <c r="P139" s="537" t="str">
        <f t="shared" si="15"/>
        <v>0x027F</v>
      </c>
      <c r="Q139" s="537" t="str">
        <f t="shared" si="16"/>
        <v>0x02FF</v>
      </c>
      <c r="R139" s="537" t="str">
        <f t="shared" si="17"/>
        <v>0x037F</v>
      </c>
      <c r="S139" s="537" t="str">
        <f t="shared" si="18"/>
        <v>0x03FF</v>
      </c>
      <c r="T139" s="537" t="str">
        <f t="shared" si="19"/>
        <v>0x047F</v>
      </c>
      <c r="U139" s="537" t="str">
        <f t="shared" si="20"/>
        <v>0x04FF</v>
      </c>
      <c r="V139" s="537" t="str">
        <f t="shared" si="21"/>
        <v>0x057F</v>
      </c>
      <c r="W139" s="537" t="str">
        <f t="shared" si="22"/>
        <v>0x05FF</v>
      </c>
    </row>
    <row r="140" spans="7:25" ht="14.5" thickTop="1" x14ac:dyDescent="0.25">
      <c r="I140" s="419"/>
      <c r="J140" s="419"/>
      <c r="K140" s="419"/>
      <c r="T140" s="420"/>
      <c r="U140" s="420"/>
      <c r="V140" s="420"/>
      <c r="W140" s="420"/>
      <c r="X140" s="420"/>
      <c r="Y140" s="420"/>
    </row>
    <row r="141" spans="7:25" ht="14" x14ac:dyDescent="0.25">
      <c r="I141" s="419"/>
      <c r="J141" s="419"/>
      <c r="K141" s="419"/>
      <c r="T141" s="420"/>
      <c r="U141" s="420"/>
      <c r="V141" s="420"/>
      <c r="W141" s="420"/>
      <c r="X141" s="420"/>
      <c r="Y141" s="420"/>
    </row>
    <row r="142" spans="7:25" ht="14.5" thickBot="1" x14ac:dyDescent="0.3">
      <c r="I142" s="419"/>
      <c r="J142" s="419"/>
      <c r="K142" s="419"/>
      <c r="L142" s="549"/>
      <c r="M142" s="326" t="s">
        <v>703</v>
      </c>
      <c r="N142" s="326">
        <f>HEX2DEC(120)</f>
        <v>288</v>
      </c>
      <c r="T142" s="420"/>
      <c r="U142" s="420"/>
      <c r="V142" s="420"/>
      <c r="W142" s="420"/>
      <c r="X142" s="420"/>
      <c r="Y142" s="420"/>
    </row>
    <row r="143" spans="7:25" ht="18.5" thickTop="1" thickBot="1" x14ac:dyDescent="0.3">
      <c r="H143" s="550" t="s">
        <v>767</v>
      </c>
      <c r="I143" s="551"/>
      <c r="J143" s="551"/>
      <c r="K143" s="552"/>
      <c r="L143" s="553" t="s">
        <v>705</v>
      </c>
      <c r="M143" s="333">
        <v>30101</v>
      </c>
      <c r="N143" s="333">
        <v>30102</v>
      </c>
      <c r="O143" s="333">
        <v>30103</v>
      </c>
      <c r="P143" s="333">
        <v>30104</v>
      </c>
      <c r="Q143" s="333">
        <v>30201</v>
      </c>
      <c r="R143" s="333">
        <v>30202</v>
      </c>
      <c r="S143" s="333">
        <v>30203</v>
      </c>
      <c r="T143" s="333">
        <v>30204</v>
      </c>
      <c r="U143" s="333">
        <v>30301</v>
      </c>
      <c r="V143" s="333">
        <v>30302</v>
      </c>
      <c r="W143" s="333">
        <v>30303</v>
      </c>
      <c r="X143" s="333">
        <v>30304</v>
      </c>
    </row>
    <row r="144" spans="7:25" ht="19.5" customHeight="1" thickTop="1" thickBot="1" x14ac:dyDescent="0.3">
      <c r="H144" s="554"/>
      <c r="I144" s="555"/>
      <c r="J144" s="555"/>
      <c r="K144" s="556"/>
      <c r="L144" s="557" t="s">
        <v>707</v>
      </c>
      <c r="M144" s="339" t="s">
        <v>708</v>
      </c>
      <c r="N144" s="339" t="s">
        <v>709</v>
      </c>
      <c r="O144" s="340" t="s">
        <v>710</v>
      </c>
      <c r="P144" s="340" t="s">
        <v>711</v>
      </c>
      <c r="Q144" s="341" t="s">
        <v>712</v>
      </c>
      <c r="R144" s="341" t="s">
        <v>713</v>
      </c>
      <c r="S144" s="341" t="s">
        <v>712</v>
      </c>
      <c r="T144" s="341" t="s">
        <v>713</v>
      </c>
      <c r="U144" s="342" t="s">
        <v>714</v>
      </c>
      <c r="V144" s="342" t="s">
        <v>714</v>
      </c>
      <c r="W144" s="342" t="s">
        <v>715</v>
      </c>
      <c r="X144" s="342" t="s">
        <v>715</v>
      </c>
    </row>
    <row r="145" spans="5:24" ht="20.25" customHeight="1" thickTop="1" thickBot="1" x14ac:dyDescent="0.3">
      <c r="H145" s="554"/>
      <c r="I145" s="555"/>
      <c r="J145" s="555"/>
      <c r="K145" s="556"/>
      <c r="L145" s="557" t="s">
        <v>717</v>
      </c>
      <c r="M145" s="339" t="s">
        <v>874</v>
      </c>
      <c r="N145" s="343" t="s">
        <v>875</v>
      </c>
      <c r="O145" s="343" t="s">
        <v>876</v>
      </c>
      <c r="P145" s="343" t="s">
        <v>877</v>
      </c>
      <c r="Q145" s="341" t="s">
        <v>712</v>
      </c>
      <c r="R145" s="341" t="s">
        <v>713</v>
      </c>
      <c r="S145" s="341" t="s">
        <v>712</v>
      </c>
      <c r="T145" s="341" t="s">
        <v>713</v>
      </c>
      <c r="U145" s="342" t="s">
        <v>714</v>
      </c>
      <c r="V145" s="342" t="s">
        <v>714</v>
      </c>
      <c r="W145" s="342" t="s">
        <v>715</v>
      </c>
      <c r="X145" s="342" t="s">
        <v>715</v>
      </c>
    </row>
    <row r="146" spans="5:24" ht="20.25" customHeight="1" thickTop="1" thickBot="1" x14ac:dyDescent="0.3">
      <c r="H146" s="554"/>
      <c r="I146" s="555"/>
      <c r="J146" s="555"/>
      <c r="K146" s="556"/>
      <c r="L146" s="557" t="s">
        <v>720</v>
      </c>
      <c r="M146" s="339" t="s">
        <v>708</v>
      </c>
      <c r="N146" s="339" t="s">
        <v>709</v>
      </c>
      <c r="O146" s="340" t="s">
        <v>710</v>
      </c>
      <c r="P146" s="340" t="s">
        <v>711</v>
      </c>
      <c r="Q146" s="341" t="s">
        <v>712</v>
      </c>
      <c r="R146" s="341" t="s">
        <v>713</v>
      </c>
      <c r="S146" s="341" t="s">
        <v>712</v>
      </c>
      <c r="T146" s="341" t="s">
        <v>713</v>
      </c>
      <c r="U146" s="342" t="s">
        <v>714</v>
      </c>
      <c r="V146" s="342" t="s">
        <v>714</v>
      </c>
      <c r="W146" s="342" t="s">
        <v>715</v>
      </c>
      <c r="X146" s="342" t="s">
        <v>715</v>
      </c>
    </row>
    <row r="147" spans="5:24" ht="20.25" customHeight="1" thickTop="1" thickBot="1" x14ac:dyDescent="0.3">
      <c r="H147" s="554"/>
      <c r="I147" s="555"/>
      <c r="J147" s="555"/>
      <c r="K147" s="556"/>
      <c r="L147" s="557" t="s">
        <v>721</v>
      </c>
      <c r="M147" s="339" t="s">
        <v>708</v>
      </c>
      <c r="N147" s="339" t="s">
        <v>709</v>
      </c>
      <c r="O147" s="340" t="s">
        <v>710</v>
      </c>
      <c r="P147" s="340" t="s">
        <v>711</v>
      </c>
      <c r="Q147" s="341" t="s">
        <v>712</v>
      </c>
      <c r="R147" s="341" t="s">
        <v>713</v>
      </c>
      <c r="S147" s="341" t="s">
        <v>712</v>
      </c>
      <c r="T147" s="341" t="s">
        <v>713</v>
      </c>
      <c r="U147" s="342" t="s">
        <v>714</v>
      </c>
      <c r="V147" s="342" t="s">
        <v>714</v>
      </c>
      <c r="W147" s="342" t="s">
        <v>715</v>
      </c>
      <c r="X147" s="342" t="s">
        <v>715</v>
      </c>
    </row>
    <row r="148" spans="5:24" ht="20.25" customHeight="1" thickTop="1" thickBot="1" x14ac:dyDescent="0.3">
      <c r="H148" s="554"/>
      <c r="I148" s="555"/>
      <c r="J148" s="555"/>
      <c r="K148" s="556"/>
      <c r="L148" s="558" t="s">
        <v>722</v>
      </c>
      <c r="M148" s="341" t="s">
        <v>708</v>
      </c>
      <c r="N148" s="341" t="s">
        <v>709</v>
      </c>
      <c r="O148" s="340" t="s">
        <v>710</v>
      </c>
      <c r="P148" s="340" t="s">
        <v>711</v>
      </c>
      <c r="Q148" s="339" t="s">
        <v>712</v>
      </c>
      <c r="R148" s="339" t="s">
        <v>713</v>
      </c>
      <c r="S148" s="341" t="s">
        <v>712</v>
      </c>
      <c r="T148" s="341" t="s">
        <v>713</v>
      </c>
      <c r="U148" s="342" t="s">
        <v>714</v>
      </c>
      <c r="V148" s="342" t="s">
        <v>714</v>
      </c>
      <c r="W148" s="342" t="s">
        <v>715</v>
      </c>
      <c r="X148" s="342" t="s">
        <v>715</v>
      </c>
    </row>
    <row r="149" spans="5:24" ht="20.25" customHeight="1" thickTop="1" thickBot="1" x14ac:dyDescent="0.3">
      <c r="H149" s="554"/>
      <c r="I149" s="555"/>
      <c r="J149" s="555"/>
      <c r="K149" s="556"/>
      <c r="L149" s="558" t="s">
        <v>724</v>
      </c>
      <c r="M149" s="339" t="s">
        <v>708</v>
      </c>
      <c r="N149" s="341" t="s">
        <v>709</v>
      </c>
      <c r="O149" s="340" t="s">
        <v>710</v>
      </c>
      <c r="P149" s="340" t="s">
        <v>711</v>
      </c>
      <c r="Q149" s="341" t="s">
        <v>712</v>
      </c>
      <c r="R149" s="341" t="s">
        <v>713</v>
      </c>
      <c r="S149" s="341" t="s">
        <v>712</v>
      </c>
      <c r="T149" s="341" t="s">
        <v>713</v>
      </c>
      <c r="U149" s="342" t="s">
        <v>714</v>
      </c>
      <c r="V149" s="342" t="s">
        <v>714</v>
      </c>
      <c r="W149" s="342" t="s">
        <v>715</v>
      </c>
      <c r="X149" s="342" t="s">
        <v>715</v>
      </c>
    </row>
    <row r="150" spans="5:24" ht="20.25" customHeight="1" thickTop="1" thickBot="1" x14ac:dyDescent="0.3">
      <c r="H150" s="554"/>
      <c r="I150" s="555"/>
      <c r="J150" s="555"/>
      <c r="K150" s="556"/>
      <c r="L150" s="557" t="s">
        <v>725</v>
      </c>
      <c r="M150" s="339" t="s">
        <v>708</v>
      </c>
      <c r="N150" s="339" t="s">
        <v>709</v>
      </c>
      <c r="O150" s="340" t="s">
        <v>710</v>
      </c>
      <c r="P150" s="340" t="s">
        <v>711</v>
      </c>
      <c r="Q150" s="341" t="s">
        <v>712</v>
      </c>
      <c r="R150" s="341" t="s">
        <v>713</v>
      </c>
      <c r="S150" s="341" t="s">
        <v>712</v>
      </c>
      <c r="T150" s="341" t="s">
        <v>713</v>
      </c>
      <c r="U150" s="342" t="s">
        <v>714</v>
      </c>
      <c r="V150" s="342" t="s">
        <v>714</v>
      </c>
      <c r="W150" s="342" t="s">
        <v>715</v>
      </c>
      <c r="X150" s="342" t="s">
        <v>715</v>
      </c>
    </row>
    <row r="151" spans="5:24" ht="20.25" customHeight="1" thickTop="1" thickBot="1" x14ac:dyDescent="0.3">
      <c r="H151" s="559"/>
      <c r="I151" s="560"/>
      <c r="J151" s="560"/>
      <c r="K151" s="561"/>
      <c r="L151" s="557" t="s">
        <v>726</v>
      </c>
      <c r="M151" s="341" t="s">
        <v>708</v>
      </c>
      <c r="N151" s="341" t="s">
        <v>709</v>
      </c>
      <c r="O151" s="340" t="s">
        <v>710</v>
      </c>
      <c r="P151" s="340" t="s">
        <v>711</v>
      </c>
      <c r="Q151" s="341" t="s">
        <v>712</v>
      </c>
      <c r="R151" s="341" t="s">
        <v>713</v>
      </c>
      <c r="S151" s="341" t="s">
        <v>712</v>
      </c>
      <c r="T151" s="341" t="s">
        <v>713</v>
      </c>
      <c r="U151" s="333" t="s">
        <v>714</v>
      </c>
      <c r="V151" s="333" t="s">
        <v>714</v>
      </c>
      <c r="W151" s="333" t="s">
        <v>715</v>
      </c>
      <c r="X151" s="333" t="s">
        <v>715</v>
      </c>
    </row>
    <row r="152" spans="5:24" ht="14.5" thickBot="1" x14ac:dyDescent="0.3">
      <c r="E152" s="562" t="s">
        <v>723</v>
      </c>
      <c r="G152" s="563" t="s">
        <v>196</v>
      </c>
      <c r="H152" s="564" t="s">
        <v>965</v>
      </c>
      <c r="I152" s="565" t="s">
        <v>966</v>
      </c>
      <c r="J152" s="566" t="s">
        <v>967</v>
      </c>
      <c r="K152" s="567" t="s">
        <v>768</v>
      </c>
      <c r="L152" s="568" t="s">
        <v>542</v>
      </c>
      <c r="M152" s="355" t="s">
        <v>769</v>
      </c>
      <c r="N152" s="355" t="s">
        <v>769</v>
      </c>
      <c r="O152" s="355" t="s">
        <v>769</v>
      </c>
      <c r="P152" s="355" t="s">
        <v>769</v>
      </c>
      <c r="Q152" s="355" t="s">
        <v>769</v>
      </c>
      <c r="R152" s="355" t="s">
        <v>769</v>
      </c>
      <c r="S152" s="355" t="s">
        <v>769</v>
      </c>
      <c r="T152" s="355" t="s">
        <v>769</v>
      </c>
      <c r="U152" s="355" t="s">
        <v>769</v>
      </c>
      <c r="V152" s="355" t="s">
        <v>769</v>
      </c>
      <c r="W152" s="355" t="s">
        <v>769</v>
      </c>
      <c r="X152" s="355" t="s">
        <v>769</v>
      </c>
    </row>
    <row r="153" spans="5:24" ht="13.5" customHeight="1" thickTop="1" x14ac:dyDescent="0.25">
      <c r="G153" s="301" t="s">
        <v>968</v>
      </c>
      <c r="H153" s="569"/>
      <c r="I153" s="570" t="s">
        <v>969</v>
      </c>
      <c r="J153" s="571"/>
      <c r="K153" s="572">
        <v>24576</v>
      </c>
      <c r="L153" s="573">
        <v>1</v>
      </c>
      <c r="M153" s="574" t="str">
        <f>"W"&amp;DEC2HEX(K153)</f>
        <v>W6000</v>
      </c>
      <c r="N153" s="574" t="str">
        <f>"W"&amp;DEC2HEX(HEX2DEC(SUBSTITUTE(M440,"W",""))+1)</f>
        <v>W6120</v>
      </c>
      <c r="O153" s="574" t="str">
        <f t="shared" ref="O153:X153" si="24">"W"&amp;DEC2HEX(HEX2DEC(SUBSTITUTE(N440,"W",""))+1)</f>
        <v>W6240</v>
      </c>
      <c r="P153" s="574" t="str">
        <f t="shared" si="24"/>
        <v>W6360</v>
      </c>
      <c r="Q153" s="574" t="str">
        <f t="shared" si="24"/>
        <v>W6480</v>
      </c>
      <c r="R153" s="574" t="str">
        <f t="shared" si="24"/>
        <v>W65A0</v>
      </c>
      <c r="S153" s="574" t="str">
        <f t="shared" si="24"/>
        <v>W66C0</v>
      </c>
      <c r="T153" s="574" t="str">
        <f t="shared" si="24"/>
        <v>W67E0</v>
      </c>
      <c r="U153" s="574" t="str">
        <f t="shared" si="24"/>
        <v>W6900</v>
      </c>
      <c r="V153" s="574" t="str">
        <f t="shared" si="24"/>
        <v>W6A20</v>
      </c>
      <c r="W153" s="574" t="str">
        <f t="shared" si="24"/>
        <v>W6B40</v>
      </c>
      <c r="X153" s="574" t="str">
        <f t="shared" si="24"/>
        <v>W6C60</v>
      </c>
    </row>
    <row r="154" spans="5:24" ht="13.5" customHeight="1" x14ac:dyDescent="0.25">
      <c r="G154" s="301" t="s">
        <v>968</v>
      </c>
      <c r="H154" s="575"/>
      <c r="I154" s="576" t="s">
        <v>970</v>
      </c>
      <c r="J154" s="577"/>
      <c r="K154" s="578">
        <v>1</v>
      </c>
      <c r="L154" s="579"/>
      <c r="M154" s="580" t="str">
        <f>"W"&amp;DEC2HEX((HEX2DEC(SUBSTITUTE(M153,"W",""))+1))</f>
        <v>W6001</v>
      </c>
      <c r="N154" s="580" t="str">
        <f>"W"&amp;DEC2HEX(HEX2DEC(SUBSTITUTE(N153,"W",""))+1)</f>
        <v>W6121</v>
      </c>
      <c r="O154" s="580" t="str">
        <f t="shared" ref="O154:X154" si="25">"W"&amp;DEC2HEX(HEX2DEC(SUBSTITUTE(O153,"W",""))+1)</f>
        <v>W6241</v>
      </c>
      <c r="P154" s="580" t="str">
        <f t="shared" si="25"/>
        <v>W6361</v>
      </c>
      <c r="Q154" s="580" t="str">
        <f t="shared" si="25"/>
        <v>W6481</v>
      </c>
      <c r="R154" s="580" t="str">
        <f t="shared" si="25"/>
        <v>W65A1</v>
      </c>
      <c r="S154" s="580" t="str">
        <f t="shared" si="25"/>
        <v>W66C1</v>
      </c>
      <c r="T154" s="580" t="str">
        <f t="shared" si="25"/>
        <v>W67E1</v>
      </c>
      <c r="U154" s="580" t="str">
        <f t="shared" si="25"/>
        <v>W6901</v>
      </c>
      <c r="V154" s="580" t="str">
        <f t="shared" si="25"/>
        <v>W6A21</v>
      </c>
      <c r="W154" s="580" t="str">
        <f t="shared" si="25"/>
        <v>W6B41</v>
      </c>
      <c r="X154" s="580" t="str">
        <f t="shared" si="25"/>
        <v>W6C61</v>
      </c>
    </row>
    <row r="155" spans="5:24" ht="13.5" customHeight="1" x14ac:dyDescent="0.25">
      <c r="G155" s="301" t="s">
        <v>968</v>
      </c>
      <c r="H155" s="575"/>
      <c r="I155" s="576" t="s">
        <v>971</v>
      </c>
      <c r="J155" s="577"/>
      <c r="K155" s="578">
        <v>2</v>
      </c>
      <c r="L155" s="579"/>
      <c r="M155" s="580" t="str">
        <f t="shared" ref="M155:M218" si="26">"W"&amp;DEC2HEX((HEX2DEC(SUBSTITUTE(M154,"W",""))+1))</f>
        <v>W6002</v>
      </c>
      <c r="N155" s="580" t="str">
        <f t="shared" ref="N155:X170" si="27">"W"&amp;DEC2HEX(HEX2DEC(SUBSTITUTE(N154,"W",""))+1)</f>
        <v>W6122</v>
      </c>
      <c r="O155" s="580" t="str">
        <f t="shared" si="27"/>
        <v>W6242</v>
      </c>
      <c r="P155" s="580" t="str">
        <f t="shared" si="27"/>
        <v>W6362</v>
      </c>
      <c r="Q155" s="580" t="str">
        <f t="shared" si="27"/>
        <v>W6482</v>
      </c>
      <c r="R155" s="580" t="str">
        <f t="shared" si="27"/>
        <v>W65A2</v>
      </c>
      <c r="S155" s="580" t="str">
        <f t="shared" si="27"/>
        <v>W66C2</v>
      </c>
      <c r="T155" s="580" t="str">
        <f t="shared" si="27"/>
        <v>W67E2</v>
      </c>
      <c r="U155" s="580" t="str">
        <f t="shared" si="27"/>
        <v>W6902</v>
      </c>
      <c r="V155" s="580" t="str">
        <f t="shared" si="27"/>
        <v>W6A22</v>
      </c>
      <c r="W155" s="580" t="str">
        <f t="shared" si="27"/>
        <v>W6B42</v>
      </c>
      <c r="X155" s="580" t="str">
        <f t="shared" si="27"/>
        <v>W6C62</v>
      </c>
    </row>
    <row r="156" spans="5:24" ht="13.5" customHeight="1" x14ac:dyDescent="0.25">
      <c r="G156" s="301" t="s">
        <v>968</v>
      </c>
      <c r="H156" s="575"/>
      <c r="I156" s="576" t="s">
        <v>972</v>
      </c>
      <c r="J156" s="577"/>
      <c r="K156" s="578">
        <v>3</v>
      </c>
      <c r="L156" s="579"/>
      <c r="M156" s="580" t="str">
        <f t="shared" si="26"/>
        <v>W6003</v>
      </c>
      <c r="N156" s="580" t="str">
        <f t="shared" si="27"/>
        <v>W6123</v>
      </c>
      <c r="O156" s="580" t="str">
        <f t="shared" si="27"/>
        <v>W6243</v>
      </c>
      <c r="P156" s="580" t="str">
        <f t="shared" si="27"/>
        <v>W6363</v>
      </c>
      <c r="Q156" s="580" t="str">
        <f t="shared" si="27"/>
        <v>W6483</v>
      </c>
      <c r="R156" s="580" t="str">
        <f t="shared" si="27"/>
        <v>W65A3</v>
      </c>
      <c r="S156" s="580" t="str">
        <f t="shared" si="27"/>
        <v>W66C3</v>
      </c>
      <c r="T156" s="580" t="str">
        <f t="shared" si="27"/>
        <v>W67E3</v>
      </c>
      <c r="U156" s="580" t="str">
        <f t="shared" si="27"/>
        <v>W6903</v>
      </c>
      <c r="V156" s="580" t="str">
        <f t="shared" si="27"/>
        <v>W6A23</v>
      </c>
      <c r="W156" s="580" t="str">
        <f t="shared" si="27"/>
        <v>W6B43</v>
      </c>
      <c r="X156" s="580" t="str">
        <f t="shared" si="27"/>
        <v>W6C63</v>
      </c>
    </row>
    <row r="157" spans="5:24" ht="13.5" customHeight="1" x14ac:dyDescent="0.25">
      <c r="G157" s="301" t="s">
        <v>968</v>
      </c>
      <c r="H157" s="575"/>
      <c r="I157" s="576" t="s">
        <v>973</v>
      </c>
      <c r="J157" s="577"/>
      <c r="K157" s="578">
        <v>4</v>
      </c>
      <c r="L157" s="579"/>
      <c r="M157" s="580" t="str">
        <f t="shared" si="26"/>
        <v>W6004</v>
      </c>
      <c r="N157" s="580" t="str">
        <f t="shared" si="27"/>
        <v>W6124</v>
      </c>
      <c r="O157" s="580" t="str">
        <f t="shared" si="27"/>
        <v>W6244</v>
      </c>
      <c r="P157" s="580" t="str">
        <f t="shared" si="27"/>
        <v>W6364</v>
      </c>
      <c r="Q157" s="580" t="str">
        <f t="shared" si="27"/>
        <v>W6484</v>
      </c>
      <c r="R157" s="580" t="str">
        <f t="shared" si="27"/>
        <v>W65A4</v>
      </c>
      <c r="S157" s="580" t="str">
        <f t="shared" si="27"/>
        <v>W66C4</v>
      </c>
      <c r="T157" s="580" t="str">
        <f t="shared" si="27"/>
        <v>W67E4</v>
      </c>
      <c r="U157" s="580" t="str">
        <f t="shared" si="27"/>
        <v>W6904</v>
      </c>
      <c r="V157" s="580" t="str">
        <f t="shared" si="27"/>
        <v>W6A24</v>
      </c>
      <c r="W157" s="580" t="str">
        <f t="shared" si="27"/>
        <v>W6B44</v>
      </c>
      <c r="X157" s="580" t="str">
        <f t="shared" si="27"/>
        <v>W6C64</v>
      </c>
    </row>
    <row r="158" spans="5:24" ht="13.5" customHeight="1" x14ac:dyDescent="0.25">
      <c r="G158" s="581"/>
      <c r="H158" s="575"/>
      <c r="I158" s="582" t="s">
        <v>742</v>
      </c>
      <c r="J158" s="577"/>
      <c r="K158" s="578">
        <v>5</v>
      </c>
      <c r="L158" s="579"/>
      <c r="M158" s="580" t="str">
        <f t="shared" si="26"/>
        <v>W6005</v>
      </c>
      <c r="N158" s="580" t="str">
        <f t="shared" si="27"/>
        <v>W6125</v>
      </c>
      <c r="O158" s="580" t="str">
        <f t="shared" si="27"/>
        <v>W6245</v>
      </c>
      <c r="P158" s="580" t="str">
        <f t="shared" si="27"/>
        <v>W6365</v>
      </c>
      <c r="Q158" s="580" t="str">
        <f t="shared" si="27"/>
        <v>W6485</v>
      </c>
      <c r="R158" s="580" t="str">
        <f t="shared" si="27"/>
        <v>W65A5</v>
      </c>
      <c r="S158" s="580" t="str">
        <f t="shared" si="27"/>
        <v>W66C5</v>
      </c>
      <c r="T158" s="580" t="str">
        <f t="shared" si="27"/>
        <v>W67E5</v>
      </c>
      <c r="U158" s="580" t="str">
        <f t="shared" si="27"/>
        <v>W6905</v>
      </c>
      <c r="V158" s="580" t="str">
        <f t="shared" si="27"/>
        <v>W6A25</v>
      </c>
      <c r="W158" s="580" t="str">
        <f t="shared" si="27"/>
        <v>W6B45</v>
      </c>
      <c r="X158" s="580" t="str">
        <f t="shared" si="27"/>
        <v>W6C65</v>
      </c>
    </row>
    <row r="159" spans="5:24" ht="13.5" customHeight="1" x14ac:dyDescent="0.25">
      <c r="G159" s="581"/>
      <c r="H159" s="575"/>
      <c r="I159" s="582" t="s">
        <v>742</v>
      </c>
      <c r="J159" s="577"/>
      <c r="K159" s="578">
        <v>6</v>
      </c>
      <c r="L159" s="579"/>
      <c r="M159" s="580" t="str">
        <f t="shared" si="26"/>
        <v>W6006</v>
      </c>
      <c r="N159" s="580" t="str">
        <f t="shared" si="27"/>
        <v>W6126</v>
      </c>
      <c r="O159" s="580" t="str">
        <f t="shared" si="27"/>
        <v>W6246</v>
      </c>
      <c r="P159" s="580" t="str">
        <f t="shared" si="27"/>
        <v>W6366</v>
      </c>
      <c r="Q159" s="580" t="str">
        <f t="shared" si="27"/>
        <v>W6486</v>
      </c>
      <c r="R159" s="580" t="str">
        <f t="shared" si="27"/>
        <v>W65A6</v>
      </c>
      <c r="S159" s="580" t="str">
        <f t="shared" si="27"/>
        <v>W66C6</v>
      </c>
      <c r="T159" s="580" t="str">
        <f t="shared" si="27"/>
        <v>W67E6</v>
      </c>
      <c r="U159" s="580" t="str">
        <f t="shared" si="27"/>
        <v>W6906</v>
      </c>
      <c r="V159" s="580" t="str">
        <f t="shared" si="27"/>
        <v>W6A26</v>
      </c>
      <c r="W159" s="580" t="str">
        <f t="shared" si="27"/>
        <v>W6B46</v>
      </c>
      <c r="X159" s="580" t="str">
        <f t="shared" si="27"/>
        <v>W6C66</v>
      </c>
    </row>
    <row r="160" spans="5:24" ht="13.5" customHeight="1" x14ac:dyDescent="0.25">
      <c r="G160" s="581"/>
      <c r="H160" s="575"/>
      <c r="I160" s="582" t="s">
        <v>742</v>
      </c>
      <c r="J160" s="577"/>
      <c r="K160" s="578">
        <v>7</v>
      </c>
      <c r="L160" s="579"/>
      <c r="M160" s="580" t="str">
        <f t="shared" si="26"/>
        <v>W6007</v>
      </c>
      <c r="N160" s="580" t="str">
        <f t="shared" si="27"/>
        <v>W6127</v>
      </c>
      <c r="O160" s="580" t="str">
        <f t="shared" si="27"/>
        <v>W6247</v>
      </c>
      <c r="P160" s="580" t="str">
        <f t="shared" si="27"/>
        <v>W6367</v>
      </c>
      <c r="Q160" s="580" t="str">
        <f t="shared" si="27"/>
        <v>W6487</v>
      </c>
      <c r="R160" s="580" t="str">
        <f t="shared" si="27"/>
        <v>W65A7</v>
      </c>
      <c r="S160" s="580" t="str">
        <f t="shared" si="27"/>
        <v>W66C7</v>
      </c>
      <c r="T160" s="580" t="str">
        <f t="shared" si="27"/>
        <v>W67E7</v>
      </c>
      <c r="U160" s="580" t="str">
        <f t="shared" si="27"/>
        <v>W6907</v>
      </c>
      <c r="V160" s="580" t="str">
        <f t="shared" si="27"/>
        <v>W6A27</v>
      </c>
      <c r="W160" s="580" t="str">
        <f t="shared" si="27"/>
        <v>W6B47</v>
      </c>
      <c r="X160" s="580" t="str">
        <f t="shared" si="27"/>
        <v>W6C67</v>
      </c>
    </row>
    <row r="161" spans="1:24" ht="13.5" customHeight="1" x14ac:dyDescent="0.25">
      <c r="G161" s="581"/>
      <c r="H161" s="575"/>
      <c r="I161" s="582" t="s">
        <v>742</v>
      </c>
      <c r="J161" s="577"/>
      <c r="K161" s="578">
        <v>8</v>
      </c>
      <c r="L161" s="579"/>
      <c r="M161" s="580" t="str">
        <f t="shared" si="26"/>
        <v>W6008</v>
      </c>
      <c r="N161" s="580" t="str">
        <f t="shared" si="27"/>
        <v>W6128</v>
      </c>
      <c r="O161" s="580" t="str">
        <f t="shared" si="27"/>
        <v>W6248</v>
      </c>
      <c r="P161" s="580" t="str">
        <f t="shared" si="27"/>
        <v>W6368</v>
      </c>
      <c r="Q161" s="580" t="str">
        <f t="shared" si="27"/>
        <v>W6488</v>
      </c>
      <c r="R161" s="580" t="str">
        <f t="shared" si="27"/>
        <v>W65A8</v>
      </c>
      <c r="S161" s="580" t="str">
        <f t="shared" si="27"/>
        <v>W66C8</v>
      </c>
      <c r="T161" s="580" t="str">
        <f t="shared" si="27"/>
        <v>W67E8</v>
      </c>
      <c r="U161" s="580" t="str">
        <f t="shared" si="27"/>
        <v>W6908</v>
      </c>
      <c r="V161" s="580" t="str">
        <f t="shared" si="27"/>
        <v>W6A28</v>
      </c>
      <c r="W161" s="580" t="str">
        <f t="shared" si="27"/>
        <v>W6B48</v>
      </c>
      <c r="X161" s="580" t="str">
        <f t="shared" si="27"/>
        <v>W6C68</v>
      </c>
    </row>
    <row r="162" spans="1:24" ht="13.5" customHeight="1" x14ac:dyDescent="0.25">
      <c r="G162" s="581"/>
      <c r="H162" s="575"/>
      <c r="I162" s="582" t="s">
        <v>742</v>
      </c>
      <c r="J162" s="577"/>
      <c r="K162" s="578">
        <v>9</v>
      </c>
      <c r="L162" s="579"/>
      <c r="M162" s="580" t="str">
        <f t="shared" si="26"/>
        <v>W6009</v>
      </c>
      <c r="N162" s="580" t="str">
        <f t="shared" si="27"/>
        <v>W6129</v>
      </c>
      <c r="O162" s="580" t="str">
        <f t="shared" si="27"/>
        <v>W6249</v>
      </c>
      <c r="P162" s="580" t="str">
        <f t="shared" si="27"/>
        <v>W6369</v>
      </c>
      <c r="Q162" s="580" t="str">
        <f t="shared" si="27"/>
        <v>W6489</v>
      </c>
      <c r="R162" s="580" t="str">
        <f t="shared" si="27"/>
        <v>W65A9</v>
      </c>
      <c r="S162" s="580" t="str">
        <f t="shared" si="27"/>
        <v>W66C9</v>
      </c>
      <c r="T162" s="580" t="str">
        <f t="shared" si="27"/>
        <v>W67E9</v>
      </c>
      <c r="U162" s="580" t="str">
        <f t="shared" si="27"/>
        <v>W6909</v>
      </c>
      <c r="V162" s="580" t="str">
        <f t="shared" si="27"/>
        <v>W6A29</v>
      </c>
      <c r="W162" s="580" t="str">
        <f t="shared" si="27"/>
        <v>W6B49</v>
      </c>
      <c r="X162" s="580" t="str">
        <f t="shared" si="27"/>
        <v>W6C69</v>
      </c>
    </row>
    <row r="163" spans="1:24" ht="13.5" customHeight="1" x14ac:dyDescent="0.25">
      <c r="G163" s="581"/>
      <c r="H163" s="575"/>
      <c r="I163" s="582" t="s">
        <v>742</v>
      </c>
      <c r="J163" s="577"/>
      <c r="K163" s="578">
        <v>10</v>
      </c>
      <c r="L163" s="579"/>
      <c r="M163" s="580" t="str">
        <f t="shared" si="26"/>
        <v>W600A</v>
      </c>
      <c r="N163" s="580" t="str">
        <f t="shared" si="27"/>
        <v>W612A</v>
      </c>
      <c r="O163" s="580" t="str">
        <f t="shared" si="27"/>
        <v>W624A</v>
      </c>
      <c r="P163" s="580" t="str">
        <f t="shared" si="27"/>
        <v>W636A</v>
      </c>
      <c r="Q163" s="580" t="str">
        <f t="shared" si="27"/>
        <v>W648A</v>
      </c>
      <c r="R163" s="580" t="str">
        <f t="shared" si="27"/>
        <v>W65AA</v>
      </c>
      <c r="S163" s="580" t="str">
        <f t="shared" si="27"/>
        <v>W66CA</v>
      </c>
      <c r="T163" s="580" t="str">
        <f t="shared" si="27"/>
        <v>W67EA</v>
      </c>
      <c r="U163" s="580" t="str">
        <f t="shared" si="27"/>
        <v>W690A</v>
      </c>
      <c r="V163" s="580" t="str">
        <f t="shared" si="27"/>
        <v>W6A2A</v>
      </c>
      <c r="W163" s="580" t="str">
        <f t="shared" si="27"/>
        <v>W6B4A</v>
      </c>
      <c r="X163" s="580" t="str">
        <f t="shared" si="27"/>
        <v>W6C6A</v>
      </c>
    </row>
    <row r="164" spans="1:24" ht="13.5" customHeight="1" x14ac:dyDescent="0.25">
      <c r="G164" s="581"/>
      <c r="H164" s="575"/>
      <c r="I164" s="582" t="s">
        <v>742</v>
      </c>
      <c r="J164" s="470"/>
      <c r="K164" s="584">
        <v>11</v>
      </c>
      <c r="L164" s="579"/>
      <c r="M164" s="580" t="str">
        <f t="shared" si="26"/>
        <v>W600B</v>
      </c>
      <c r="N164" s="580" t="str">
        <f t="shared" si="27"/>
        <v>W612B</v>
      </c>
      <c r="O164" s="580" t="str">
        <f t="shared" si="27"/>
        <v>W624B</v>
      </c>
      <c r="P164" s="580" t="str">
        <f t="shared" si="27"/>
        <v>W636B</v>
      </c>
      <c r="Q164" s="580" t="str">
        <f t="shared" si="27"/>
        <v>W648B</v>
      </c>
      <c r="R164" s="580" t="str">
        <f t="shared" si="27"/>
        <v>W65AB</v>
      </c>
      <c r="S164" s="580" t="str">
        <f t="shared" si="27"/>
        <v>W66CB</v>
      </c>
      <c r="T164" s="580" t="str">
        <f t="shared" si="27"/>
        <v>W67EB</v>
      </c>
      <c r="U164" s="580" t="str">
        <f t="shared" si="27"/>
        <v>W690B</v>
      </c>
      <c r="V164" s="580" t="str">
        <f t="shared" si="27"/>
        <v>W6A2B</v>
      </c>
      <c r="W164" s="580" t="str">
        <f t="shared" si="27"/>
        <v>W6B4B</v>
      </c>
      <c r="X164" s="580" t="str">
        <f t="shared" si="27"/>
        <v>W6C6B</v>
      </c>
    </row>
    <row r="165" spans="1:24" ht="13.5" customHeight="1" x14ac:dyDescent="0.25">
      <c r="G165" s="581"/>
      <c r="H165" s="575"/>
      <c r="I165" s="582" t="s">
        <v>742</v>
      </c>
      <c r="J165" s="470"/>
      <c r="K165" s="584">
        <v>12</v>
      </c>
      <c r="L165" s="579"/>
      <c r="M165" s="580" t="str">
        <f t="shared" si="26"/>
        <v>W600C</v>
      </c>
      <c r="N165" s="580" t="str">
        <f t="shared" si="27"/>
        <v>W612C</v>
      </c>
      <c r="O165" s="580" t="str">
        <f t="shared" si="27"/>
        <v>W624C</v>
      </c>
      <c r="P165" s="580" t="str">
        <f t="shared" si="27"/>
        <v>W636C</v>
      </c>
      <c r="Q165" s="580" t="str">
        <f t="shared" si="27"/>
        <v>W648C</v>
      </c>
      <c r="R165" s="580" t="str">
        <f t="shared" si="27"/>
        <v>W65AC</v>
      </c>
      <c r="S165" s="580" t="str">
        <f t="shared" si="27"/>
        <v>W66CC</v>
      </c>
      <c r="T165" s="580" t="str">
        <f t="shared" si="27"/>
        <v>W67EC</v>
      </c>
      <c r="U165" s="580" t="str">
        <f t="shared" si="27"/>
        <v>W690C</v>
      </c>
      <c r="V165" s="580" t="str">
        <f t="shared" si="27"/>
        <v>W6A2C</v>
      </c>
      <c r="W165" s="580" t="str">
        <f t="shared" si="27"/>
        <v>W6B4C</v>
      </c>
      <c r="X165" s="580" t="str">
        <f t="shared" si="27"/>
        <v>W6C6C</v>
      </c>
    </row>
    <row r="166" spans="1:24" ht="13.5" customHeight="1" x14ac:dyDescent="0.25">
      <c r="G166" s="581"/>
      <c r="H166" s="575"/>
      <c r="I166" s="582" t="s">
        <v>742</v>
      </c>
      <c r="J166" s="470"/>
      <c r="K166" s="584">
        <v>13</v>
      </c>
      <c r="L166" s="579"/>
      <c r="M166" s="580" t="str">
        <f t="shared" si="26"/>
        <v>W600D</v>
      </c>
      <c r="N166" s="580" t="str">
        <f t="shared" si="27"/>
        <v>W612D</v>
      </c>
      <c r="O166" s="580" t="str">
        <f t="shared" si="27"/>
        <v>W624D</v>
      </c>
      <c r="P166" s="580" t="str">
        <f t="shared" si="27"/>
        <v>W636D</v>
      </c>
      <c r="Q166" s="580" t="str">
        <f t="shared" si="27"/>
        <v>W648D</v>
      </c>
      <c r="R166" s="580" t="str">
        <f t="shared" si="27"/>
        <v>W65AD</v>
      </c>
      <c r="S166" s="580" t="str">
        <f t="shared" si="27"/>
        <v>W66CD</v>
      </c>
      <c r="T166" s="580" t="str">
        <f t="shared" si="27"/>
        <v>W67ED</v>
      </c>
      <c r="U166" s="580" t="str">
        <f t="shared" si="27"/>
        <v>W690D</v>
      </c>
      <c r="V166" s="580" t="str">
        <f t="shared" si="27"/>
        <v>W6A2D</v>
      </c>
      <c r="W166" s="580" t="str">
        <f t="shared" si="27"/>
        <v>W6B4D</v>
      </c>
      <c r="X166" s="580" t="str">
        <f t="shared" si="27"/>
        <v>W6C6D</v>
      </c>
    </row>
    <row r="167" spans="1:24" ht="13.5" customHeight="1" thickBot="1" x14ac:dyDescent="0.3">
      <c r="G167" s="581"/>
      <c r="H167" s="575"/>
      <c r="I167" s="582" t="s">
        <v>742</v>
      </c>
      <c r="J167" s="470"/>
      <c r="K167" s="584">
        <v>14</v>
      </c>
      <c r="L167" s="579"/>
      <c r="M167" s="580" t="str">
        <f t="shared" si="26"/>
        <v>W600E</v>
      </c>
      <c r="N167" s="580" t="str">
        <f t="shared" si="27"/>
        <v>W612E</v>
      </c>
      <c r="O167" s="580" t="str">
        <f t="shared" si="27"/>
        <v>W624E</v>
      </c>
      <c r="P167" s="580" t="str">
        <f t="shared" si="27"/>
        <v>W636E</v>
      </c>
      <c r="Q167" s="580" t="str">
        <f t="shared" si="27"/>
        <v>W648E</v>
      </c>
      <c r="R167" s="580" t="str">
        <f t="shared" si="27"/>
        <v>W65AE</v>
      </c>
      <c r="S167" s="580" t="str">
        <f t="shared" si="27"/>
        <v>W66CE</v>
      </c>
      <c r="T167" s="580" t="str">
        <f t="shared" si="27"/>
        <v>W67EE</v>
      </c>
      <c r="U167" s="580" t="str">
        <f t="shared" si="27"/>
        <v>W690E</v>
      </c>
      <c r="V167" s="580" t="str">
        <f t="shared" si="27"/>
        <v>W6A2E</v>
      </c>
      <c r="W167" s="580" t="str">
        <f t="shared" si="27"/>
        <v>W6B4E</v>
      </c>
      <c r="X167" s="580" t="str">
        <f t="shared" si="27"/>
        <v>W6C6E</v>
      </c>
    </row>
    <row r="168" spans="1:24" ht="13.5" customHeight="1" thickBot="1" x14ac:dyDescent="0.3">
      <c r="A168" s="563" t="s">
        <v>196</v>
      </c>
      <c r="B168" s="585" t="s">
        <v>878</v>
      </c>
      <c r="C168" s="507"/>
      <c r="D168" s="508" t="s">
        <v>879</v>
      </c>
      <c r="E168" s="586"/>
      <c r="F168" s="586"/>
      <c r="G168" s="581"/>
      <c r="H168" s="587"/>
      <c r="I168" s="588" t="s">
        <v>742</v>
      </c>
      <c r="J168" s="490"/>
      <c r="K168" s="589">
        <v>15</v>
      </c>
      <c r="L168" s="590"/>
      <c r="M168" s="591" t="str">
        <f t="shared" si="26"/>
        <v>W600F</v>
      </c>
      <c r="N168" s="591" t="str">
        <f t="shared" si="27"/>
        <v>W612F</v>
      </c>
      <c r="O168" s="591" t="str">
        <f t="shared" si="27"/>
        <v>W624F</v>
      </c>
      <c r="P168" s="591" t="str">
        <f t="shared" si="27"/>
        <v>W636F</v>
      </c>
      <c r="Q168" s="591" t="str">
        <f t="shared" si="27"/>
        <v>W648F</v>
      </c>
      <c r="R168" s="591" t="str">
        <f t="shared" si="27"/>
        <v>W65AF</v>
      </c>
      <c r="S168" s="591" t="str">
        <f t="shared" si="27"/>
        <v>W66CF</v>
      </c>
      <c r="T168" s="591" t="str">
        <f t="shared" si="27"/>
        <v>W67EF</v>
      </c>
      <c r="U168" s="591" t="str">
        <f t="shared" si="27"/>
        <v>W690F</v>
      </c>
      <c r="V168" s="591" t="str">
        <f t="shared" si="27"/>
        <v>W6A2F</v>
      </c>
      <c r="W168" s="591" t="str">
        <f t="shared" si="27"/>
        <v>W6B4F</v>
      </c>
      <c r="X168" s="591" t="str">
        <f t="shared" si="27"/>
        <v>W6C6F</v>
      </c>
    </row>
    <row r="169" spans="1:24" ht="13.5" customHeight="1" thickTop="1" x14ac:dyDescent="0.25">
      <c r="A169" s="592" t="s">
        <v>582</v>
      </c>
      <c r="B169" s="593" t="s">
        <v>974</v>
      </c>
      <c r="C169" s="512" t="s">
        <v>200</v>
      </c>
      <c r="D169" s="513" t="s">
        <v>974</v>
      </c>
      <c r="E169" s="594"/>
      <c r="F169" s="594"/>
      <c r="G169" s="595" t="s">
        <v>582</v>
      </c>
      <c r="H169" s="596" t="s">
        <v>975</v>
      </c>
      <c r="I169" s="597" t="s">
        <v>976</v>
      </c>
      <c r="J169" s="464"/>
      <c r="K169" s="572">
        <v>16</v>
      </c>
      <c r="L169" s="573">
        <v>2</v>
      </c>
      <c r="M169" s="574" t="str">
        <f t="shared" si="26"/>
        <v>W6010</v>
      </c>
      <c r="N169" s="574" t="str">
        <f t="shared" si="27"/>
        <v>W6130</v>
      </c>
      <c r="O169" s="574" t="str">
        <f t="shared" si="27"/>
        <v>W6250</v>
      </c>
      <c r="P169" s="574" t="str">
        <f t="shared" si="27"/>
        <v>W6370</v>
      </c>
      <c r="Q169" s="574" t="str">
        <f t="shared" si="27"/>
        <v>W6490</v>
      </c>
      <c r="R169" s="574" t="str">
        <f t="shared" si="27"/>
        <v>W65B0</v>
      </c>
      <c r="S169" s="574" t="str">
        <f t="shared" si="27"/>
        <v>W66D0</v>
      </c>
      <c r="T169" s="574" t="str">
        <f t="shared" si="27"/>
        <v>W67F0</v>
      </c>
      <c r="U169" s="574" t="str">
        <f t="shared" si="27"/>
        <v>W6910</v>
      </c>
      <c r="V169" s="574" t="str">
        <f t="shared" si="27"/>
        <v>W6A30</v>
      </c>
      <c r="W169" s="574" t="str">
        <f t="shared" si="27"/>
        <v>W6B50</v>
      </c>
      <c r="X169" s="574" t="str">
        <f t="shared" si="27"/>
        <v>W6C70</v>
      </c>
    </row>
    <row r="170" spans="1:24" ht="13.5" customHeight="1" x14ac:dyDescent="0.25">
      <c r="A170" s="592" t="s">
        <v>582</v>
      </c>
      <c r="B170" s="598" t="s">
        <v>977</v>
      </c>
      <c r="C170" s="519" t="s">
        <v>200</v>
      </c>
      <c r="D170" s="520" t="s">
        <v>977</v>
      </c>
      <c r="E170" s="594"/>
      <c r="F170" s="594"/>
      <c r="G170" s="595"/>
      <c r="H170" s="599"/>
      <c r="I170" s="600" t="s">
        <v>976</v>
      </c>
      <c r="J170" s="470"/>
      <c r="K170" s="578">
        <v>17</v>
      </c>
      <c r="L170" s="579"/>
      <c r="M170" s="580" t="str">
        <f t="shared" si="26"/>
        <v>W6011</v>
      </c>
      <c r="N170" s="580" t="str">
        <f t="shared" si="27"/>
        <v>W6131</v>
      </c>
      <c r="O170" s="580" t="str">
        <f t="shared" si="27"/>
        <v>W6251</v>
      </c>
      <c r="P170" s="580" t="str">
        <f t="shared" si="27"/>
        <v>W6371</v>
      </c>
      <c r="Q170" s="580" t="str">
        <f t="shared" si="27"/>
        <v>W6491</v>
      </c>
      <c r="R170" s="580" t="str">
        <f t="shared" si="27"/>
        <v>W65B1</v>
      </c>
      <c r="S170" s="580" t="str">
        <f t="shared" si="27"/>
        <v>W66D1</v>
      </c>
      <c r="T170" s="580" t="str">
        <f t="shared" si="27"/>
        <v>W67F1</v>
      </c>
      <c r="U170" s="580" t="str">
        <f t="shared" si="27"/>
        <v>W6911</v>
      </c>
      <c r="V170" s="580" t="str">
        <f t="shared" si="27"/>
        <v>W6A31</v>
      </c>
      <c r="W170" s="580" t="str">
        <f t="shared" si="27"/>
        <v>W6B51</v>
      </c>
      <c r="X170" s="580" t="str">
        <f t="shared" si="27"/>
        <v>W6C71</v>
      </c>
    </row>
    <row r="171" spans="1:24" ht="13.5" customHeight="1" x14ac:dyDescent="0.25">
      <c r="A171" s="592" t="s">
        <v>582</v>
      </c>
      <c r="B171" s="601" t="s">
        <v>978</v>
      </c>
      <c r="C171" s="523" t="s">
        <v>200</v>
      </c>
      <c r="D171" s="524" t="s">
        <v>978</v>
      </c>
      <c r="E171" s="594"/>
      <c r="F171" s="594"/>
      <c r="G171" s="595" t="s">
        <v>582</v>
      </c>
      <c r="H171" s="599"/>
      <c r="I171" s="600" t="s">
        <v>979</v>
      </c>
      <c r="J171" s="470"/>
      <c r="K171" s="578">
        <v>18</v>
      </c>
      <c r="L171" s="579"/>
      <c r="M171" s="580" t="str">
        <f t="shared" si="26"/>
        <v>W6012</v>
      </c>
      <c r="N171" s="580" t="str">
        <f t="shared" ref="N171:X186" si="28">"W"&amp;DEC2HEX(HEX2DEC(SUBSTITUTE(N170,"W",""))+1)</f>
        <v>W6132</v>
      </c>
      <c r="O171" s="580" t="str">
        <f t="shared" si="28"/>
        <v>W6252</v>
      </c>
      <c r="P171" s="580" t="str">
        <f t="shared" si="28"/>
        <v>W6372</v>
      </c>
      <c r="Q171" s="580" t="str">
        <f t="shared" si="28"/>
        <v>W6492</v>
      </c>
      <c r="R171" s="580" t="str">
        <f t="shared" si="28"/>
        <v>W65B2</v>
      </c>
      <c r="S171" s="580" t="str">
        <f t="shared" si="28"/>
        <v>W66D2</v>
      </c>
      <c r="T171" s="580" t="str">
        <f t="shared" si="28"/>
        <v>W67F2</v>
      </c>
      <c r="U171" s="580" t="str">
        <f t="shared" si="28"/>
        <v>W6912</v>
      </c>
      <c r="V171" s="580" t="str">
        <f t="shared" si="28"/>
        <v>W6A32</v>
      </c>
      <c r="W171" s="580" t="str">
        <f t="shared" si="28"/>
        <v>W6B52</v>
      </c>
      <c r="X171" s="580" t="str">
        <f t="shared" si="28"/>
        <v>W6C72</v>
      </c>
    </row>
    <row r="172" spans="1:24" ht="13.5" customHeight="1" x14ac:dyDescent="0.25">
      <c r="A172" s="602" t="s">
        <v>980</v>
      </c>
      <c r="B172" s="603" t="s">
        <v>981</v>
      </c>
      <c r="C172" s="527" t="s">
        <v>200</v>
      </c>
      <c r="D172" s="528" t="s">
        <v>981</v>
      </c>
      <c r="E172" s="594"/>
      <c r="F172" s="594"/>
      <c r="G172" s="595"/>
      <c r="H172" s="599"/>
      <c r="I172" s="600" t="s">
        <v>979</v>
      </c>
      <c r="J172" s="470"/>
      <c r="K172" s="578">
        <v>19</v>
      </c>
      <c r="L172" s="579"/>
      <c r="M172" s="580" t="str">
        <f t="shared" si="26"/>
        <v>W6013</v>
      </c>
      <c r="N172" s="580" t="str">
        <f t="shared" si="28"/>
        <v>W6133</v>
      </c>
      <c r="O172" s="580" t="str">
        <f t="shared" si="28"/>
        <v>W6253</v>
      </c>
      <c r="P172" s="580" t="str">
        <f t="shared" si="28"/>
        <v>W6373</v>
      </c>
      <c r="Q172" s="580" t="str">
        <f t="shared" si="28"/>
        <v>W6493</v>
      </c>
      <c r="R172" s="580" t="str">
        <f t="shared" si="28"/>
        <v>W65B3</v>
      </c>
      <c r="S172" s="580" t="str">
        <f t="shared" si="28"/>
        <v>W66D3</v>
      </c>
      <c r="T172" s="580" t="str">
        <f t="shared" si="28"/>
        <v>W67F3</v>
      </c>
      <c r="U172" s="580" t="str">
        <f t="shared" si="28"/>
        <v>W6913</v>
      </c>
      <c r="V172" s="580" t="str">
        <f t="shared" si="28"/>
        <v>W6A33</v>
      </c>
      <c r="W172" s="580" t="str">
        <f t="shared" si="28"/>
        <v>W6B53</v>
      </c>
      <c r="X172" s="580" t="str">
        <f t="shared" si="28"/>
        <v>W6C73</v>
      </c>
    </row>
    <row r="173" spans="1:24" ht="13.5" customHeight="1" x14ac:dyDescent="0.25">
      <c r="A173" s="592" t="s">
        <v>582</v>
      </c>
      <c r="B173" s="598" t="s">
        <v>982</v>
      </c>
      <c r="C173" s="519" t="s">
        <v>200</v>
      </c>
      <c r="D173" s="520" t="s">
        <v>982</v>
      </c>
      <c r="E173" s="594"/>
      <c r="F173" s="594"/>
      <c r="G173" s="296" t="s">
        <v>582</v>
      </c>
      <c r="H173" s="599"/>
      <c r="I173" s="600" t="s">
        <v>983</v>
      </c>
      <c r="J173" s="411"/>
      <c r="K173" s="578">
        <v>20</v>
      </c>
      <c r="L173" s="579"/>
      <c r="M173" s="580" t="str">
        <f t="shared" si="26"/>
        <v>W6014</v>
      </c>
      <c r="N173" s="580" t="str">
        <f t="shared" si="28"/>
        <v>W6134</v>
      </c>
      <c r="O173" s="580" t="str">
        <f t="shared" si="28"/>
        <v>W6254</v>
      </c>
      <c r="P173" s="580" t="str">
        <f t="shared" si="28"/>
        <v>W6374</v>
      </c>
      <c r="Q173" s="580" t="str">
        <f t="shared" si="28"/>
        <v>W6494</v>
      </c>
      <c r="R173" s="580" t="str">
        <f t="shared" si="28"/>
        <v>W65B4</v>
      </c>
      <c r="S173" s="580" t="str">
        <f t="shared" si="28"/>
        <v>W66D4</v>
      </c>
      <c r="T173" s="580" t="str">
        <f t="shared" si="28"/>
        <v>W67F4</v>
      </c>
      <c r="U173" s="580" t="str">
        <f t="shared" si="28"/>
        <v>W6914</v>
      </c>
      <c r="V173" s="580" t="str">
        <f t="shared" si="28"/>
        <v>W6A34</v>
      </c>
      <c r="W173" s="580" t="str">
        <f t="shared" si="28"/>
        <v>W6B54</v>
      </c>
      <c r="X173" s="580" t="str">
        <f t="shared" si="28"/>
        <v>W6C74</v>
      </c>
    </row>
    <row r="174" spans="1:24" ht="13.5" customHeight="1" x14ac:dyDescent="0.25">
      <c r="A174" s="592" t="s">
        <v>582</v>
      </c>
      <c r="B174" s="598" t="s">
        <v>984</v>
      </c>
      <c r="C174" s="519" t="s">
        <v>200</v>
      </c>
      <c r="D174" s="520" t="s">
        <v>984</v>
      </c>
      <c r="E174" s="594"/>
      <c r="F174" s="594"/>
      <c r="G174" s="604" t="s">
        <v>985</v>
      </c>
      <c r="H174" s="599"/>
      <c r="I174" s="582" t="s">
        <v>986</v>
      </c>
      <c r="J174" s="411"/>
      <c r="K174" s="578">
        <v>21</v>
      </c>
      <c r="L174" s="579"/>
      <c r="M174" s="580" t="str">
        <f t="shared" si="26"/>
        <v>W6015</v>
      </c>
      <c r="N174" s="580" t="str">
        <f t="shared" si="28"/>
        <v>W6135</v>
      </c>
      <c r="O174" s="580" t="str">
        <f t="shared" si="28"/>
        <v>W6255</v>
      </c>
      <c r="P174" s="580" t="str">
        <f t="shared" si="28"/>
        <v>W6375</v>
      </c>
      <c r="Q174" s="580" t="str">
        <f t="shared" si="28"/>
        <v>W6495</v>
      </c>
      <c r="R174" s="580" t="str">
        <f t="shared" si="28"/>
        <v>W65B5</v>
      </c>
      <c r="S174" s="580" t="str">
        <f t="shared" si="28"/>
        <v>W66D5</v>
      </c>
      <c r="T174" s="580" t="str">
        <f t="shared" si="28"/>
        <v>W67F5</v>
      </c>
      <c r="U174" s="580" t="str">
        <f t="shared" si="28"/>
        <v>W6915</v>
      </c>
      <c r="V174" s="580" t="str">
        <f t="shared" si="28"/>
        <v>W6A35</v>
      </c>
      <c r="W174" s="580" t="str">
        <f t="shared" si="28"/>
        <v>W6B55</v>
      </c>
      <c r="X174" s="580" t="str">
        <f t="shared" si="28"/>
        <v>W6C75</v>
      </c>
    </row>
    <row r="175" spans="1:24" ht="13.5" customHeight="1" x14ac:dyDescent="0.25">
      <c r="A175" s="602" t="s">
        <v>980</v>
      </c>
      <c r="B175" s="598" t="s">
        <v>987</v>
      </c>
      <c r="C175" s="519" t="s">
        <v>200</v>
      </c>
      <c r="D175" s="520" t="s">
        <v>987</v>
      </c>
      <c r="E175" s="594"/>
      <c r="F175" s="594"/>
      <c r="G175" s="296" t="s">
        <v>582</v>
      </c>
      <c r="H175" s="599"/>
      <c r="I175" s="600" t="s">
        <v>988</v>
      </c>
      <c r="J175" s="470"/>
      <c r="K175" s="578">
        <v>22</v>
      </c>
      <c r="L175" s="579"/>
      <c r="M175" s="580" t="str">
        <f t="shared" si="26"/>
        <v>W6016</v>
      </c>
      <c r="N175" s="580" t="str">
        <f t="shared" si="28"/>
        <v>W6136</v>
      </c>
      <c r="O175" s="580" t="str">
        <f t="shared" si="28"/>
        <v>W6256</v>
      </c>
      <c r="P175" s="580" t="str">
        <f t="shared" si="28"/>
        <v>W6376</v>
      </c>
      <c r="Q175" s="580" t="str">
        <f t="shared" si="28"/>
        <v>W6496</v>
      </c>
      <c r="R175" s="580" t="str">
        <f t="shared" si="28"/>
        <v>W65B6</v>
      </c>
      <c r="S175" s="580" t="str">
        <f t="shared" si="28"/>
        <v>W66D6</v>
      </c>
      <c r="T175" s="580" t="str">
        <f t="shared" si="28"/>
        <v>W67F6</v>
      </c>
      <c r="U175" s="580" t="str">
        <f t="shared" si="28"/>
        <v>W6916</v>
      </c>
      <c r="V175" s="580" t="str">
        <f t="shared" si="28"/>
        <v>W6A36</v>
      </c>
      <c r="W175" s="580" t="str">
        <f t="shared" si="28"/>
        <v>W6B56</v>
      </c>
      <c r="X175" s="580" t="str">
        <f t="shared" si="28"/>
        <v>W6C76</v>
      </c>
    </row>
    <row r="176" spans="1:24" ht="13.5" customHeight="1" x14ac:dyDescent="0.25">
      <c r="A176" s="605"/>
      <c r="B176" s="606" t="s">
        <v>888</v>
      </c>
      <c r="C176" s="530" t="s">
        <v>889</v>
      </c>
      <c r="D176" s="607"/>
      <c r="E176" s="594"/>
      <c r="F176" s="594"/>
      <c r="G176" s="301" t="s">
        <v>989</v>
      </c>
      <c r="H176" s="599"/>
      <c r="I176" s="600" t="s">
        <v>990</v>
      </c>
      <c r="J176" s="470"/>
      <c r="K176" s="578">
        <v>23</v>
      </c>
      <c r="L176" s="579"/>
      <c r="M176" s="580" t="str">
        <f t="shared" si="26"/>
        <v>W6017</v>
      </c>
      <c r="N176" s="580" t="str">
        <f t="shared" si="28"/>
        <v>W6137</v>
      </c>
      <c r="O176" s="580" t="str">
        <f t="shared" si="28"/>
        <v>W6257</v>
      </c>
      <c r="P176" s="580" t="str">
        <f t="shared" si="28"/>
        <v>W6377</v>
      </c>
      <c r="Q176" s="580" t="str">
        <f t="shared" si="28"/>
        <v>W6497</v>
      </c>
      <c r="R176" s="580" t="str">
        <f t="shared" si="28"/>
        <v>W65B7</v>
      </c>
      <c r="S176" s="580" t="str">
        <f t="shared" si="28"/>
        <v>W66D7</v>
      </c>
      <c r="T176" s="580" t="str">
        <f t="shared" si="28"/>
        <v>W67F7</v>
      </c>
      <c r="U176" s="580" t="str">
        <f t="shared" si="28"/>
        <v>W6917</v>
      </c>
      <c r="V176" s="580" t="str">
        <f t="shared" si="28"/>
        <v>W6A37</v>
      </c>
      <c r="W176" s="580" t="str">
        <f t="shared" si="28"/>
        <v>W6B57</v>
      </c>
      <c r="X176" s="580" t="str">
        <f t="shared" si="28"/>
        <v>W6C77</v>
      </c>
    </row>
    <row r="177" spans="1:24" ht="13.5" customHeight="1" x14ac:dyDescent="0.25">
      <c r="A177" s="605"/>
      <c r="B177" s="606" t="s">
        <v>888</v>
      </c>
      <c r="C177" s="530" t="s">
        <v>889</v>
      </c>
      <c r="D177" s="543"/>
      <c r="E177" s="608"/>
      <c r="F177" s="608"/>
      <c r="G177" s="301" t="s">
        <v>991</v>
      </c>
      <c r="H177" s="599"/>
      <c r="I177" s="600" t="s">
        <v>992</v>
      </c>
      <c r="J177" s="411"/>
      <c r="K177" s="578">
        <v>24</v>
      </c>
      <c r="L177" s="579"/>
      <c r="M177" s="580" t="str">
        <f t="shared" si="26"/>
        <v>W6018</v>
      </c>
      <c r="N177" s="580" t="str">
        <f t="shared" si="28"/>
        <v>W6138</v>
      </c>
      <c r="O177" s="580" t="str">
        <f t="shared" si="28"/>
        <v>W6258</v>
      </c>
      <c r="P177" s="580" t="str">
        <f t="shared" si="28"/>
        <v>W6378</v>
      </c>
      <c r="Q177" s="580" t="str">
        <f t="shared" si="28"/>
        <v>W6498</v>
      </c>
      <c r="R177" s="580" t="str">
        <f t="shared" si="28"/>
        <v>W65B8</v>
      </c>
      <c r="S177" s="580" t="str">
        <f t="shared" si="28"/>
        <v>W66D8</v>
      </c>
      <c r="T177" s="580" t="str">
        <f t="shared" si="28"/>
        <v>W67F8</v>
      </c>
      <c r="U177" s="580" t="str">
        <f t="shared" si="28"/>
        <v>W6918</v>
      </c>
      <c r="V177" s="580" t="str">
        <f t="shared" si="28"/>
        <v>W6A38</v>
      </c>
      <c r="W177" s="580" t="str">
        <f t="shared" si="28"/>
        <v>W6B58</v>
      </c>
      <c r="X177" s="580" t="str">
        <f t="shared" si="28"/>
        <v>W6C78</v>
      </c>
    </row>
    <row r="178" spans="1:24" ht="13.5" customHeight="1" x14ac:dyDescent="0.25">
      <c r="A178" s="605"/>
      <c r="B178" s="606" t="s">
        <v>888</v>
      </c>
      <c r="C178" s="530" t="s">
        <v>889</v>
      </c>
      <c r="D178" s="531"/>
      <c r="E178" s="609"/>
      <c r="F178" s="609"/>
      <c r="G178" s="296"/>
      <c r="H178" s="599"/>
      <c r="I178" s="600" t="s">
        <v>993</v>
      </c>
      <c r="J178" s="411"/>
      <c r="K178" s="578">
        <v>25</v>
      </c>
      <c r="L178" s="579"/>
      <c r="M178" s="580" t="str">
        <f t="shared" si="26"/>
        <v>W6019</v>
      </c>
      <c r="N178" s="580" t="str">
        <f t="shared" si="28"/>
        <v>W6139</v>
      </c>
      <c r="O178" s="580" t="str">
        <f t="shared" si="28"/>
        <v>W6259</v>
      </c>
      <c r="P178" s="580" t="str">
        <f t="shared" si="28"/>
        <v>W6379</v>
      </c>
      <c r="Q178" s="580" t="str">
        <f t="shared" si="28"/>
        <v>W6499</v>
      </c>
      <c r="R178" s="580" t="str">
        <f t="shared" si="28"/>
        <v>W65B9</v>
      </c>
      <c r="S178" s="580" t="str">
        <f t="shared" si="28"/>
        <v>W66D9</v>
      </c>
      <c r="T178" s="580" t="str">
        <f t="shared" si="28"/>
        <v>W67F9</v>
      </c>
      <c r="U178" s="580" t="str">
        <f t="shared" si="28"/>
        <v>W6919</v>
      </c>
      <c r="V178" s="580" t="str">
        <f t="shared" si="28"/>
        <v>W6A39</v>
      </c>
      <c r="W178" s="580" t="str">
        <f t="shared" si="28"/>
        <v>W6B59</v>
      </c>
      <c r="X178" s="580" t="str">
        <f t="shared" si="28"/>
        <v>W6C79</v>
      </c>
    </row>
    <row r="179" spans="1:24" ht="13.5" customHeight="1" x14ac:dyDescent="0.25">
      <c r="A179" s="605"/>
      <c r="B179" s="606" t="s">
        <v>888</v>
      </c>
      <c r="C179" s="530" t="s">
        <v>889</v>
      </c>
      <c r="D179" s="531"/>
      <c r="E179" s="609"/>
      <c r="F179" s="609"/>
      <c r="G179" s="301" t="s">
        <v>592</v>
      </c>
      <c r="H179" s="599"/>
      <c r="I179" s="600" t="s">
        <v>994</v>
      </c>
      <c r="J179" s="411"/>
      <c r="K179" s="578">
        <v>26</v>
      </c>
      <c r="L179" s="579"/>
      <c r="M179" s="580" t="str">
        <f t="shared" si="26"/>
        <v>W601A</v>
      </c>
      <c r="N179" s="580" t="str">
        <f t="shared" si="28"/>
        <v>W613A</v>
      </c>
      <c r="O179" s="580" t="str">
        <f t="shared" si="28"/>
        <v>W625A</v>
      </c>
      <c r="P179" s="580" t="str">
        <f t="shared" si="28"/>
        <v>W637A</v>
      </c>
      <c r="Q179" s="580" t="str">
        <f t="shared" si="28"/>
        <v>W649A</v>
      </c>
      <c r="R179" s="580" t="str">
        <f t="shared" si="28"/>
        <v>W65BA</v>
      </c>
      <c r="S179" s="580" t="str">
        <f t="shared" si="28"/>
        <v>W66DA</v>
      </c>
      <c r="T179" s="580" t="str">
        <f t="shared" si="28"/>
        <v>W67FA</v>
      </c>
      <c r="U179" s="580" t="str">
        <f t="shared" si="28"/>
        <v>W691A</v>
      </c>
      <c r="V179" s="580" t="str">
        <f t="shared" si="28"/>
        <v>W6A3A</v>
      </c>
      <c r="W179" s="580" t="str">
        <f t="shared" si="28"/>
        <v>W6B5A</v>
      </c>
      <c r="X179" s="580" t="str">
        <f t="shared" si="28"/>
        <v>W6C7A</v>
      </c>
    </row>
    <row r="180" spans="1:24" ht="13.5" customHeight="1" x14ac:dyDescent="0.25">
      <c r="A180" s="605"/>
      <c r="B180" s="606" t="s">
        <v>888</v>
      </c>
      <c r="C180" s="530" t="s">
        <v>889</v>
      </c>
      <c r="D180" s="531"/>
      <c r="E180" s="609"/>
      <c r="F180" s="609"/>
      <c r="G180" s="301" t="s">
        <v>594</v>
      </c>
      <c r="H180" s="599"/>
      <c r="I180" s="600" t="s">
        <v>995</v>
      </c>
      <c r="J180" s="411"/>
      <c r="K180" s="578">
        <v>27</v>
      </c>
      <c r="L180" s="579"/>
      <c r="M180" s="580" t="str">
        <f t="shared" si="26"/>
        <v>W601B</v>
      </c>
      <c r="N180" s="580" t="str">
        <f t="shared" si="28"/>
        <v>W613B</v>
      </c>
      <c r="O180" s="580" t="str">
        <f t="shared" si="28"/>
        <v>W625B</v>
      </c>
      <c r="P180" s="580" t="str">
        <f t="shared" si="28"/>
        <v>W637B</v>
      </c>
      <c r="Q180" s="580" t="str">
        <f t="shared" si="28"/>
        <v>W649B</v>
      </c>
      <c r="R180" s="580" t="str">
        <f t="shared" si="28"/>
        <v>W65BB</v>
      </c>
      <c r="S180" s="580" t="str">
        <f t="shared" si="28"/>
        <v>W66DB</v>
      </c>
      <c r="T180" s="580" t="str">
        <f t="shared" si="28"/>
        <v>W67FB</v>
      </c>
      <c r="U180" s="580" t="str">
        <f t="shared" si="28"/>
        <v>W691B</v>
      </c>
      <c r="V180" s="580" t="str">
        <f t="shared" si="28"/>
        <v>W6A3B</v>
      </c>
      <c r="W180" s="580" t="str">
        <f t="shared" si="28"/>
        <v>W6B5B</v>
      </c>
      <c r="X180" s="580" t="str">
        <f t="shared" si="28"/>
        <v>W6C7B</v>
      </c>
    </row>
    <row r="181" spans="1:24" ht="13.5" customHeight="1" x14ac:dyDescent="0.25">
      <c r="A181" s="605"/>
      <c r="B181" s="606" t="s">
        <v>888</v>
      </c>
      <c r="C181" s="530" t="s">
        <v>889</v>
      </c>
      <c r="D181" s="531"/>
      <c r="E181" s="609"/>
      <c r="F181" s="609"/>
      <c r="G181" s="604" t="s">
        <v>985</v>
      </c>
      <c r="H181" s="599"/>
      <c r="I181" s="582" t="s">
        <v>996</v>
      </c>
      <c r="J181" s="411"/>
      <c r="K181" s="578">
        <v>28</v>
      </c>
      <c r="L181" s="579"/>
      <c r="M181" s="580" t="str">
        <f t="shared" si="26"/>
        <v>W601C</v>
      </c>
      <c r="N181" s="580" t="str">
        <f t="shared" si="28"/>
        <v>W613C</v>
      </c>
      <c r="O181" s="580" t="str">
        <f t="shared" si="28"/>
        <v>W625C</v>
      </c>
      <c r="P181" s="580" t="str">
        <f t="shared" si="28"/>
        <v>W637C</v>
      </c>
      <c r="Q181" s="580" t="str">
        <f t="shared" si="28"/>
        <v>W649C</v>
      </c>
      <c r="R181" s="580" t="str">
        <f t="shared" si="28"/>
        <v>W65BC</v>
      </c>
      <c r="S181" s="580" t="str">
        <f t="shared" si="28"/>
        <v>W66DC</v>
      </c>
      <c r="T181" s="580" t="str">
        <f t="shared" si="28"/>
        <v>W67FC</v>
      </c>
      <c r="U181" s="580" t="str">
        <f t="shared" si="28"/>
        <v>W691C</v>
      </c>
      <c r="V181" s="580" t="str">
        <f t="shared" si="28"/>
        <v>W6A3C</v>
      </c>
      <c r="W181" s="580" t="str">
        <f t="shared" si="28"/>
        <v>W6B5C</v>
      </c>
      <c r="X181" s="580" t="str">
        <f t="shared" si="28"/>
        <v>W6C7C</v>
      </c>
    </row>
    <row r="182" spans="1:24" ht="13.5" customHeight="1" x14ac:dyDescent="0.25">
      <c r="A182" s="605"/>
      <c r="B182" s="606" t="s">
        <v>888</v>
      </c>
      <c r="C182" s="530" t="s">
        <v>889</v>
      </c>
      <c r="D182" s="531"/>
      <c r="E182" s="609"/>
      <c r="F182" s="609"/>
      <c r="G182" s="604" t="s">
        <v>985</v>
      </c>
      <c r="H182" s="599"/>
      <c r="I182" s="582" t="s">
        <v>997</v>
      </c>
      <c r="J182" s="411"/>
      <c r="K182" s="578">
        <v>29</v>
      </c>
      <c r="L182" s="579"/>
      <c r="M182" s="580" t="str">
        <f t="shared" si="26"/>
        <v>W601D</v>
      </c>
      <c r="N182" s="580" t="str">
        <f t="shared" si="28"/>
        <v>W613D</v>
      </c>
      <c r="O182" s="580" t="str">
        <f t="shared" si="28"/>
        <v>W625D</v>
      </c>
      <c r="P182" s="580" t="str">
        <f t="shared" si="28"/>
        <v>W637D</v>
      </c>
      <c r="Q182" s="580" t="str">
        <f t="shared" si="28"/>
        <v>W649D</v>
      </c>
      <c r="R182" s="580" t="str">
        <f t="shared" si="28"/>
        <v>W65BD</v>
      </c>
      <c r="S182" s="580" t="str">
        <f t="shared" si="28"/>
        <v>W66DD</v>
      </c>
      <c r="T182" s="580" t="str">
        <f t="shared" si="28"/>
        <v>W67FD</v>
      </c>
      <c r="U182" s="580" t="str">
        <f t="shared" si="28"/>
        <v>W691D</v>
      </c>
      <c r="V182" s="580" t="str">
        <f t="shared" si="28"/>
        <v>W6A3D</v>
      </c>
      <c r="W182" s="580" t="str">
        <f t="shared" si="28"/>
        <v>W6B5D</v>
      </c>
      <c r="X182" s="580" t="str">
        <f t="shared" si="28"/>
        <v>W6C7D</v>
      </c>
    </row>
    <row r="183" spans="1:24" ht="13.5" customHeight="1" x14ac:dyDescent="0.25">
      <c r="A183" s="605"/>
      <c r="B183" s="606" t="s">
        <v>888</v>
      </c>
      <c r="C183" s="530" t="s">
        <v>889</v>
      </c>
      <c r="D183" s="531"/>
      <c r="E183" s="609"/>
      <c r="F183" s="609"/>
      <c r="G183" s="604"/>
      <c r="H183" s="599"/>
      <c r="I183" s="582" t="s">
        <v>742</v>
      </c>
      <c r="J183" s="411"/>
      <c r="K183" s="578">
        <v>30</v>
      </c>
      <c r="L183" s="579"/>
      <c r="M183" s="580" t="str">
        <f t="shared" si="26"/>
        <v>W601E</v>
      </c>
      <c r="N183" s="580" t="str">
        <f t="shared" si="28"/>
        <v>W613E</v>
      </c>
      <c r="O183" s="580" t="str">
        <f t="shared" si="28"/>
        <v>W625E</v>
      </c>
      <c r="P183" s="580" t="str">
        <f t="shared" si="28"/>
        <v>W637E</v>
      </c>
      <c r="Q183" s="580" t="str">
        <f t="shared" si="28"/>
        <v>W649E</v>
      </c>
      <c r="R183" s="580" t="str">
        <f t="shared" si="28"/>
        <v>W65BE</v>
      </c>
      <c r="S183" s="580" t="str">
        <f t="shared" si="28"/>
        <v>W66DE</v>
      </c>
      <c r="T183" s="580" t="str">
        <f t="shared" si="28"/>
        <v>W67FE</v>
      </c>
      <c r="U183" s="580" t="str">
        <f t="shared" si="28"/>
        <v>W691E</v>
      </c>
      <c r="V183" s="580" t="str">
        <f t="shared" si="28"/>
        <v>W6A3E</v>
      </c>
      <c r="W183" s="580" t="str">
        <f t="shared" si="28"/>
        <v>W6B5E</v>
      </c>
      <c r="X183" s="580" t="str">
        <f t="shared" si="28"/>
        <v>W6C7E</v>
      </c>
    </row>
    <row r="184" spans="1:24" ht="13.5" customHeight="1" thickBot="1" x14ac:dyDescent="0.3">
      <c r="A184" s="605"/>
      <c r="B184" s="610" t="s">
        <v>888</v>
      </c>
      <c r="C184" s="534" t="s">
        <v>889</v>
      </c>
      <c r="D184" s="535"/>
      <c r="E184" s="609"/>
      <c r="F184" s="609"/>
      <c r="G184" s="604"/>
      <c r="H184" s="599"/>
      <c r="I184" s="582" t="s">
        <v>742</v>
      </c>
      <c r="J184" s="414"/>
      <c r="K184" s="611">
        <v>31</v>
      </c>
      <c r="L184" s="590"/>
      <c r="M184" s="591" t="str">
        <f t="shared" si="26"/>
        <v>W601F</v>
      </c>
      <c r="N184" s="591" t="str">
        <f t="shared" si="28"/>
        <v>W613F</v>
      </c>
      <c r="O184" s="591" t="str">
        <f t="shared" si="28"/>
        <v>W625F</v>
      </c>
      <c r="P184" s="591" t="str">
        <f t="shared" si="28"/>
        <v>W637F</v>
      </c>
      <c r="Q184" s="591" t="str">
        <f t="shared" si="28"/>
        <v>W649F</v>
      </c>
      <c r="R184" s="591" t="str">
        <f t="shared" si="28"/>
        <v>W65BF</v>
      </c>
      <c r="S184" s="591" t="str">
        <f t="shared" si="28"/>
        <v>W66DF</v>
      </c>
      <c r="T184" s="591" t="str">
        <f t="shared" si="28"/>
        <v>W67FF</v>
      </c>
      <c r="U184" s="591" t="str">
        <f t="shared" si="28"/>
        <v>W691F</v>
      </c>
      <c r="V184" s="591" t="str">
        <f t="shared" si="28"/>
        <v>W6A3F</v>
      </c>
      <c r="W184" s="591" t="str">
        <f t="shared" si="28"/>
        <v>W6B5F</v>
      </c>
      <c r="X184" s="591" t="str">
        <f t="shared" si="28"/>
        <v>W6C7F</v>
      </c>
    </row>
    <row r="185" spans="1:24" ht="13.5" customHeight="1" thickTop="1" thickBot="1" x14ac:dyDescent="0.3">
      <c r="G185" s="595" t="s">
        <v>582</v>
      </c>
      <c r="H185" s="599"/>
      <c r="I185" s="597" t="s">
        <v>998</v>
      </c>
      <c r="J185" s="464"/>
      <c r="K185" s="572">
        <v>32</v>
      </c>
      <c r="L185" s="573">
        <v>3</v>
      </c>
      <c r="M185" s="574" t="str">
        <f t="shared" si="26"/>
        <v>W6020</v>
      </c>
      <c r="N185" s="574" t="str">
        <f t="shared" si="28"/>
        <v>W6140</v>
      </c>
      <c r="O185" s="574" t="str">
        <f t="shared" si="28"/>
        <v>W6260</v>
      </c>
      <c r="P185" s="574" t="str">
        <f t="shared" si="28"/>
        <v>W6380</v>
      </c>
      <c r="Q185" s="574" t="str">
        <f t="shared" si="28"/>
        <v>W64A0</v>
      </c>
      <c r="R185" s="574" t="str">
        <f t="shared" si="28"/>
        <v>W65C0</v>
      </c>
      <c r="S185" s="574" t="str">
        <f t="shared" si="28"/>
        <v>W66E0</v>
      </c>
      <c r="T185" s="574" t="str">
        <f t="shared" si="28"/>
        <v>W6800</v>
      </c>
      <c r="U185" s="574" t="str">
        <f t="shared" si="28"/>
        <v>W6920</v>
      </c>
      <c r="V185" s="574" t="str">
        <f t="shared" si="28"/>
        <v>W6A40</v>
      </c>
      <c r="W185" s="574" t="str">
        <f t="shared" si="28"/>
        <v>W6B60</v>
      </c>
      <c r="X185" s="574" t="str">
        <f t="shared" si="28"/>
        <v>W6C80</v>
      </c>
    </row>
    <row r="186" spans="1:24" ht="13.5" customHeight="1" thickBot="1" x14ac:dyDescent="0.3">
      <c r="A186" s="563" t="s">
        <v>196</v>
      </c>
      <c r="B186" s="585" t="s">
        <v>878</v>
      </c>
      <c r="C186" s="507"/>
      <c r="D186" s="508" t="s">
        <v>879</v>
      </c>
      <c r="E186" s="586"/>
      <c r="F186" s="586"/>
      <c r="G186" s="595"/>
      <c r="H186" s="599"/>
      <c r="I186" s="612" t="s">
        <v>998</v>
      </c>
      <c r="J186" s="470"/>
      <c r="K186" s="578">
        <v>33</v>
      </c>
      <c r="L186" s="579"/>
      <c r="M186" s="580" t="str">
        <f t="shared" si="26"/>
        <v>W6021</v>
      </c>
      <c r="N186" s="580" t="str">
        <f t="shared" si="28"/>
        <v>W6141</v>
      </c>
      <c r="O186" s="580" t="str">
        <f t="shared" si="28"/>
        <v>W6261</v>
      </c>
      <c r="P186" s="580" t="str">
        <f t="shared" si="28"/>
        <v>W6381</v>
      </c>
      <c r="Q186" s="580" t="str">
        <f t="shared" si="28"/>
        <v>W64A1</v>
      </c>
      <c r="R186" s="580" t="str">
        <f t="shared" si="28"/>
        <v>W65C1</v>
      </c>
      <c r="S186" s="580" t="str">
        <f t="shared" si="28"/>
        <v>W66E1</v>
      </c>
      <c r="T186" s="580" t="str">
        <f t="shared" si="28"/>
        <v>W6801</v>
      </c>
      <c r="U186" s="580" t="str">
        <f t="shared" si="28"/>
        <v>W6921</v>
      </c>
      <c r="V186" s="580" t="str">
        <f t="shared" si="28"/>
        <v>W6A41</v>
      </c>
      <c r="W186" s="580" t="str">
        <f t="shared" si="28"/>
        <v>W6B61</v>
      </c>
      <c r="X186" s="580" t="str">
        <f t="shared" si="28"/>
        <v>W6C81</v>
      </c>
    </row>
    <row r="187" spans="1:24" ht="13.5" customHeight="1" x14ac:dyDescent="0.25">
      <c r="A187" s="592" t="s">
        <v>582</v>
      </c>
      <c r="B187" s="593" t="s">
        <v>999</v>
      </c>
      <c r="C187" s="512" t="s">
        <v>889</v>
      </c>
      <c r="D187" s="513" t="s">
        <v>999</v>
      </c>
      <c r="E187" s="594"/>
      <c r="F187" s="594"/>
      <c r="G187" s="595" t="s">
        <v>582</v>
      </c>
      <c r="H187" s="599"/>
      <c r="I187" s="600" t="s">
        <v>1000</v>
      </c>
      <c r="J187" s="470"/>
      <c r="K187" s="578">
        <v>34</v>
      </c>
      <c r="L187" s="579"/>
      <c r="M187" s="580" t="str">
        <f t="shared" si="26"/>
        <v>W6022</v>
      </c>
      <c r="N187" s="580" t="str">
        <f t="shared" ref="N187:X202" si="29">"W"&amp;DEC2HEX(HEX2DEC(SUBSTITUTE(N186,"W",""))+1)</f>
        <v>W6142</v>
      </c>
      <c r="O187" s="580" t="str">
        <f t="shared" si="29"/>
        <v>W6262</v>
      </c>
      <c r="P187" s="580" t="str">
        <f t="shared" si="29"/>
        <v>W6382</v>
      </c>
      <c r="Q187" s="580" t="str">
        <f t="shared" si="29"/>
        <v>W64A2</v>
      </c>
      <c r="R187" s="580" t="str">
        <f t="shared" si="29"/>
        <v>W65C2</v>
      </c>
      <c r="S187" s="580" t="str">
        <f t="shared" si="29"/>
        <v>W66E2</v>
      </c>
      <c r="T187" s="580" t="str">
        <f t="shared" si="29"/>
        <v>W6802</v>
      </c>
      <c r="U187" s="580" t="str">
        <f t="shared" si="29"/>
        <v>W6922</v>
      </c>
      <c r="V187" s="580" t="str">
        <f t="shared" si="29"/>
        <v>W6A42</v>
      </c>
      <c r="W187" s="580" t="str">
        <f t="shared" si="29"/>
        <v>W6B62</v>
      </c>
      <c r="X187" s="580" t="str">
        <f t="shared" si="29"/>
        <v>W6C82</v>
      </c>
    </row>
    <row r="188" spans="1:24" ht="13.5" customHeight="1" x14ac:dyDescent="0.25">
      <c r="A188" s="592" t="s">
        <v>582</v>
      </c>
      <c r="B188" s="598" t="s">
        <v>1001</v>
      </c>
      <c r="C188" s="519" t="s">
        <v>889</v>
      </c>
      <c r="D188" s="520" t="s">
        <v>1001</v>
      </c>
      <c r="E188" s="594"/>
      <c r="F188" s="594"/>
      <c r="G188" s="595"/>
      <c r="H188" s="599"/>
      <c r="I188" s="600" t="s">
        <v>1000</v>
      </c>
      <c r="J188" s="470"/>
      <c r="K188" s="578">
        <v>35</v>
      </c>
      <c r="L188" s="579"/>
      <c r="M188" s="580" t="str">
        <f t="shared" si="26"/>
        <v>W6023</v>
      </c>
      <c r="N188" s="580" t="str">
        <f t="shared" si="29"/>
        <v>W6143</v>
      </c>
      <c r="O188" s="580" t="str">
        <f t="shared" si="29"/>
        <v>W6263</v>
      </c>
      <c r="P188" s="580" t="str">
        <f t="shared" si="29"/>
        <v>W6383</v>
      </c>
      <c r="Q188" s="580" t="str">
        <f t="shared" si="29"/>
        <v>W64A3</v>
      </c>
      <c r="R188" s="580" t="str">
        <f t="shared" si="29"/>
        <v>W65C3</v>
      </c>
      <c r="S188" s="580" t="str">
        <f t="shared" si="29"/>
        <v>W66E3</v>
      </c>
      <c r="T188" s="580" t="str">
        <f t="shared" si="29"/>
        <v>W6803</v>
      </c>
      <c r="U188" s="580" t="str">
        <f t="shared" si="29"/>
        <v>W6923</v>
      </c>
      <c r="V188" s="580" t="str">
        <f t="shared" si="29"/>
        <v>W6A43</v>
      </c>
      <c r="W188" s="580" t="str">
        <f t="shared" si="29"/>
        <v>W6B63</v>
      </c>
      <c r="X188" s="580" t="str">
        <f t="shared" si="29"/>
        <v>W6C83</v>
      </c>
    </row>
    <row r="189" spans="1:24" ht="13.5" customHeight="1" x14ac:dyDescent="0.25">
      <c r="A189" s="592" t="s">
        <v>582</v>
      </c>
      <c r="B189" s="601" t="s">
        <v>1002</v>
      </c>
      <c r="C189" s="523" t="s">
        <v>889</v>
      </c>
      <c r="D189" s="524" t="s">
        <v>1002</v>
      </c>
      <c r="E189" s="594"/>
      <c r="F189" s="594"/>
      <c r="G189" s="296" t="s">
        <v>582</v>
      </c>
      <c r="H189" s="599"/>
      <c r="I189" s="600" t="s">
        <v>1003</v>
      </c>
      <c r="J189" s="470"/>
      <c r="K189" s="578">
        <v>36</v>
      </c>
      <c r="L189" s="579"/>
      <c r="M189" s="580" t="str">
        <f t="shared" si="26"/>
        <v>W6024</v>
      </c>
      <c r="N189" s="580" t="str">
        <f t="shared" si="29"/>
        <v>W6144</v>
      </c>
      <c r="O189" s="580" t="str">
        <f t="shared" si="29"/>
        <v>W6264</v>
      </c>
      <c r="P189" s="580" t="str">
        <f t="shared" si="29"/>
        <v>W6384</v>
      </c>
      <c r="Q189" s="580" t="str">
        <f t="shared" si="29"/>
        <v>W64A4</v>
      </c>
      <c r="R189" s="580" t="str">
        <f t="shared" si="29"/>
        <v>W65C4</v>
      </c>
      <c r="S189" s="580" t="str">
        <f t="shared" si="29"/>
        <v>W66E4</v>
      </c>
      <c r="T189" s="580" t="str">
        <f t="shared" si="29"/>
        <v>W6804</v>
      </c>
      <c r="U189" s="580" t="str">
        <f t="shared" si="29"/>
        <v>W6924</v>
      </c>
      <c r="V189" s="580" t="str">
        <f t="shared" si="29"/>
        <v>W6A44</v>
      </c>
      <c r="W189" s="580" t="str">
        <f t="shared" si="29"/>
        <v>W6B64</v>
      </c>
      <c r="X189" s="580" t="str">
        <f t="shared" si="29"/>
        <v>W6C84</v>
      </c>
    </row>
    <row r="190" spans="1:24" ht="13.5" customHeight="1" x14ac:dyDescent="0.25">
      <c r="A190" s="602" t="s">
        <v>980</v>
      </c>
      <c r="B190" s="603" t="s">
        <v>1004</v>
      </c>
      <c r="C190" s="527" t="s">
        <v>889</v>
      </c>
      <c r="D190" s="528" t="s">
        <v>1004</v>
      </c>
      <c r="E190" s="594"/>
      <c r="F190" s="594"/>
      <c r="G190" s="604" t="s">
        <v>985</v>
      </c>
      <c r="H190" s="599"/>
      <c r="I190" s="582" t="s">
        <v>1005</v>
      </c>
      <c r="J190" s="470"/>
      <c r="K190" s="578">
        <v>37</v>
      </c>
      <c r="L190" s="579"/>
      <c r="M190" s="580" t="str">
        <f t="shared" si="26"/>
        <v>W6025</v>
      </c>
      <c r="N190" s="580" t="str">
        <f t="shared" si="29"/>
        <v>W6145</v>
      </c>
      <c r="O190" s="580" t="str">
        <f t="shared" si="29"/>
        <v>W6265</v>
      </c>
      <c r="P190" s="580" t="str">
        <f t="shared" si="29"/>
        <v>W6385</v>
      </c>
      <c r="Q190" s="580" t="str">
        <f t="shared" si="29"/>
        <v>W64A5</v>
      </c>
      <c r="R190" s="580" t="str">
        <f t="shared" si="29"/>
        <v>W65C5</v>
      </c>
      <c r="S190" s="580" t="str">
        <f t="shared" si="29"/>
        <v>W66E5</v>
      </c>
      <c r="T190" s="580" t="str">
        <f t="shared" si="29"/>
        <v>W6805</v>
      </c>
      <c r="U190" s="580" t="str">
        <f t="shared" si="29"/>
        <v>W6925</v>
      </c>
      <c r="V190" s="580" t="str">
        <f t="shared" si="29"/>
        <v>W6A45</v>
      </c>
      <c r="W190" s="580" t="str">
        <f t="shared" si="29"/>
        <v>W6B65</v>
      </c>
      <c r="X190" s="580" t="str">
        <f t="shared" si="29"/>
        <v>W6C85</v>
      </c>
    </row>
    <row r="191" spans="1:24" ht="13.5" customHeight="1" x14ac:dyDescent="0.25">
      <c r="A191" s="592" t="s">
        <v>582</v>
      </c>
      <c r="B191" s="598" t="s">
        <v>1006</v>
      </c>
      <c r="C191" s="519" t="s">
        <v>889</v>
      </c>
      <c r="D191" s="520" t="s">
        <v>1006</v>
      </c>
      <c r="E191" s="594"/>
      <c r="F191" s="594"/>
      <c r="G191" s="296" t="s">
        <v>582</v>
      </c>
      <c r="H191" s="599"/>
      <c r="I191" s="600" t="s">
        <v>1007</v>
      </c>
      <c r="J191" s="470"/>
      <c r="K191" s="578">
        <v>38</v>
      </c>
      <c r="L191" s="579"/>
      <c r="M191" s="580" t="str">
        <f t="shared" si="26"/>
        <v>W6026</v>
      </c>
      <c r="N191" s="580" t="str">
        <f t="shared" si="29"/>
        <v>W6146</v>
      </c>
      <c r="O191" s="580" t="str">
        <f t="shared" si="29"/>
        <v>W6266</v>
      </c>
      <c r="P191" s="580" t="str">
        <f t="shared" si="29"/>
        <v>W6386</v>
      </c>
      <c r="Q191" s="580" t="str">
        <f t="shared" si="29"/>
        <v>W64A6</v>
      </c>
      <c r="R191" s="580" t="str">
        <f t="shared" si="29"/>
        <v>W65C6</v>
      </c>
      <c r="S191" s="580" t="str">
        <f t="shared" si="29"/>
        <v>W66E6</v>
      </c>
      <c r="T191" s="580" t="str">
        <f t="shared" si="29"/>
        <v>W6806</v>
      </c>
      <c r="U191" s="580" t="str">
        <f t="shared" si="29"/>
        <v>W6926</v>
      </c>
      <c r="V191" s="580" t="str">
        <f t="shared" si="29"/>
        <v>W6A46</v>
      </c>
      <c r="W191" s="580" t="str">
        <f t="shared" si="29"/>
        <v>W6B66</v>
      </c>
      <c r="X191" s="580" t="str">
        <f t="shared" si="29"/>
        <v>W6C86</v>
      </c>
    </row>
    <row r="192" spans="1:24" ht="13.5" customHeight="1" x14ac:dyDescent="0.25">
      <c r="A192" s="592" t="s">
        <v>582</v>
      </c>
      <c r="B192" s="598" t="s">
        <v>1008</v>
      </c>
      <c r="C192" s="519" t="s">
        <v>889</v>
      </c>
      <c r="D192" s="520" t="s">
        <v>1008</v>
      </c>
      <c r="E192" s="594"/>
      <c r="F192" s="594"/>
      <c r="G192" s="301" t="s">
        <v>989</v>
      </c>
      <c r="H192" s="599"/>
      <c r="I192" s="600" t="s">
        <v>1009</v>
      </c>
      <c r="J192" s="470"/>
      <c r="K192" s="578">
        <v>39</v>
      </c>
      <c r="L192" s="579"/>
      <c r="M192" s="580" t="str">
        <f t="shared" si="26"/>
        <v>W6027</v>
      </c>
      <c r="N192" s="580" t="str">
        <f t="shared" si="29"/>
        <v>W6147</v>
      </c>
      <c r="O192" s="580" t="str">
        <f t="shared" si="29"/>
        <v>W6267</v>
      </c>
      <c r="P192" s="580" t="str">
        <f t="shared" si="29"/>
        <v>W6387</v>
      </c>
      <c r="Q192" s="580" t="str">
        <f t="shared" si="29"/>
        <v>W64A7</v>
      </c>
      <c r="R192" s="580" t="str">
        <f t="shared" si="29"/>
        <v>W65C7</v>
      </c>
      <c r="S192" s="580" t="str">
        <f t="shared" si="29"/>
        <v>W66E7</v>
      </c>
      <c r="T192" s="580" t="str">
        <f t="shared" si="29"/>
        <v>W6807</v>
      </c>
      <c r="U192" s="580" t="str">
        <f t="shared" si="29"/>
        <v>W6927</v>
      </c>
      <c r="V192" s="580" t="str">
        <f t="shared" si="29"/>
        <v>W6A47</v>
      </c>
      <c r="W192" s="580" t="str">
        <f t="shared" si="29"/>
        <v>W6B67</v>
      </c>
      <c r="X192" s="580" t="str">
        <f t="shared" si="29"/>
        <v>W6C87</v>
      </c>
    </row>
    <row r="193" spans="1:24" ht="13.5" customHeight="1" x14ac:dyDescent="0.25">
      <c r="A193" s="605"/>
      <c r="B193" s="606" t="s">
        <v>888</v>
      </c>
      <c r="C193" s="530" t="s">
        <v>889</v>
      </c>
      <c r="D193" s="607"/>
      <c r="E193" s="594"/>
      <c r="F193" s="594"/>
      <c r="G193" s="301" t="s">
        <v>991</v>
      </c>
      <c r="H193" s="599"/>
      <c r="I193" s="600" t="s">
        <v>1010</v>
      </c>
      <c r="J193" s="470"/>
      <c r="K193" s="578">
        <v>40</v>
      </c>
      <c r="L193" s="579"/>
      <c r="M193" s="580" t="str">
        <f t="shared" si="26"/>
        <v>W6028</v>
      </c>
      <c r="N193" s="580" t="str">
        <f t="shared" si="29"/>
        <v>W6148</v>
      </c>
      <c r="O193" s="580" t="str">
        <f t="shared" si="29"/>
        <v>W6268</v>
      </c>
      <c r="P193" s="580" t="str">
        <f t="shared" si="29"/>
        <v>W6388</v>
      </c>
      <c r="Q193" s="580" t="str">
        <f t="shared" si="29"/>
        <v>W64A8</v>
      </c>
      <c r="R193" s="580" t="str">
        <f t="shared" si="29"/>
        <v>W65C8</v>
      </c>
      <c r="S193" s="580" t="str">
        <f t="shared" si="29"/>
        <v>W66E8</v>
      </c>
      <c r="T193" s="580" t="str">
        <f t="shared" si="29"/>
        <v>W6808</v>
      </c>
      <c r="U193" s="580" t="str">
        <f t="shared" si="29"/>
        <v>W6928</v>
      </c>
      <c r="V193" s="580" t="str">
        <f t="shared" si="29"/>
        <v>W6A48</v>
      </c>
      <c r="W193" s="580" t="str">
        <f t="shared" si="29"/>
        <v>W6B68</v>
      </c>
      <c r="X193" s="580" t="str">
        <f t="shared" si="29"/>
        <v>W6C88</v>
      </c>
    </row>
    <row r="194" spans="1:24" ht="13.5" customHeight="1" x14ac:dyDescent="0.25">
      <c r="A194" s="605"/>
      <c r="B194" s="606" t="s">
        <v>888</v>
      </c>
      <c r="C194" s="530" t="s">
        <v>889</v>
      </c>
      <c r="D194" s="607"/>
      <c r="E194" s="594"/>
      <c r="F194" s="594"/>
      <c r="G194" s="296"/>
      <c r="H194" s="599"/>
      <c r="I194" s="600" t="s">
        <v>1011</v>
      </c>
      <c r="J194" s="470"/>
      <c r="K194" s="578">
        <v>41</v>
      </c>
      <c r="L194" s="579"/>
      <c r="M194" s="580" t="str">
        <f t="shared" si="26"/>
        <v>W6029</v>
      </c>
      <c r="N194" s="580" t="str">
        <f t="shared" si="29"/>
        <v>W6149</v>
      </c>
      <c r="O194" s="580" t="str">
        <f t="shared" si="29"/>
        <v>W6269</v>
      </c>
      <c r="P194" s="580" t="str">
        <f t="shared" si="29"/>
        <v>W6389</v>
      </c>
      <c r="Q194" s="580" t="str">
        <f t="shared" si="29"/>
        <v>W64A9</v>
      </c>
      <c r="R194" s="580" t="str">
        <f t="shared" si="29"/>
        <v>W65C9</v>
      </c>
      <c r="S194" s="580" t="str">
        <f t="shared" si="29"/>
        <v>W66E9</v>
      </c>
      <c r="T194" s="580" t="str">
        <f t="shared" si="29"/>
        <v>W6809</v>
      </c>
      <c r="U194" s="580" t="str">
        <f t="shared" si="29"/>
        <v>W6929</v>
      </c>
      <c r="V194" s="580" t="str">
        <f t="shared" si="29"/>
        <v>W6A49</v>
      </c>
      <c r="W194" s="580" t="str">
        <f t="shared" si="29"/>
        <v>W6B69</v>
      </c>
      <c r="X194" s="580" t="str">
        <f t="shared" si="29"/>
        <v>W6C89</v>
      </c>
    </row>
    <row r="195" spans="1:24" ht="13.5" customHeight="1" x14ac:dyDescent="0.25">
      <c r="A195" s="605"/>
      <c r="B195" s="598" t="s">
        <v>1012</v>
      </c>
      <c r="C195" s="519" t="s">
        <v>889</v>
      </c>
      <c r="D195" s="598" t="s">
        <v>1012</v>
      </c>
      <c r="E195" s="594"/>
      <c r="F195" s="594"/>
      <c r="G195" s="301" t="s">
        <v>592</v>
      </c>
      <c r="H195" s="599"/>
      <c r="I195" s="600" t="s">
        <v>1013</v>
      </c>
      <c r="J195" s="470"/>
      <c r="K195" s="578">
        <v>42</v>
      </c>
      <c r="L195" s="579"/>
      <c r="M195" s="580" t="str">
        <f t="shared" si="26"/>
        <v>W602A</v>
      </c>
      <c r="N195" s="580" t="str">
        <f t="shared" si="29"/>
        <v>W614A</v>
      </c>
      <c r="O195" s="580" t="str">
        <f t="shared" si="29"/>
        <v>W626A</v>
      </c>
      <c r="P195" s="580" t="str">
        <f t="shared" si="29"/>
        <v>W638A</v>
      </c>
      <c r="Q195" s="580" t="str">
        <f t="shared" si="29"/>
        <v>W64AA</v>
      </c>
      <c r="R195" s="580" t="str">
        <f t="shared" si="29"/>
        <v>W65CA</v>
      </c>
      <c r="S195" s="580" t="str">
        <f t="shared" si="29"/>
        <v>W66EA</v>
      </c>
      <c r="T195" s="580" t="str">
        <f t="shared" si="29"/>
        <v>W680A</v>
      </c>
      <c r="U195" s="580" t="str">
        <f t="shared" si="29"/>
        <v>W692A</v>
      </c>
      <c r="V195" s="580" t="str">
        <f t="shared" si="29"/>
        <v>W6A4A</v>
      </c>
      <c r="W195" s="580" t="str">
        <f t="shared" si="29"/>
        <v>W6B6A</v>
      </c>
      <c r="X195" s="580" t="str">
        <f t="shared" si="29"/>
        <v>W6C8A</v>
      </c>
    </row>
    <row r="196" spans="1:24" ht="13.5" customHeight="1" x14ac:dyDescent="0.25">
      <c r="A196" s="605"/>
      <c r="B196" s="598" t="s">
        <v>1014</v>
      </c>
      <c r="C196" s="519" t="s">
        <v>889</v>
      </c>
      <c r="D196" s="598" t="s">
        <v>1014</v>
      </c>
      <c r="E196" s="594"/>
      <c r="F196" s="594"/>
      <c r="G196" s="301" t="s">
        <v>594</v>
      </c>
      <c r="H196" s="599"/>
      <c r="I196" s="600" t="s">
        <v>1015</v>
      </c>
      <c r="J196" s="470"/>
      <c r="K196" s="578">
        <v>43</v>
      </c>
      <c r="L196" s="579"/>
      <c r="M196" s="580" t="str">
        <f t="shared" si="26"/>
        <v>W602B</v>
      </c>
      <c r="N196" s="580" t="str">
        <f t="shared" si="29"/>
        <v>W614B</v>
      </c>
      <c r="O196" s="580" t="str">
        <f t="shared" si="29"/>
        <v>W626B</v>
      </c>
      <c r="P196" s="580" t="str">
        <f t="shared" si="29"/>
        <v>W638B</v>
      </c>
      <c r="Q196" s="580" t="str">
        <f t="shared" si="29"/>
        <v>W64AB</v>
      </c>
      <c r="R196" s="580" t="str">
        <f t="shared" si="29"/>
        <v>W65CB</v>
      </c>
      <c r="S196" s="580" t="str">
        <f t="shared" si="29"/>
        <v>W66EB</v>
      </c>
      <c r="T196" s="580" t="str">
        <f t="shared" si="29"/>
        <v>W680B</v>
      </c>
      <c r="U196" s="580" t="str">
        <f t="shared" si="29"/>
        <v>W692B</v>
      </c>
      <c r="V196" s="580" t="str">
        <f t="shared" si="29"/>
        <v>W6A4B</v>
      </c>
      <c r="W196" s="580" t="str">
        <f t="shared" si="29"/>
        <v>W6B6B</v>
      </c>
      <c r="X196" s="580" t="str">
        <f t="shared" si="29"/>
        <v>W6C8B</v>
      </c>
    </row>
    <row r="197" spans="1:24" ht="13.5" customHeight="1" x14ac:dyDescent="0.25">
      <c r="A197" s="605"/>
      <c r="B197" s="606" t="s">
        <v>888</v>
      </c>
      <c r="C197" s="530" t="s">
        <v>889</v>
      </c>
      <c r="D197" s="531"/>
      <c r="E197" s="609"/>
      <c r="F197" s="609"/>
      <c r="G197" s="604" t="s">
        <v>985</v>
      </c>
      <c r="H197" s="599"/>
      <c r="I197" s="582" t="s">
        <v>1016</v>
      </c>
      <c r="J197" s="470"/>
      <c r="K197" s="578">
        <v>44</v>
      </c>
      <c r="L197" s="579"/>
      <c r="M197" s="580" t="str">
        <f t="shared" si="26"/>
        <v>W602C</v>
      </c>
      <c r="N197" s="580" t="str">
        <f t="shared" si="29"/>
        <v>W614C</v>
      </c>
      <c r="O197" s="580" t="str">
        <f t="shared" si="29"/>
        <v>W626C</v>
      </c>
      <c r="P197" s="580" t="str">
        <f t="shared" si="29"/>
        <v>W638C</v>
      </c>
      <c r="Q197" s="580" t="str">
        <f t="shared" si="29"/>
        <v>W64AC</v>
      </c>
      <c r="R197" s="580" t="str">
        <f t="shared" si="29"/>
        <v>W65CC</v>
      </c>
      <c r="S197" s="580" t="str">
        <f t="shared" si="29"/>
        <v>W66EC</v>
      </c>
      <c r="T197" s="580" t="str">
        <f t="shared" si="29"/>
        <v>W680C</v>
      </c>
      <c r="U197" s="580" t="str">
        <f t="shared" si="29"/>
        <v>W692C</v>
      </c>
      <c r="V197" s="580" t="str">
        <f t="shared" si="29"/>
        <v>W6A4C</v>
      </c>
      <c r="W197" s="580" t="str">
        <f t="shared" si="29"/>
        <v>W6B6C</v>
      </c>
      <c r="X197" s="580" t="str">
        <f t="shared" si="29"/>
        <v>W6C8C</v>
      </c>
    </row>
    <row r="198" spans="1:24" ht="13.5" customHeight="1" x14ac:dyDescent="0.25">
      <c r="A198" s="605"/>
      <c r="B198" s="606" t="s">
        <v>888</v>
      </c>
      <c r="C198" s="530" t="s">
        <v>889</v>
      </c>
      <c r="D198" s="531"/>
      <c r="E198" s="609"/>
      <c r="F198" s="609"/>
      <c r="G198" s="604" t="s">
        <v>985</v>
      </c>
      <c r="H198" s="599"/>
      <c r="I198" s="582" t="s">
        <v>1017</v>
      </c>
      <c r="J198" s="470"/>
      <c r="K198" s="578">
        <v>45</v>
      </c>
      <c r="L198" s="579"/>
      <c r="M198" s="580" t="str">
        <f t="shared" si="26"/>
        <v>W602D</v>
      </c>
      <c r="N198" s="580" t="str">
        <f t="shared" si="29"/>
        <v>W614D</v>
      </c>
      <c r="O198" s="580" t="str">
        <f t="shared" si="29"/>
        <v>W626D</v>
      </c>
      <c r="P198" s="580" t="str">
        <f t="shared" si="29"/>
        <v>W638D</v>
      </c>
      <c r="Q198" s="580" t="str">
        <f t="shared" si="29"/>
        <v>W64AD</v>
      </c>
      <c r="R198" s="580" t="str">
        <f t="shared" si="29"/>
        <v>W65CD</v>
      </c>
      <c r="S198" s="580" t="str">
        <f t="shared" si="29"/>
        <v>W66ED</v>
      </c>
      <c r="T198" s="580" t="str">
        <f t="shared" si="29"/>
        <v>W680D</v>
      </c>
      <c r="U198" s="580" t="str">
        <f t="shared" si="29"/>
        <v>W692D</v>
      </c>
      <c r="V198" s="580" t="str">
        <f t="shared" si="29"/>
        <v>W6A4D</v>
      </c>
      <c r="W198" s="580" t="str">
        <f t="shared" si="29"/>
        <v>W6B6D</v>
      </c>
      <c r="X198" s="580" t="str">
        <f t="shared" si="29"/>
        <v>W6C8D</v>
      </c>
    </row>
    <row r="199" spans="1:24" ht="13.5" customHeight="1" x14ac:dyDescent="0.25">
      <c r="A199" s="605"/>
      <c r="B199" s="606" t="s">
        <v>888</v>
      </c>
      <c r="C199" s="530" t="s">
        <v>889</v>
      </c>
      <c r="D199" s="531"/>
      <c r="E199" s="609"/>
      <c r="F199" s="609"/>
      <c r="G199" s="581"/>
      <c r="H199" s="599"/>
      <c r="I199" s="582" t="s">
        <v>742</v>
      </c>
      <c r="J199" s="470"/>
      <c r="K199" s="578">
        <v>46</v>
      </c>
      <c r="L199" s="579"/>
      <c r="M199" s="580" t="str">
        <f t="shared" si="26"/>
        <v>W602E</v>
      </c>
      <c r="N199" s="580" t="str">
        <f t="shared" si="29"/>
        <v>W614E</v>
      </c>
      <c r="O199" s="580" t="str">
        <f t="shared" si="29"/>
        <v>W626E</v>
      </c>
      <c r="P199" s="580" t="str">
        <f t="shared" si="29"/>
        <v>W638E</v>
      </c>
      <c r="Q199" s="580" t="str">
        <f t="shared" si="29"/>
        <v>W64AE</v>
      </c>
      <c r="R199" s="580" t="str">
        <f t="shared" si="29"/>
        <v>W65CE</v>
      </c>
      <c r="S199" s="580" t="str">
        <f t="shared" si="29"/>
        <v>W66EE</v>
      </c>
      <c r="T199" s="580" t="str">
        <f t="shared" si="29"/>
        <v>W680E</v>
      </c>
      <c r="U199" s="580" t="str">
        <f t="shared" si="29"/>
        <v>W692E</v>
      </c>
      <c r="V199" s="580" t="str">
        <f t="shared" si="29"/>
        <v>W6A4E</v>
      </c>
      <c r="W199" s="580" t="str">
        <f t="shared" si="29"/>
        <v>W6B6E</v>
      </c>
      <c r="X199" s="580" t="str">
        <f t="shared" si="29"/>
        <v>W6C8E</v>
      </c>
    </row>
    <row r="200" spans="1:24" ht="13.5" customHeight="1" thickBot="1" x14ac:dyDescent="0.3">
      <c r="A200" s="605"/>
      <c r="B200" s="606" t="s">
        <v>888</v>
      </c>
      <c r="C200" s="530" t="s">
        <v>889</v>
      </c>
      <c r="D200" s="531"/>
      <c r="E200" s="609"/>
      <c r="F200" s="609"/>
      <c r="G200" s="581"/>
      <c r="H200" s="599"/>
      <c r="I200" s="588" t="s">
        <v>742</v>
      </c>
      <c r="J200" s="490"/>
      <c r="K200" s="611">
        <v>47</v>
      </c>
      <c r="L200" s="590"/>
      <c r="M200" s="591" t="str">
        <f t="shared" si="26"/>
        <v>W602F</v>
      </c>
      <c r="N200" s="591" t="str">
        <f t="shared" si="29"/>
        <v>W614F</v>
      </c>
      <c r="O200" s="591" t="str">
        <f t="shared" si="29"/>
        <v>W626F</v>
      </c>
      <c r="P200" s="591" t="str">
        <f t="shared" si="29"/>
        <v>W638F</v>
      </c>
      <c r="Q200" s="591" t="str">
        <f t="shared" si="29"/>
        <v>W64AF</v>
      </c>
      <c r="R200" s="591" t="str">
        <f t="shared" si="29"/>
        <v>W65CF</v>
      </c>
      <c r="S200" s="591" t="str">
        <f t="shared" si="29"/>
        <v>W66EF</v>
      </c>
      <c r="T200" s="591" t="str">
        <f t="shared" si="29"/>
        <v>W680F</v>
      </c>
      <c r="U200" s="591" t="str">
        <f t="shared" si="29"/>
        <v>W692F</v>
      </c>
      <c r="V200" s="591" t="str">
        <f t="shared" si="29"/>
        <v>W6A4F</v>
      </c>
      <c r="W200" s="591" t="str">
        <f t="shared" si="29"/>
        <v>W6B6F</v>
      </c>
      <c r="X200" s="591" t="str">
        <f t="shared" si="29"/>
        <v>W6C8F</v>
      </c>
    </row>
    <row r="201" spans="1:24" ht="13.5" customHeight="1" thickTop="1" x14ac:dyDescent="0.25">
      <c r="A201" s="605"/>
      <c r="B201" s="606" t="s">
        <v>888</v>
      </c>
      <c r="C201" s="530" t="s">
        <v>889</v>
      </c>
      <c r="D201" s="531"/>
      <c r="E201" s="609"/>
      <c r="F201" s="609"/>
      <c r="G201" s="595" t="s">
        <v>582</v>
      </c>
      <c r="H201" s="599"/>
      <c r="I201" s="597" t="s">
        <v>1018</v>
      </c>
      <c r="J201" s="464"/>
      <c r="K201" s="572">
        <v>48</v>
      </c>
      <c r="L201" s="613">
        <v>4</v>
      </c>
      <c r="M201" s="574" t="str">
        <f t="shared" si="26"/>
        <v>W6030</v>
      </c>
      <c r="N201" s="574" t="str">
        <f t="shared" si="29"/>
        <v>W6150</v>
      </c>
      <c r="O201" s="574" t="str">
        <f t="shared" si="29"/>
        <v>W6270</v>
      </c>
      <c r="P201" s="574" t="str">
        <f t="shared" si="29"/>
        <v>W6390</v>
      </c>
      <c r="Q201" s="574" t="str">
        <f t="shared" si="29"/>
        <v>W64B0</v>
      </c>
      <c r="R201" s="574" t="str">
        <f t="shared" si="29"/>
        <v>W65D0</v>
      </c>
      <c r="S201" s="574" t="str">
        <f t="shared" si="29"/>
        <v>W66F0</v>
      </c>
      <c r="T201" s="574" t="str">
        <f t="shared" si="29"/>
        <v>W6810</v>
      </c>
      <c r="U201" s="574" t="str">
        <f t="shared" si="29"/>
        <v>W6930</v>
      </c>
      <c r="V201" s="574" t="str">
        <f t="shared" si="29"/>
        <v>W6A50</v>
      </c>
      <c r="W201" s="574" t="str">
        <f t="shared" si="29"/>
        <v>W6B70</v>
      </c>
      <c r="X201" s="574" t="str">
        <f t="shared" si="29"/>
        <v>W6C90</v>
      </c>
    </row>
    <row r="202" spans="1:24" ht="13.5" customHeight="1" thickBot="1" x14ac:dyDescent="0.3">
      <c r="A202" s="605"/>
      <c r="B202" s="610" t="s">
        <v>888</v>
      </c>
      <c r="C202" s="534" t="s">
        <v>889</v>
      </c>
      <c r="D202" s="535"/>
      <c r="E202" s="609"/>
      <c r="F202" s="609"/>
      <c r="G202" s="595"/>
      <c r="H202" s="599"/>
      <c r="I202" s="612" t="s">
        <v>1018</v>
      </c>
      <c r="J202" s="470"/>
      <c r="K202" s="578">
        <v>49</v>
      </c>
      <c r="L202" s="614"/>
      <c r="M202" s="580" t="str">
        <f t="shared" si="26"/>
        <v>W6031</v>
      </c>
      <c r="N202" s="580" t="str">
        <f t="shared" si="29"/>
        <v>W6151</v>
      </c>
      <c r="O202" s="580" t="str">
        <f t="shared" si="29"/>
        <v>W6271</v>
      </c>
      <c r="P202" s="580" t="str">
        <f t="shared" si="29"/>
        <v>W6391</v>
      </c>
      <c r="Q202" s="580" t="str">
        <f t="shared" si="29"/>
        <v>W64B1</v>
      </c>
      <c r="R202" s="580" t="str">
        <f t="shared" si="29"/>
        <v>W65D1</v>
      </c>
      <c r="S202" s="580" t="str">
        <f t="shared" si="29"/>
        <v>W66F1</v>
      </c>
      <c r="T202" s="580" t="str">
        <f t="shared" si="29"/>
        <v>W6811</v>
      </c>
      <c r="U202" s="580" t="str">
        <f t="shared" si="29"/>
        <v>W6931</v>
      </c>
      <c r="V202" s="580" t="str">
        <f t="shared" si="29"/>
        <v>W6A51</v>
      </c>
      <c r="W202" s="580" t="str">
        <f t="shared" si="29"/>
        <v>W6B71</v>
      </c>
      <c r="X202" s="580" t="str">
        <f t="shared" si="29"/>
        <v>W6C91</v>
      </c>
    </row>
    <row r="203" spans="1:24" ht="13.5" customHeight="1" thickBot="1" x14ac:dyDescent="0.3">
      <c r="G203" s="595" t="s">
        <v>582</v>
      </c>
      <c r="H203" s="599"/>
      <c r="I203" s="600" t="s">
        <v>1019</v>
      </c>
      <c r="J203" s="470"/>
      <c r="K203" s="578">
        <v>50</v>
      </c>
      <c r="L203" s="614"/>
      <c r="M203" s="580" t="str">
        <f t="shared" si="26"/>
        <v>W6032</v>
      </c>
      <c r="N203" s="580" t="str">
        <f t="shared" ref="N203:X218" si="30">"W"&amp;DEC2HEX(HEX2DEC(SUBSTITUTE(N202,"W",""))+1)</f>
        <v>W6152</v>
      </c>
      <c r="O203" s="580" t="str">
        <f t="shared" si="30"/>
        <v>W6272</v>
      </c>
      <c r="P203" s="580" t="str">
        <f t="shared" si="30"/>
        <v>W6392</v>
      </c>
      <c r="Q203" s="580" t="str">
        <f t="shared" si="30"/>
        <v>W64B2</v>
      </c>
      <c r="R203" s="580" t="str">
        <f t="shared" si="30"/>
        <v>W65D2</v>
      </c>
      <c r="S203" s="580" t="str">
        <f t="shared" si="30"/>
        <v>W66F2</v>
      </c>
      <c r="T203" s="580" t="str">
        <f t="shared" si="30"/>
        <v>W6812</v>
      </c>
      <c r="U203" s="580" t="str">
        <f t="shared" si="30"/>
        <v>W6932</v>
      </c>
      <c r="V203" s="580" t="str">
        <f t="shared" si="30"/>
        <v>W6A52</v>
      </c>
      <c r="W203" s="580" t="str">
        <f t="shared" si="30"/>
        <v>W6B72</v>
      </c>
      <c r="X203" s="580" t="str">
        <f t="shared" si="30"/>
        <v>W6C92</v>
      </c>
    </row>
    <row r="204" spans="1:24" ht="13.5" customHeight="1" thickBot="1" x14ac:dyDescent="0.3">
      <c r="A204" s="563" t="s">
        <v>196</v>
      </c>
      <c r="B204" s="585" t="s">
        <v>878</v>
      </c>
      <c r="C204" s="507"/>
      <c r="D204" s="508" t="s">
        <v>879</v>
      </c>
      <c r="E204" s="586"/>
      <c r="F204" s="586"/>
      <c r="G204" s="595"/>
      <c r="H204" s="599"/>
      <c r="I204" s="600" t="s">
        <v>1019</v>
      </c>
      <c r="J204" s="470"/>
      <c r="K204" s="578">
        <v>51</v>
      </c>
      <c r="L204" s="614"/>
      <c r="M204" s="580" t="str">
        <f t="shared" si="26"/>
        <v>W6033</v>
      </c>
      <c r="N204" s="580" t="str">
        <f t="shared" si="30"/>
        <v>W6153</v>
      </c>
      <c r="O204" s="580" t="str">
        <f t="shared" si="30"/>
        <v>W6273</v>
      </c>
      <c r="P204" s="580" t="str">
        <f t="shared" si="30"/>
        <v>W6393</v>
      </c>
      <c r="Q204" s="580" t="str">
        <f t="shared" si="30"/>
        <v>W64B3</v>
      </c>
      <c r="R204" s="580" t="str">
        <f t="shared" si="30"/>
        <v>W65D3</v>
      </c>
      <c r="S204" s="580" t="str">
        <f t="shared" si="30"/>
        <v>W66F3</v>
      </c>
      <c r="T204" s="580" t="str">
        <f t="shared" si="30"/>
        <v>W6813</v>
      </c>
      <c r="U204" s="580" t="str">
        <f t="shared" si="30"/>
        <v>W6933</v>
      </c>
      <c r="V204" s="580" t="str">
        <f t="shared" si="30"/>
        <v>W6A53</v>
      </c>
      <c r="W204" s="580" t="str">
        <f t="shared" si="30"/>
        <v>W6B73</v>
      </c>
      <c r="X204" s="580" t="str">
        <f t="shared" si="30"/>
        <v>W6C93</v>
      </c>
    </row>
    <row r="205" spans="1:24" ht="13.5" customHeight="1" x14ac:dyDescent="0.25">
      <c r="A205" s="592" t="s">
        <v>582</v>
      </c>
      <c r="B205" s="593" t="s">
        <v>1020</v>
      </c>
      <c r="C205" s="512" t="s">
        <v>889</v>
      </c>
      <c r="D205" s="513" t="s">
        <v>1020</v>
      </c>
      <c r="E205" s="594"/>
      <c r="F205" s="594"/>
      <c r="G205" s="296" t="s">
        <v>582</v>
      </c>
      <c r="H205" s="599"/>
      <c r="I205" s="600" t="s">
        <v>1021</v>
      </c>
      <c r="J205" s="470"/>
      <c r="K205" s="578">
        <v>52</v>
      </c>
      <c r="L205" s="614"/>
      <c r="M205" s="580" t="str">
        <f t="shared" si="26"/>
        <v>W6034</v>
      </c>
      <c r="N205" s="580" t="str">
        <f t="shared" si="30"/>
        <v>W6154</v>
      </c>
      <c r="O205" s="580" t="str">
        <f t="shared" si="30"/>
        <v>W6274</v>
      </c>
      <c r="P205" s="580" t="str">
        <f t="shared" si="30"/>
        <v>W6394</v>
      </c>
      <c r="Q205" s="580" t="str">
        <f t="shared" si="30"/>
        <v>W64B4</v>
      </c>
      <c r="R205" s="580" t="str">
        <f t="shared" si="30"/>
        <v>W65D4</v>
      </c>
      <c r="S205" s="580" t="str">
        <f t="shared" si="30"/>
        <v>W66F4</v>
      </c>
      <c r="T205" s="580" t="str">
        <f t="shared" si="30"/>
        <v>W6814</v>
      </c>
      <c r="U205" s="580" t="str">
        <f t="shared" si="30"/>
        <v>W6934</v>
      </c>
      <c r="V205" s="580" t="str">
        <f t="shared" si="30"/>
        <v>W6A54</v>
      </c>
      <c r="W205" s="580" t="str">
        <f t="shared" si="30"/>
        <v>W6B74</v>
      </c>
      <c r="X205" s="580" t="str">
        <f t="shared" si="30"/>
        <v>W6C94</v>
      </c>
    </row>
    <row r="206" spans="1:24" ht="13.5" customHeight="1" x14ac:dyDescent="0.25">
      <c r="A206" s="592" t="s">
        <v>582</v>
      </c>
      <c r="B206" s="598" t="s">
        <v>1022</v>
      </c>
      <c r="C206" s="519" t="s">
        <v>889</v>
      </c>
      <c r="D206" s="520" t="s">
        <v>1022</v>
      </c>
      <c r="E206" s="594"/>
      <c r="F206" s="594"/>
      <c r="G206" s="604" t="s">
        <v>985</v>
      </c>
      <c r="H206" s="599"/>
      <c r="I206" s="582" t="s">
        <v>1023</v>
      </c>
      <c r="J206" s="470"/>
      <c r="K206" s="578">
        <v>53</v>
      </c>
      <c r="L206" s="614"/>
      <c r="M206" s="580" t="str">
        <f t="shared" si="26"/>
        <v>W6035</v>
      </c>
      <c r="N206" s="580" t="str">
        <f t="shared" si="30"/>
        <v>W6155</v>
      </c>
      <c r="O206" s="580" t="str">
        <f t="shared" si="30"/>
        <v>W6275</v>
      </c>
      <c r="P206" s="580" t="str">
        <f t="shared" si="30"/>
        <v>W6395</v>
      </c>
      <c r="Q206" s="580" t="str">
        <f t="shared" si="30"/>
        <v>W64B5</v>
      </c>
      <c r="R206" s="580" t="str">
        <f t="shared" si="30"/>
        <v>W65D5</v>
      </c>
      <c r="S206" s="580" t="str">
        <f t="shared" si="30"/>
        <v>W66F5</v>
      </c>
      <c r="T206" s="580" t="str">
        <f t="shared" si="30"/>
        <v>W6815</v>
      </c>
      <c r="U206" s="580" t="str">
        <f t="shared" si="30"/>
        <v>W6935</v>
      </c>
      <c r="V206" s="580" t="str">
        <f t="shared" si="30"/>
        <v>W6A55</v>
      </c>
      <c r="W206" s="580" t="str">
        <f t="shared" si="30"/>
        <v>W6B75</v>
      </c>
      <c r="X206" s="580" t="str">
        <f t="shared" si="30"/>
        <v>W6C95</v>
      </c>
    </row>
    <row r="207" spans="1:24" ht="13.5" customHeight="1" x14ac:dyDescent="0.25">
      <c r="A207" s="592" t="s">
        <v>582</v>
      </c>
      <c r="B207" s="601" t="s">
        <v>1024</v>
      </c>
      <c r="C207" s="523" t="s">
        <v>889</v>
      </c>
      <c r="D207" s="524" t="s">
        <v>1024</v>
      </c>
      <c r="E207" s="594"/>
      <c r="F207" s="594"/>
      <c r="G207" s="296" t="s">
        <v>582</v>
      </c>
      <c r="H207" s="599"/>
      <c r="I207" s="600" t="s">
        <v>1025</v>
      </c>
      <c r="J207" s="470"/>
      <c r="K207" s="578">
        <v>54</v>
      </c>
      <c r="L207" s="614"/>
      <c r="M207" s="580" t="str">
        <f t="shared" si="26"/>
        <v>W6036</v>
      </c>
      <c r="N207" s="580" t="str">
        <f t="shared" si="30"/>
        <v>W6156</v>
      </c>
      <c r="O207" s="580" t="str">
        <f t="shared" si="30"/>
        <v>W6276</v>
      </c>
      <c r="P207" s="580" t="str">
        <f t="shared" si="30"/>
        <v>W6396</v>
      </c>
      <c r="Q207" s="580" t="str">
        <f t="shared" si="30"/>
        <v>W64B6</v>
      </c>
      <c r="R207" s="580" t="str">
        <f t="shared" si="30"/>
        <v>W65D6</v>
      </c>
      <c r="S207" s="580" t="str">
        <f t="shared" si="30"/>
        <v>W66F6</v>
      </c>
      <c r="T207" s="580" t="str">
        <f t="shared" si="30"/>
        <v>W6816</v>
      </c>
      <c r="U207" s="580" t="str">
        <f t="shared" si="30"/>
        <v>W6936</v>
      </c>
      <c r="V207" s="580" t="str">
        <f t="shared" si="30"/>
        <v>W6A56</v>
      </c>
      <c r="W207" s="580" t="str">
        <f t="shared" si="30"/>
        <v>W6B76</v>
      </c>
      <c r="X207" s="580" t="str">
        <f t="shared" si="30"/>
        <v>W6C96</v>
      </c>
    </row>
    <row r="208" spans="1:24" ht="13.5" customHeight="1" x14ac:dyDescent="0.25">
      <c r="A208" s="602" t="s">
        <v>980</v>
      </c>
      <c r="B208" s="603" t="s">
        <v>1026</v>
      </c>
      <c r="C208" s="527" t="s">
        <v>889</v>
      </c>
      <c r="D208" s="528" t="s">
        <v>1026</v>
      </c>
      <c r="E208" s="594"/>
      <c r="F208" s="594"/>
      <c r="G208" s="301" t="s">
        <v>989</v>
      </c>
      <c r="H208" s="599"/>
      <c r="I208" s="600" t="s">
        <v>1027</v>
      </c>
      <c r="J208" s="470"/>
      <c r="K208" s="578">
        <v>55</v>
      </c>
      <c r="L208" s="614"/>
      <c r="M208" s="580" t="str">
        <f t="shared" si="26"/>
        <v>W6037</v>
      </c>
      <c r="N208" s="580" t="str">
        <f t="shared" si="30"/>
        <v>W6157</v>
      </c>
      <c r="O208" s="580" t="str">
        <f t="shared" si="30"/>
        <v>W6277</v>
      </c>
      <c r="P208" s="580" t="str">
        <f t="shared" si="30"/>
        <v>W6397</v>
      </c>
      <c r="Q208" s="580" t="str">
        <f t="shared" si="30"/>
        <v>W64B7</v>
      </c>
      <c r="R208" s="580" t="str">
        <f t="shared" si="30"/>
        <v>W65D7</v>
      </c>
      <c r="S208" s="580" t="str">
        <f t="shared" si="30"/>
        <v>W66F7</v>
      </c>
      <c r="T208" s="580" t="str">
        <f t="shared" si="30"/>
        <v>W6817</v>
      </c>
      <c r="U208" s="580" t="str">
        <f t="shared" si="30"/>
        <v>W6937</v>
      </c>
      <c r="V208" s="580" t="str">
        <f t="shared" si="30"/>
        <v>W6A57</v>
      </c>
      <c r="W208" s="580" t="str">
        <f t="shared" si="30"/>
        <v>W6B77</v>
      </c>
      <c r="X208" s="580" t="str">
        <f t="shared" si="30"/>
        <v>W6C97</v>
      </c>
    </row>
    <row r="209" spans="1:24" ht="13.5" customHeight="1" x14ac:dyDescent="0.25">
      <c r="A209" s="592" t="s">
        <v>582</v>
      </c>
      <c r="B209" s="598" t="s">
        <v>1028</v>
      </c>
      <c r="C209" s="519" t="s">
        <v>889</v>
      </c>
      <c r="D209" s="520" t="s">
        <v>1028</v>
      </c>
      <c r="E209" s="594"/>
      <c r="F209" s="594"/>
      <c r="G209" s="301" t="s">
        <v>991</v>
      </c>
      <c r="H209" s="599"/>
      <c r="I209" s="600" t="s">
        <v>1029</v>
      </c>
      <c r="J209" s="470"/>
      <c r="K209" s="578">
        <v>56</v>
      </c>
      <c r="L209" s="614"/>
      <c r="M209" s="580" t="str">
        <f t="shared" si="26"/>
        <v>W6038</v>
      </c>
      <c r="N209" s="580" t="str">
        <f t="shared" si="30"/>
        <v>W6158</v>
      </c>
      <c r="O209" s="580" t="str">
        <f t="shared" si="30"/>
        <v>W6278</v>
      </c>
      <c r="P209" s="580" t="str">
        <f t="shared" si="30"/>
        <v>W6398</v>
      </c>
      <c r="Q209" s="580" t="str">
        <f t="shared" si="30"/>
        <v>W64B8</v>
      </c>
      <c r="R209" s="580" t="str">
        <f t="shared" si="30"/>
        <v>W65D8</v>
      </c>
      <c r="S209" s="580" t="str">
        <f t="shared" si="30"/>
        <v>W66F8</v>
      </c>
      <c r="T209" s="580" t="str">
        <f t="shared" si="30"/>
        <v>W6818</v>
      </c>
      <c r="U209" s="580" t="str">
        <f t="shared" si="30"/>
        <v>W6938</v>
      </c>
      <c r="V209" s="580" t="str">
        <f t="shared" si="30"/>
        <v>W6A58</v>
      </c>
      <c r="W209" s="580" t="str">
        <f t="shared" si="30"/>
        <v>W6B78</v>
      </c>
      <c r="X209" s="580" t="str">
        <f t="shared" si="30"/>
        <v>W6C98</v>
      </c>
    </row>
    <row r="210" spans="1:24" ht="13.5" customHeight="1" x14ac:dyDescent="0.25">
      <c r="A210" s="592" t="s">
        <v>582</v>
      </c>
      <c r="B210" s="598" t="s">
        <v>1030</v>
      </c>
      <c r="C210" s="519" t="s">
        <v>889</v>
      </c>
      <c r="D210" s="520" t="s">
        <v>1030</v>
      </c>
      <c r="E210" s="594"/>
      <c r="F210" s="594"/>
      <c r="G210" s="296"/>
      <c r="H210" s="599"/>
      <c r="I210" s="600" t="s">
        <v>1031</v>
      </c>
      <c r="J210" s="470"/>
      <c r="K210" s="578">
        <v>57</v>
      </c>
      <c r="L210" s="614"/>
      <c r="M210" s="580" t="str">
        <f t="shared" si="26"/>
        <v>W6039</v>
      </c>
      <c r="N210" s="580" t="str">
        <f t="shared" si="30"/>
        <v>W6159</v>
      </c>
      <c r="O210" s="580" t="str">
        <f t="shared" si="30"/>
        <v>W6279</v>
      </c>
      <c r="P210" s="580" t="str">
        <f t="shared" si="30"/>
        <v>W6399</v>
      </c>
      <c r="Q210" s="580" t="str">
        <f t="shared" si="30"/>
        <v>W64B9</v>
      </c>
      <c r="R210" s="580" t="str">
        <f t="shared" si="30"/>
        <v>W65D9</v>
      </c>
      <c r="S210" s="580" t="str">
        <f t="shared" si="30"/>
        <v>W66F9</v>
      </c>
      <c r="T210" s="580" t="str">
        <f t="shared" si="30"/>
        <v>W6819</v>
      </c>
      <c r="U210" s="580" t="str">
        <f t="shared" si="30"/>
        <v>W6939</v>
      </c>
      <c r="V210" s="580" t="str">
        <f t="shared" si="30"/>
        <v>W6A59</v>
      </c>
      <c r="W210" s="580" t="str">
        <f t="shared" si="30"/>
        <v>W6B79</v>
      </c>
      <c r="X210" s="580" t="str">
        <f t="shared" si="30"/>
        <v>W6C99</v>
      </c>
    </row>
    <row r="211" spans="1:24" ht="13.5" customHeight="1" x14ac:dyDescent="0.25">
      <c r="A211" s="602" t="s">
        <v>980</v>
      </c>
      <c r="B211" s="598" t="s">
        <v>1032</v>
      </c>
      <c r="C211" s="519" t="s">
        <v>889</v>
      </c>
      <c r="D211" s="520" t="s">
        <v>1032</v>
      </c>
      <c r="E211" s="594"/>
      <c r="F211" s="594"/>
      <c r="G211" s="301" t="s">
        <v>592</v>
      </c>
      <c r="H211" s="599"/>
      <c r="I211" s="600" t="s">
        <v>1033</v>
      </c>
      <c r="J211" s="470"/>
      <c r="K211" s="578">
        <v>58</v>
      </c>
      <c r="L211" s="614"/>
      <c r="M211" s="580" t="str">
        <f t="shared" si="26"/>
        <v>W603A</v>
      </c>
      <c r="N211" s="580" t="str">
        <f t="shared" si="30"/>
        <v>W615A</v>
      </c>
      <c r="O211" s="580" t="str">
        <f t="shared" si="30"/>
        <v>W627A</v>
      </c>
      <c r="P211" s="580" t="str">
        <f t="shared" si="30"/>
        <v>W639A</v>
      </c>
      <c r="Q211" s="580" t="str">
        <f t="shared" si="30"/>
        <v>W64BA</v>
      </c>
      <c r="R211" s="580" t="str">
        <f t="shared" si="30"/>
        <v>W65DA</v>
      </c>
      <c r="S211" s="580" t="str">
        <f t="shared" si="30"/>
        <v>W66FA</v>
      </c>
      <c r="T211" s="580" t="str">
        <f t="shared" si="30"/>
        <v>W681A</v>
      </c>
      <c r="U211" s="580" t="str">
        <f t="shared" si="30"/>
        <v>W693A</v>
      </c>
      <c r="V211" s="580" t="str">
        <f t="shared" si="30"/>
        <v>W6A5A</v>
      </c>
      <c r="W211" s="580" t="str">
        <f t="shared" si="30"/>
        <v>W6B7A</v>
      </c>
      <c r="X211" s="580" t="str">
        <f t="shared" si="30"/>
        <v>W6C9A</v>
      </c>
    </row>
    <row r="212" spans="1:24" ht="13.5" customHeight="1" x14ac:dyDescent="0.25">
      <c r="A212" s="602" t="s">
        <v>980</v>
      </c>
      <c r="B212" s="598" t="s">
        <v>1034</v>
      </c>
      <c r="C212" s="519" t="s">
        <v>889</v>
      </c>
      <c r="D212" s="520" t="s">
        <v>1034</v>
      </c>
      <c r="E212" s="594"/>
      <c r="F212" s="594"/>
      <c r="G212" s="301" t="s">
        <v>594</v>
      </c>
      <c r="H212" s="599"/>
      <c r="I212" s="600" t="s">
        <v>1035</v>
      </c>
      <c r="J212" s="470"/>
      <c r="K212" s="578">
        <v>59</v>
      </c>
      <c r="L212" s="614"/>
      <c r="M212" s="580" t="str">
        <f t="shared" si="26"/>
        <v>W603B</v>
      </c>
      <c r="N212" s="580" t="str">
        <f t="shared" si="30"/>
        <v>W615B</v>
      </c>
      <c r="O212" s="580" t="str">
        <f t="shared" si="30"/>
        <v>W627B</v>
      </c>
      <c r="P212" s="580" t="str">
        <f t="shared" si="30"/>
        <v>W639B</v>
      </c>
      <c r="Q212" s="580" t="str">
        <f t="shared" si="30"/>
        <v>W64BB</v>
      </c>
      <c r="R212" s="580" t="str">
        <f t="shared" si="30"/>
        <v>W65DB</v>
      </c>
      <c r="S212" s="580" t="str">
        <f t="shared" si="30"/>
        <v>W66FB</v>
      </c>
      <c r="T212" s="580" t="str">
        <f t="shared" si="30"/>
        <v>W681B</v>
      </c>
      <c r="U212" s="580" t="str">
        <f t="shared" si="30"/>
        <v>W693B</v>
      </c>
      <c r="V212" s="580" t="str">
        <f t="shared" si="30"/>
        <v>W6A5B</v>
      </c>
      <c r="W212" s="580" t="str">
        <f t="shared" si="30"/>
        <v>W6B7B</v>
      </c>
      <c r="X212" s="580" t="str">
        <f t="shared" si="30"/>
        <v>W6C9B</v>
      </c>
    </row>
    <row r="213" spans="1:24" ht="13.5" customHeight="1" x14ac:dyDescent="0.25">
      <c r="A213" s="605"/>
      <c r="B213" s="606" t="s">
        <v>1036</v>
      </c>
      <c r="C213" s="530" t="s">
        <v>889</v>
      </c>
      <c r="D213" s="607" t="s">
        <v>1036</v>
      </c>
      <c r="E213" s="594"/>
      <c r="F213" s="594"/>
      <c r="G213" s="604" t="s">
        <v>985</v>
      </c>
      <c r="H213" s="599"/>
      <c r="I213" s="582" t="s">
        <v>1037</v>
      </c>
      <c r="J213" s="470"/>
      <c r="K213" s="578">
        <v>60</v>
      </c>
      <c r="L213" s="614"/>
      <c r="M213" s="580" t="str">
        <f t="shared" si="26"/>
        <v>W603C</v>
      </c>
      <c r="N213" s="580" t="str">
        <f t="shared" si="30"/>
        <v>W615C</v>
      </c>
      <c r="O213" s="580" t="str">
        <f t="shared" si="30"/>
        <v>W627C</v>
      </c>
      <c r="P213" s="580" t="str">
        <f t="shared" si="30"/>
        <v>W639C</v>
      </c>
      <c r="Q213" s="580" t="str">
        <f t="shared" si="30"/>
        <v>W64BC</v>
      </c>
      <c r="R213" s="580" t="str">
        <f t="shared" si="30"/>
        <v>W65DC</v>
      </c>
      <c r="S213" s="580" t="str">
        <f t="shared" si="30"/>
        <v>W66FC</v>
      </c>
      <c r="T213" s="580" t="str">
        <f t="shared" si="30"/>
        <v>W681C</v>
      </c>
      <c r="U213" s="580" t="str">
        <f t="shared" si="30"/>
        <v>W693C</v>
      </c>
      <c r="V213" s="580" t="str">
        <f t="shared" si="30"/>
        <v>W6A5C</v>
      </c>
      <c r="W213" s="580" t="str">
        <f t="shared" si="30"/>
        <v>W6B7C</v>
      </c>
      <c r="X213" s="580" t="str">
        <f t="shared" si="30"/>
        <v>W6C9C</v>
      </c>
    </row>
    <row r="214" spans="1:24" ht="13.5" customHeight="1" x14ac:dyDescent="0.25">
      <c r="A214" s="605"/>
      <c r="B214" s="606" t="s">
        <v>1038</v>
      </c>
      <c r="C214" s="530" t="s">
        <v>889</v>
      </c>
      <c r="D214" s="607" t="s">
        <v>1038</v>
      </c>
      <c r="E214" s="594"/>
      <c r="F214" s="594"/>
      <c r="G214" s="604" t="s">
        <v>985</v>
      </c>
      <c r="H214" s="599"/>
      <c r="I214" s="582" t="s">
        <v>1039</v>
      </c>
      <c r="J214" s="470"/>
      <c r="K214" s="578">
        <v>61</v>
      </c>
      <c r="L214" s="614"/>
      <c r="M214" s="580" t="str">
        <f t="shared" si="26"/>
        <v>W603D</v>
      </c>
      <c r="N214" s="580" t="str">
        <f t="shared" si="30"/>
        <v>W615D</v>
      </c>
      <c r="O214" s="580" t="str">
        <f t="shared" si="30"/>
        <v>W627D</v>
      </c>
      <c r="P214" s="580" t="str">
        <f t="shared" si="30"/>
        <v>W639D</v>
      </c>
      <c r="Q214" s="580" t="str">
        <f t="shared" si="30"/>
        <v>W64BD</v>
      </c>
      <c r="R214" s="580" t="str">
        <f t="shared" si="30"/>
        <v>W65DD</v>
      </c>
      <c r="S214" s="580" t="str">
        <f t="shared" si="30"/>
        <v>W66FD</v>
      </c>
      <c r="T214" s="580" t="str">
        <f t="shared" si="30"/>
        <v>W681D</v>
      </c>
      <c r="U214" s="580" t="str">
        <f t="shared" si="30"/>
        <v>W693D</v>
      </c>
      <c r="V214" s="580" t="str">
        <f t="shared" si="30"/>
        <v>W6A5D</v>
      </c>
      <c r="W214" s="580" t="str">
        <f t="shared" si="30"/>
        <v>W6B7D</v>
      </c>
      <c r="X214" s="580" t="str">
        <f t="shared" si="30"/>
        <v>W6C9D</v>
      </c>
    </row>
    <row r="215" spans="1:24" ht="13.5" customHeight="1" x14ac:dyDescent="0.25">
      <c r="A215" s="605"/>
      <c r="B215" s="606" t="s">
        <v>888</v>
      </c>
      <c r="C215" s="530" t="s">
        <v>889</v>
      </c>
      <c r="D215" s="531"/>
      <c r="E215" s="609"/>
      <c r="F215" s="609"/>
      <c r="G215" s="581"/>
      <c r="H215" s="599"/>
      <c r="I215" s="582" t="s">
        <v>742</v>
      </c>
      <c r="J215" s="470"/>
      <c r="K215" s="578">
        <v>62</v>
      </c>
      <c r="L215" s="614"/>
      <c r="M215" s="580" t="str">
        <f t="shared" si="26"/>
        <v>W603E</v>
      </c>
      <c r="N215" s="580" t="str">
        <f t="shared" si="30"/>
        <v>W615E</v>
      </c>
      <c r="O215" s="580" t="str">
        <f t="shared" si="30"/>
        <v>W627E</v>
      </c>
      <c r="P215" s="580" t="str">
        <f t="shared" si="30"/>
        <v>W639E</v>
      </c>
      <c r="Q215" s="580" t="str">
        <f t="shared" si="30"/>
        <v>W64BE</v>
      </c>
      <c r="R215" s="580" t="str">
        <f t="shared" si="30"/>
        <v>W65DE</v>
      </c>
      <c r="S215" s="580" t="str">
        <f t="shared" si="30"/>
        <v>W66FE</v>
      </c>
      <c r="T215" s="580" t="str">
        <f t="shared" si="30"/>
        <v>W681E</v>
      </c>
      <c r="U215" s="580" t="str">
        <f t="shared" si="30"/>
        <v>W693E</v>
      </c>
      <c r="V215" s="580" t="str">
        <f t="shared" si="30"/>
        <v>W6A5E</v>
      </c>
      <c r="W215" s="580" t="str">
        <f t="shared" si="30"/>
        <v>W6B7E</v>
      </c>
      <c r="X215" s="580" t="str">
        <f t="shared" si="30"/>
        <v>W6C9E</v>
      </c>
    </row>
    <row r="216" spans="1:24" ht="13.5" customHeight="1" thickBot="1" x14ac:dyDescent="0.3">
      <c r="A216" s="605"/>
      <c r="B216" s="606" t="s">
        <v>888</v>
      </c>
      <c r="C216" s="530" t="s">
        <v>889</v>
      </c>
      <c r="D216" s="531"/>
      <c r="E216" s="609"/>
      <c r="F216" s="609"/>
      <c r="G216" s="296"/>
      <c r="H216" s="615"/>
      <c r="I216" s="616" t="s">
        <v>1040</v>
      </c>
      <c r="J216" s="490"/>
      <c r="K216" s="611">
        <v>63</v>
      </c>
      <c r="L216" s="617"/>
      <c r="M216" s="591" t="str">
        <f t="shared" si="26"/>
        <v>W603F</v>
      </c>
      <c r="N216" s="591" t="str">
        <f t="shared" si="30"/>
        <v>W615F</v>
      </c>
      <c r="O216" s="591" t="str">
        <f t="shared" si="30"/>
        <v>W627F</v>
      </c>
      <c r="P216" s="591" t="str">
        <f t="shared" si="30"/>
        <v>W639F</v>
      </c>
      <c r="Q216" s="591" t="str">
        <f t="shared" si="30"/>
        <v>W64BF</v>
      </c>
      <c r="R216" s="591" t="str">
        <f t="shared" si="30"/>
        <v>W65DF</v>
      </c>
      <c r="S216" s="591" t="str">
        <f t="shared" si="30"/>
        <v>W66FF</v>
      </c>
      <c r="T216" s="591" t="str">
        <f t="shared" si="30"/>
        <v>W681F</v>
      </c>
      <c r="U216" s="591" t="str">
        <f t="shared" si="30"/>
        <v>W693F</v>
      </c>
      <c r="V216" s="591" t="str">
        <f t="shared" si="30"/>
        <v>W6A5F</v>
      </c>
      <c r="W216" s="591" t="str">
        <f t="shared" si="30"/>
        <v>W6B7F</v>
      </c>
      <c r="X216" s="591" t="str">
        <f t="shared" si="30"/>
        <v>W6C9F</v>
      </c>
    </row>
    <row r="217" spans="1:24" ht="13.5" customHeight="1" thickTop="1" x14ac:dyDescent="0.25">
      <c r="A217" s="605"/>
      <c r="B217" s="606" t="s">
        <v>888</v>
      </c>
      <c r="C217" s="530" t="s">
        <v>889</v>
      </c>
      <c r="D217" s="531"/>
      <c r="E217" s="609"/>
      <c r="F217" s="609"/>
      <c r="G217" s="618" t="s">
        <v>1041</v>
      </c>
      <c r="H217" s="619" t="s">
        <v>1042</v>
      </c>
      <c r="I217" s="620" t="s">
        <v>1043</v>
      </c>
      <c r="J217" s="464"/>
      <c r="K217" s="572">
        <v>64</v>
      </c>
      <c r="L217" s="613">
        <v>5</v>
      </c>
      <c r="M217" s="574" t="str">
        <f t="shared" si="26"/>
        <v>W6040</v>
      </c>
      <c r="N217" s="574" t="str">
        <f t="shared" si="30"/>
        <v>W6160</v>
      </c>
      <c r="O217" s="574" t="str">
        <f t="shared" si="30"/>
        <v>W6280</v>
      </c>
      <c r="P217" s="574" t="str">
        <f t="shared" si="30"/>
        <v>W63A0</v>
      </c>
      <c r="Q217" s="574" t="str">
        <f t="shared" si="30"/>
        <v>W64C0</v>
      </c>
      <c r="R217" s="574" t="str">
        <f t="shared" si="30"/>
        <v>W65E0</v>
      </c>
      <c r="S217" s="574" t="str">
        <f t="shared" si="30"/>
        <v>W6700</v>
      </c>
      <c r="T217" s="574" t="str">
        <f t="shared" si="30"/>
        <v>W6820</v>
      </c>
      <c r="U217" s="574" t="str">
        <f t="shared" si="30"/>
        <v>W6940</v>
      </c>
      <c r="V217" s="574" t="str">
        <f t="shared" si="30"/>
        <v>W6A60</v>
      </c>
      <c r="W217" s="574" t="str">
        <f t="shared" si="30"/>
        <v>W6B80</v>
      </c>
      <c r="X217" s="574" t="str">
        <f t="shared" si="30"/>
        <v>W6CA0</v>
      </c>
    </row>
    <row r="218" spans="1:24" ht="13.5" customHeight="1" x14ac:dyDescent="0.25">
      <c r="A218" s="605"/>
      <c r="B218" s="606" t="s">
        <v>888</v>
      </c>
      <c r="C218" s="530" t="s">
        <v>889</v>
      </c>
      <c r="D218" s="531"/>
      <c r="E218" s="609"/>
      <c r="F218" s="609"/>
      <c r="G218" s="595"/>
      <c r="H218" s="621"/>
      <c r="I218" s="622" t="s">
        <v>1044</v>
      </c>
      <c r="J218" s="470"/>
      <c r="K218" s="578">
        <v>65</v>
      </c>
      <c r="L218" s="614"/>
      <c r="M218" s="580" t="str">
        <f t="shared" si="26"/>
        <v>W6041</v>
      </c>
      <c r="N218" s="580" t="str">
        <f t="shared" si="30"/>
        <v>W6161</v>
      </c>
      <c r="O218" s="580" t="str">
        <f t="shared" si="30"/>
        <v>W6281</v>
      </c>
      <c r="P218" s="580" t="str">
        <f t="shared" si="30"/>
        <v>W63A1</v>
      </c>
      <c r="Q218" s="580" t="str">
        <f t="shared" si="30"/>
        <v>W64C1</v>
      </c>
      <c r="R218" s="580" t="str">
        <f t="shared" si="30"/>
        <v>W65E1</v>
      </c>
      <c r="S218" s="580" t="str">
        <f t="shared" si="30"/>
        <v>W6701</v>
      </c>
      <c r="T218" s="580" t="str">
        <f t="shared" si="30"/>
        <v>W6821</v>
      </c>
      <c r="U218" s="580" t="str">
        <f t="shared" si="30"/>
        <v>W6941</v>
      </c>
      <c r="V218" s="580" t="str">
        <f t="shared" si="30"/>
        <v>W6A61</v>
      </c>
      <c r="W218" s="580" t="str">
        <f t="shared" si="30"/>
        <v>W6B81</v>
      </c>
      <c r="X218" s="580" t="str">
        <f t="shared" si="30"/>
        <v>W6CA1</v>
      </c>
    </row>
    <row r="219" spans="1:24" ht="13.5" customHeight="1" x14ac:dyDescent="0.25">
      <c r="A219" s="605"/>
      <c r="B219" s="606" t="s">
        <v>888</v>
      </c>
      <c r="C219" s="530" t="s">
        <v>889</v>
      </c>
      <c r="D219" s="531"/>
      <c r="E219" s="609"/>
      <c r="F219" s="609"/>
      <c r="G219" s="595"/>
      <c r="H219" s="621"/>
      <c r="I219" s="622" t="s">
        <v>1045</v>
      </c>
      <c r="J219" s="470"/>
      <c r="K219" s="578">
        <v>66</v>
      </c>
      <c r="L219" s="614"/>
      <c r="M219" s="580" t="str">
        <f t="shared" ref="M219:M282" si="31">"W"&amp;DEC2HEX((HEX2DEC(SUBSTITUTE(M218,"W",""))+1))</f>
        <v>W6042</v>
      </c>
      <c r="N219" s="580" t="str">
        <f t="shared" ref="N219:X234" si="32">"W"&amp;DEC2HEX(HEX2DEC(SUBSTITUTE(N218,"W",""))+1)</f>
        <v>W6162</v>
      </c>
      <c r="O219" s="580" t="str">
        <f t="shared" si="32"/>
        <v>W6282</v>
      </c>
      <c r="P219" s="580" t="str">
        <f t="shared" si="32"/>
        <v>W63A2</v>
      </c>
      <c r="Q219" s="580" t="str">
        <f t="shared" si="32"/>
        <v>W64C2</v>
      </c>
      <c r="R219" s="580" t="str">
        <f t="shared" si="32"/>
        <v>W65E2</v>
      </c>
      <c r="S219" s="580" t="str">
        <f t="shared" si="32"/>
        <v>W6702</v>
      </c>
      <c r="T219" s="580" t="str">
        <f t="shared" si="32"/>
        <v>W6822</v>
      </c>
      <c r="U219" s="580" t="str">
        <f t="shared" si="32"/>
        <v>W6942</v>
      </c>
      <c r="V219" s="580" t="str">
        <f t="shared" si="32"/>
        <v>W6A62</v>
      </c>
      <c r="W219" s="580" t="str">
        <f t="shared" si="32"/>
        <v>W6B82</v>
      </c>
      <c r="X219" s="580" t="str">
        <f t="shared" si="32"/>
        <v>W6CA2</v>
      </c>
    </row>
    <row r="220" spans="1:24" ht="13.5" customHeight="1" thickBot="1" x14ac:dyDescent="0.3">
      <c r="A220" s="605"/>
      <c r="B220" s="610" t="s">
        <v>888</v>
      </c>
      <c r="C220" s="534" t="s">
        <v>889</v>
      </c>
      <c r="D220" s="535"/>
      <c r="E220" s="609"/>
      <c r="F220" s="609"/>
      <c r="G220" s="595"/>
      <c r="H220" s="621"/>
      <c r="I220" s="622" t="s">
        <v>1046</v>
      </c>
      <c r="J220" s="470"/>
      <c r="K220" s="578">
        <v>67</v>
      </c>
      <c r="L220" s="614"/>
      <c r="M220" s="580" t="str">
        <f t="shared" si="31"/>
        <v>W6043</v>
      </c>
      <c r="N220" s="580" t="str">
        <f t="shared" si="32"/>
        <v>W6163</v>
      </c>
      <c r="O220" s="580" t="str">
        <f t="shared" si="32"/>
        <v>W6283</v>
      </c>
      <c r="P220" s="580" t="str">
        <f t="shared" si="32"/>
        <v>W63A3</v>
      </c>
      <c r="Q220" s="580" t="str">
        <f t="shared" si="32"/>
        <v>W64C3</v>
      </c>
      <c r="R220" s="580" t="str">
        <f t="shared" si="32"/>
        <v>W65E3</v>
      </c>
      <c r="S220" s="580" t="str">
        <f t="shared" si="32"/>
        <v>W6703</v>
      </c>
      <c r="T220" s="580" t="str">
        <f t="shared" si="32"/>
        <v>W6823</v>
      </c>
      <c r="U220" s="580" t="str">
        <f t="shared" si="32"/>
        <v>W6943</v>
      </c>
      <c r="V220" s="580" t="str">
        <f t="shared" si="32"/>
        <v>W6A63</v>
      </c>
      <c r="W220" s="580" t="str">
        <f t="shared" si="32"/>
        <v>W6B83</v>
      </c>
      <c r="X220" s="580" t="str">
        <f t="shared" si="32"/>
        <v>W6CA3</v>
      </c>
    </row>
    <row r="221" spans="1:24" ht="13.5" customHeight="1" thickBot="1" x14ac:dyDescent="0.3">
      <c r="G221" s="595"/>
      <c r="H221" s="621"/>
      <c r="I221" s="622" t="s">
        <v>1047</v>
      </c>
      <c r="J221" s="470"/>
      <c r="K221" s="578">
        <v>68</v>
      </c>
      <c r="L221" s="614"/>
      <c r="M221" s="580" t="str">
        <f t="shared" si="31"/>
        <v>W6044</v>
      </c>
      <c r="N221" s="580" t="str">
        <f t="shared" si="32"/>
        <v>W6164</v>
      </c>
      <c r="O221" s="580" t="str">
        <f t="shared" si="32"/>
        <v>W6284</v>
      </c>
      <c r="P221" s="580" t="str">
        <f t="shared" si="32"/>
        <v>W63A4</v>
      </c>
      <c r="Q221" s="580" t="str">
        <f t="shared" si="32"/>
        <v>W64C4</v>
      </c>
      <c r="R221" s="580" t="str">
        <f t="shared" si="32"/>
        <v>W65E4</v>
      </c>
      <c r="S221" s="580" t="str">
        <f t="shared" si="32"/>
        <v>W6704</v>
      </c>
      <c r="T221" s="580" t="str">
        <f t="shared" si="32"/>
        <v>W6824</v>
      </c>
      <c r="U221" s="580" t="str">
        <f t="shared" si="32"/>
        <v>W6944</v>
      </c>
      <c r="V221" s="580" t="str">
        <f t="shared" si="32"/>
        <v>W6A64</v>
      </c>
      <c r="W221" s="580" t="str">
        <f t="shared" si="32"/>
        <v>W6B84</v>
      </c>
      <c r="X221" s="580" t="str">
        <f t="shared" si="32"/>
        <v>W6CA4</v>
      </c>
    </row>
    <row r="222" spans="1:24" ht="13.5" customHeight="1" thickBot="1" x14ac:dyDescent="0.3">
      <c r="A222" s="563" t="s">
        <v>196</v>
      </c>
      <c r="B222" s="585" t="s">
        <v>878</v>
      </c>
      <c r="C222" s="507"/>
      <c r="D222" s="508" t="s">
        <v>879</v>
      </c>
      <c r="E222" s="586"/>
      <c r="F222" s="586"/>
      <c r="G222" s="595"/>
      <c r="H222" s="621"/>
      <c r="I222" s="622" t="s">
        <v>1048</v>
      </c>
      <c r="J222" s="470"/>
      <c r="K222" s="578">
        <v>69</v>
      </c>
      <c r="L222" s="614"/>
      <c r="M222" s="580" t="str">
        <f t="shared" si="31"/>
        <v>W6045</v>
      </c>
      <c r="N222" s="580" t="str">
        <f t="shared" si="32"/>
        <v>W6165</v>
      </c>
      <c r="O222" s="580" t="str">
        <f t="shared" si="32"/>
        <v>W6285</v>
      </c>
      <c r="P222" s="580" t="str">
        <f t="shared" si="32"/>
        <v>W63A5</v>
      </c>
      <c r="Q222" s="580" t="str">
        <f t="shared" si="32"/>
        <v>W64C5</v>
      </c>
      <c r="R222" s="580" t="str">
        <f t="shared" si="32"/>
        <v>W65E5</v>
      </c>
      <c r="S222" s="580" t="str">
        <f t="shared" si="32"/>
        <v>W6705</v>
      </c>
      <c r="T222" s="580" t="str">
        <f t="shared" si="32"/>
        <v>W6825</v>
      </c>
      <c r="U222" s="580" t="str">
        <f t="shared" si="32"/>
        <v>W6945</v>
      </c>
      <c r="V222" s="580" t="str">
        <f t="shared" si="32"/>
        <v>W6A65</v>
      </c>
      <c r="W222" s="580" t="str">
        <f t="shared" si="32"/>
        <v>W6B85</v>
      </c>
      <c r="X222" s="580" t="str">
        <f t="shared" si="32"/>
        <v>W6CA5</v>
      </c>
    </row>
    <row r="223" spans="1:24" ht="13.5" customHeight="1" x14ac:dyDescent="0.25">
      <c r="A223" s="592" t="s">
        <v>1049</v>
      </c>
      <c r="B223" s="623" t="s">
        <v>1050</v>
      </c>
      <c r="C223" s="624" t="s">
        <v>889</v>
      </c>
      <c r="D223" s="625" t="s">
        <v>1051</v>
      </c>
      <c r="E223" s="609"/>
      <c r="F223" s="609"/>
      <c r="G223" s="595"/>
      <c r="H223" s="621"/>
      <c r="I223" s="622" t="s">
        <v>1052</v>
      </c>
      <c r="J223" s="470"/>
      <c r="K223" s="578">
        <v>70</v>
      </c>
      <c r="L223" s="614"/>
      <c r="M223" s="580" t="str">
        <f t="shared" si="31"/>
        <v>W6046</v>
      </c>
      <c r="N223" s="580" t="str">
        <f t="shared" si="32"/>
        <v>W6166</v>
      </c>
      <c r="O223" s="580" t="str">
        <f t="shared" si="32"/>
        <v>W6286</v>
      </c>
      <c r="P223" s="580" t="str">
        <f t="shared" si="32"/>
        <v>W63A6</v>
      </c>
      <c r="Q223" s="580" t="str">
        <f t="shared" si="32"/>
        <v>W64C6</v>
      </c>
      <c r="R223" s="580" t="str">
        <f t="shared" si="32"/>
        <v>W65E6</v>
      </c>
      <c r="S223" s="580" t="str">
        <f t="shared" si="32"/>
        <v>W6706</v>
      </c>
      <c r="T223" s="580" t="str">
        <f t="shared" si="32"/>
        <v>W6826</v>
      </c>
      <c r="U223" s="580" t="str">
        <f t="shared" si="32"/>
        <v>W6946</v>
      </c>
      <c r="V223" s="580" t="str">
        <f t="shared" si="32"/>
        <v>W6A66</v>
      </c>
      <c r="W223" s="580" t="str">
        <f t="shared" si="32"/>
        <v>W6B86</v>
      </c>
      <c r="X223" s="580" t="str">
        <f t="shared" si="32"/>
        <v>W6CA6</v>
      </c>
    </row>
    <row r="224" spans="1:24" ht="13.5" customHeight="1" x14ac:dyDescent="0.25">
      <c r="A224" s="592" t="s">
        <v>1049</v>
      </c>
      <c r="B224" s="626" t="s">
        <v>1053</v>
      </c>
      <c r="C224" s="627" t="s">
        <v>889</v>
      </c>
      <c r="D224" s="628" t="s">
        <v>1054</v>
      </c>
      <c r="E224" s="609"/>
      <c r="F224" s="609"/>
      <c r="G224" s="595"/>
      <c r="H224" s="621"/>
      <c r="I224" s="622" t="s">
        <v>1055</v>
      </c>
      <c r="J224" s="470"/>
      <c r="K224" s="578">
        <v>71</v>
      </c>
      <c r="L224" s="614"/>
      <c r="M224" s="580" t="str">
        <f t="shared" si="31"/>
        <v>W6047</v>
      </c>
      <c r="N224" s="580" t="str">
        <f t="shared" si="32"/>
        <v>W6167</v>
      </c>
      <c r="O224" s="580" t="str">
        <f t="shared" si="32"/>
        <v>W6287</v>
      </c>
      <c r="P224" s="580" t="str">
        <f t="shared" si="32"/>
        <v>W63A7</v>
      </c>
      <c r="Q224" s="580" t="str">
        <f t="shared" si="32"/>
        <v>W64C7</v>
      </c>
      <c r="R224" s="580" t="str">
        <f t="shared" si="32"/>
        <v>W65E7</v>
      </c>
      <c r="S224" s="580" t="str">
        <f t="shared" si="32"/>
        <v>W6707</v>
      </c>
      <c r="T224" s="580" t="str">
        <f t="shared" si="32"/>
        <v>W6827</v>
      </c>
      <c r="U224" s="580" t="str">
        <f t="shared" si="32"/>
        <v>W6947</v>
      </c>
      <c r="V224" s="580" t="str">
        <f t="shared" si="32"/>
        <v>W6A67</v>
      </c>
      <c r="W224" s="580" t="str">
        <f t="shared" si="32"/>
        <v>W6B87</v>
      </c>
      <c r="X224" s="580" t="str">
        <f t="shared" si="32"/>
        <v>W6CA7</v>
      </c>
    </row>
    <row r="225" spans="1:24" ht="13.5" customHeight="1" x14ac:dyDescent="0.25">
      <c r="A225" s="605"/>
      <c r="B225" s="606" t="s">
        <v>888</v>
      </c>
      <c r="C225" s="629" t="s">
        <v>889</v>
      </c>
      <c r="D225" s="630"/>
      <c r="E225" s="594"/>
      <c r="F225" s="594"/>
      <c r="G225" s="595"/>
      <c r="H225" s="621"/>
      <c r="I225" s="622" t="s">
        <v>1056</v>
      </c>
      <c r="J225" s="470"/>
      <c r="K225" s="578">
        <v>72</v>
      </c>
      <c r="L225" s="614"/>
      <c r="M225" s="580" t="str">
        <f t="shared" si="31"/>
        <v>W6048</v>
      </c>
      <c r="N225" s="580" t="str">
        <f t="shared" si="32"/>
        <v>W6168</v>
      </c>
      <c r="O225" s="580" t="str">
        <f t="shared" si="32"/>
        <v>W6288</v>
      </c>
      <c r="P225" s="580" t="str">
        <f t="shared" si="32"/>
        <v>W63A8</v>
      </c>
      <c r="Q225" s="580" t="str">
        <f t="shared" si="32"/>
        <v>W64C8</v>
      </c>
      <c r="R225" s="580" t="str">
        <f t="shared" si="32"/>
        <v>W65E8</v>
      </c>
      <c r="S225" s="580" t="str">
        <f t="shared" si="32"/>
        <v>W6708</v>
      </c>
      <c r="T225" s="580" t="str">
        <f t="shared" si="32"/>
        <v>W6828</v>
      </c>
      <c r="U225" s="580" t="str">
        <f t="shared" si="32"/>
        <v>W6948</v>
      </c>
      <c r="V225" s="580" t="str">
        <f t="shared" si="32"/>
        <v>W6A68</v>
      </c>
      <c r="W225" s="580" t="str">
        <f t="shared" si="32"/>
        <v>W6B88</v>
      </c>
      <c r="X225" s="580" t="str">
        <f t="shared" si="32"/>
        <v>W6CA8</v>
      </c>
    </row>
    <row r="226" spans="1:24" ht="13.5" customHeight="1" x14ac:dyDescent="0.25">
      <c r="A226" s="605"/>
      <c r="B226" s="606" t="s">
        <v>888</v>
      </c>
      <c r="C226" s="631" t="s">
        <v>889</v>
      </c>
      <c r="D226" s="632"/>
      <c r="E226" s="594"/>
      <c r="F226" s="594"/>
      <c r="G226" s="595"/>
      <c r="H226" s="621"/>
      <c r="I226" s="622" t="s">
        <v>1057</v>
      </c>
      <c r="J226" s="470"/>
      <c r="K226" s="578">
        <v>73</v>
      </c>
      <c r="L226" s="614"/>
      <c r="M226" s="580" t="str">
        <f t="shared" si="31"/>
        <v>W6049</v>
      </c>
      <c r="N226" s="580" t="str">
        <f t="shared" si="32"/>
        <v>W6169</v>
      </c>
      <c r="O226" s="580" t="str">
        <f t="shared" si="32"/>
        <v>W6289</v>
      </c>
      <c r="P226" s="580" t="str">
        <f t="shared" si="32"/>
        <v>W63A9</v>
      </c>
      <c r="Q226" s="580" t="str">
        <f t="shared" si="32"/>
        <v>W64C9</v>
      </c>
      <c r="R226" s="580" t="str">
        <f t="shared" si="32"/>
        <v>W65E9</v>
      </c>
      <c r="S226" s="580" t="str">
        <f t="shared" si="32"/>
        <v>W6709</v>
      </c>
      <c r="T226" s="580" t="str">
        <f t="shared" si="32"/>
        <v>W6829</v>
      </c>
      <c r="U226" s="580" t="str">
        <f t="shared" si="32"/>
        <v>W6949</v>
      </c>
      <c r="V226" s="580" t="str">
        <f t="shared" si="32"/>
        <v>W6A69</v>
      </c>
      <c r="W226" s="580" t="str">
        <f t="shared" si="32"/>
        <v>W6B89</v>
      </c>
      <c r="X226" s="580" t="str">
        <f t="shared" si="32"/>
        <v>W6CA9</v>
      </c>
    </row>
    <row r="227" spans="1:24" ht="13.5" customHeight="1" x14ac:dyDescent="0.25">
      <c r="A227" s="605"/>
      <c r="B227" s="606" t="s">
        <v>888</v>
      </c>
      <c r="C227" s="530" t="s">
        <v>889</v>
      </c>
      <c r="D227" s="607"/>
      <c r="E227" s="594"/>
      <c r="F227" s="594"/>
      <c r="G227" s="595"/>
      <c r="H227" s="621"/>
      <c r="I227" s="622" t="s">
        <v>1058</v>
      </c>
      <c r="J227" s="470"/>
      <c r="K227" s="578">
        <v>74</v>
      </c>
      <c r="L227" s="614"/>
      <c r="M227" s="580" t="str">
        <f t="shared" si="31"/>
        <v>W604A</v>
      </c>
      <c r="N227" s="580" t="str">
        <f t="shared" si="32"/>
        <v>W616A</v>
      </c>
      <c r="O227" s="580" t="str">
        <f t="shared" si="32"/>
        <v>W628A</v>
      </c>
      <c r="P227" s="580" t="str">
        <f t="shared" si="32"/>
        <v>W63AA</v>
      </c>
      <c r="Q227" s="580" t="str">
        <f t="shared" si="32"/>
        <v>W64CA</v>
      </c>
      <c r="R227" s="580" t="str">
        <f t="shared" si="32"/>
        <v>W65EA</v>
      </c>
      <c r="S227" s="580" t="str">
        <f t="shared" si="32"/>
        <v>W670A</v>
      </c>
      <c r="T227" s="580" t="str">
        <f t="shared" si="32"/>
        <v>W682A</v>
      </c>
      <c r="U227" s="580" t="str">
        <f t="shared" si="32"/>
        <v>W694A</v>
      </c>
      <c r="V227" s="580" t="str">
        <f t="shared" si="32"/>
        <v>W6A6A</v>
      </c>
      <c r="W227" s="580" t="str">
        <f t="shared" si="32"/>
        <v>W6B8A</v>
      </c>
      <c r="X227" s="580" t="str">
        <f t="shared" si="32"/>
        <v>W6CAA</v>
      </c>
    </row>
    <row r="228" spans="1:24" ht="13.5" customHeight="1" x14ac:dyDescent="0.25">
      <c r="A228" s="605"/>
      <c r="B228" s="606" t="s">
        <v>888</v>
      </c>
      <c r="C228" s="530" t="s">
        <v>889</v>
      </c>
      <c r="D228" s="607"/>
      <c r="E228" s="594"/>
      <c r="F228" s="594"/>
      <c r="G228" s="595"/>
      <c r="H228" s="621"/>
      <c r="I228" s="622" t="s">
        <v>1059</v>
      </c>
      <c r="J228" s="470"/>
      <c r="K228" s="578">
        <v>75</v>
      </c>
      <c r="L228" s="614"/>
      <c r="M228" s="580" t="str">
        <f t="shared" si="31"/>
        <v>W604B</v>
      </c>
      <c r="N228" s="580" t="str">
        <f t="shared" si="32"/>
        <v>W616B</v>
      </c>
      <c r="O228" s="580" t="str">
        <f t="shared" si="32"/>
        <v>W628B</v>
      </c>
      <c r="P228" s="580" t="str">
        <f t="shared" si="32"/>
        <v>W63AB</v>
      </c>
      <c r="Q228" s="580" t="str">
        <f t="shared" si="32"/>
        <v>W64CB</v>
      </c>
      <c r="R228" s="580" t="str">
        <f t="shared" si="32"/>
        <v>W65EB</v>
      </c>
      <c r="S228" s="580" t="str">
        <f t="shared" si="32"/>
        <v>W670B</v>
      </c>
      <c r="T228" s="580" t="str">
        <f t="shared" si="32"/>
        <v>W682B</v>
      </c>
      <c r="U228" s="580" t="str">
        <f t="shared" si="32"/>
        <v>W694B</v>
      </c>
      <c r="V228" s="580" t="str">
        <f t="shared" si="32"/>
        <v>W6A6B</v>
      </c>
      <c r="W228" s="580" t="str">
        <f t="shared" si="32"/>
        <v>W6B8B</v>
      </c>
      <c r="X228" s="580" t="str">
        <f t="shared" si="32"/>
        <v>W6CAB</v>
      </c>
    </row>
    <row r="229" spans="1:24" ht="13.5" customHeight="1" x14ac:dyDescent="0.25">
      <c r="A229" s="605"/>
      <c r="B229" s="606" t="s">
        <v>888</v>
      </c>
      <c r="C229" s="530" t="s">
        <v>889</v>
      </c>
      <c r="D229" s="607"/>
      <c r="E229" s="594"/>
      <c r="F229" s="594"/>
      <c r="G229" s="595"/>
      <c r="H229" s="621"/>
      <c r="I229" s="622" t="s">
        <v>1060</v>
      </c>
      <c r="J229" s="470"/>
      <c r="K229" s="578">
        <v>76</v>
      </c>
      <c r="L229" s="614"/>
      <c r="M229" s="580" t="str">
        <f t="shared" si="31"/>
        <v>W604C</v>
      </c>
      <c r="N229" s="580" t="str">
        <f t="shared" si="32"/>
        <v>W616C</v>
      </c>
      <c r="O229" s="580" t="str">
        <f t="shared" si="32"/>
        <v>W628C</v>
      </c>
      <c r="P229" s="580" t="str">
        <f t="shared" si="32"/>
        <v>W63AC</v>
      </c>
      <c r="Q229" s="580" t="str">
        <f t="shared" si="32"/>
        <v>W64CC</v>
      </c>
      <c r="R229" s="580" t="str">
        <f t="shared" si="32"/>
        <v>W65EC</v>
      </c>
      <c r="S229" s="580" t="str">
        <f t="shared" si="32"/>
        <v>W670C</v>
      </c>
      <c r="T229" s="580" t="str">
        <f t="shared" si="32"/>
        <v>W682C</v>
      </c>
      <c r="U229" s="580" t="str">
        <f t="shared" si="32"/>
        <v>W694C</v>
      </c>
      <c r="V229" s="580" t="str">
        <f t="shared" si="32"/>
        <v>W6A6C</v>
      </c>
      <c r="W229" s="580" t="str">
        <f t="shared" si="32"/>
        <v>W6B8C</v>
      </c>
      <c r="X229" s="580" t="str">
        <f t="shared" si="32"/>
        <v>W6CAC</v>
      </c>
    </row>
    <row r="230" spans="1:24" ht="13.5" customHeight="1" x14ac:dyDescent="0.25">
      <c r="A230" s="605"/>
      <c r="B230" s="606" t="s">
        <v>888</v>
      </c>
      <c r="C230" s="530" t="s">
        <v>889</v>
      </c>
      <c r="D230" s="607"/>
      <c r="E230" s="594"/>
      <c r="F230" s="594"/>
      <c r="G230" s="595"/>
      <c r="H230" s="621"/>
      <c r="I230" s="622" t="s">
        <v>1061</v>
      </c>
      <c r="J230" s="470"/>
      <c r="K230" s="578">
        <v>77</v>
      </c>
      <c r="L230" s="614"/>
      <c r="M230" s="580" t="str">
        <f t="shared" si="31"/>
        <v>W604D</v>
      </c>
      <c r="N230" s="580" t="str">
        <f t="shared" si="32"/>
        <v>W616D</v>
      </c>
      <c r="O230" s="580" t="str">
        <f t="shared" si="32"/>
        <v>W628D</v>
      </c>
      <c r="P230" s="580" t="str">
        <f t="shared" si="32"/>
        <v>W63AD</v>
      </c>
      <c r="Q230" s="580" t="str">
        <f t="shared" si="32"/>
        <v>W64CD</v>
      </c>
      <c r="R230" s="580" t="str">
        <f t="shared" si="32"/>
        <v>W65ED</v>
      </c>
      <c r="S230" s="580" t="str">
        <f t="shared" si="32"/>
        <v>W670D</v>
      </c>
      <c r="T230" s="580" t="str">
        <f t="shared" si="32"/>
        <v>W682D</v>
      </c>
      <c r="U230" s="580" t="str">
        <f t="shared" si="32"/>
        <v>W694D</v>
      </c>
      <c r="V230" s="580" t="str">
        <f t="shared" si="32"/>
        <v>W6A6D</v>
      </c>
      <c r="W230" s="580" t="str">
        <f t="shared" si="32"/>
        <v>W6B8D</v>
      </c>
      <c r="X230" s="580" t="str">
        <f t="shared" si="32"/>
        <v>W6CAD</v>
      </c>
    </row>
    <row r="231" spans="1:24" ht="13.5" customHeight="1" x14ac:dyDescent="0.25">
      <c r="A231" s="605"/>
      <c r="B231" s="606" t="s">
        <v>888</v>
      </c>
      <c r="C231" s="530" t="s">
        <v>889</v>
      </c>
      <c r="D231" s="607"/>
      <c r="E231" s="594"/>
      <c r="F231" s="594"/>
      <c r="G231" s="595"/>
      <c r="H231" s="621"/>
      <c r="I231" s="622" t="s">
        <v>1062</v>
      </c>
      <c r="J231" s="470"/>
      <c r="K231" s="578">
        <v>78</v>
      </c>
      <c r="L231" s="614"/>
      <c r="M231" s="580" t="str">
        <f t="shared" si="31"/>
        <v>W604E</v>
      </c>
      <c r="N231" s="580" t="str">
        <f t="shared" si="32"/>
        <v>W616E</v>
      </c>
      <c r="O231" s="580" t="str">
        <f t="shared" si="32"/>
        <v>W628E</v>
      </c>
      <c r="P231" s="580" t="str">
        <f t="shared" si="32"/>
        <v>W63AE</v>
      </c>
      <c r="Q231" s="580" t="str">
        <f t="shared" si="32"/>
        <v>W64CE</v>
      </c>
      <c r="R231" s="580" t="str">
        <f t="shared" si="32"/>
        <v>W65EE</v>
      </c>
      <c r="S231" s="580" t="str">
        <f t="shared" si="32"/>
        <v>W670E</v>
      </c>
      <c r="T231" s="580" t="str">
        <f t="shared" si="32"/>
        <v>W682E</v>
      </c>
      <c r="U231" s="580" t="str">
        <f t="shared" si="32"/>
        <v>W694E</v>
      </c>
      <c r="V231" s="580" t="str">
        <f t="shared" si="32"/>
        <v>W6A6E</v>
      </c>
      <c r="W231" s="580" t="str">
        <f t="shared" si="32"/>
        <v>W6B8E</v>
      </c>
      <c r="X231" s="580" t="str">
        <f t="shared" si="32"/>
        <v>W6CAE</v>
      </c>
    </row>
    <row r="232" spans="1:24" ht="13.5" customHeight="1" thickBot="1" x14ac:dyDescent="0.3">
      <c r="A232" s="605"/>
      <c r="B232" s="606" t="s">
        <v>888</v>
      </c>
      <c r="C232" s="530" t="s">
        <v>889</v>
      </c>
      <c r="D232" s="607"/>
      <c r="E232" s="594"/>
      <c r="F232" s="594"/>
      <c r="G232" s="595"/>
      <c r="H232" s="621"/>
      <c r="I232" s="616" t="s">
        <v>1063</v>
      </c>
      <c r="J232" s="490"/>
      <c r="K232" s="611">
        <v>79</v>
      </c>
      <c r="L232" s="617"/>
      <c r="M232" s="591" t="str">
        <f t="shared" si="31"/>
        <v>W604F</v>
      </c>
      <c r="N232" s="591" t="str">
        <f t="shared" si="32"/>
        <v>W616F</v>
      </c>
      <c r="O232" s="591" t="str">
        <f t="shared" si="32"/>
        <v>W628F</v>
      </c>
      <c r="P232" s="591" t="str">
        <f t="shared" si="32"/>
        <v>W63AF</v>
      </c>
      <c r="Q232" s="591" t="str">
        <f t="shared" si="32"/>
        <v>W64CF</v>
      </c>
      <c r="R232" s="591" t="str">
        <f t="shared" si="32"/>
        <v>W65EF</v>
      </c>
      <c r="S232" s="591" t="str">
        <f t="shared" si="32"/>
        <v>W670F</v>
      </c>
      <c r="T232" s="591" t="str">
        <f t="shared" si="32"/>
        <v>W682F</v>
      </c>
      <c r="U232" s="591" t="str">
        <f t="shared" si="32"/>
        <v>W694F</v>
      </c>
      <c r="V232" s="591" t="str">
        <f t="shared" si="32"/>
        <v>W6A6F</v>
      </c>
      <c r="W232" s="591" t="str">
        <f t="shared" si="32"/>
        <v>W6B8F</v>
      </c>
      <c r="X232" s="591" t="str">
        <f t="shared" si="32"/>
        <v>W6CAF</v>
      </c>
    </row>
    <row r="233" spans="1:24" ht="13.5" customHeight="1" thickTop="1" x14ac:dyDescent="0.25">
      <c r="A233" s="605"/>
      <c r="B233" s="606" t="s">
        <v>888</v>
      </c>
      <c r="C233" s="530" t="s">
        <v>889</v>
      </c>
      <c r="D233" s="531"/>
      <c r="E233" s="609"/>
      <c r="F233" s="609"/>
      <c r="G233" s="595"/>
      <c r="H233" s="621"/>
      <c r="I233" s="620" t="s">
        <v>1064</v>
      </c>
      <c r="J233" s="464"/>
      <c r="K233" s="572">
        <v>80</v>
      </c>
      <c r="L233" s="613">
        <v>6</v>
      </c>
      <c r="M233" s="574" t="str">
        <f t="shared" si="31"/>
        <v>W6050</v>
      </c>
      <c r="N233" s="574" t="str">
        <f t="shared" si="32"/>
        <v>W6170</v>
      </c>
      <c r="O233" s="574" t="str">
        <f t="shared" si="32"/>
        <v>W6290</v>
      </c>
      <c r="P233" s="574" t="str">
        <f t="shared" si="32"/>
        <v>W63B0</v>
      </c>
      <c r="Q233" s="574" t="str">
        <f t="shared" si="32"/>
        <v>W64D0</v>
      </c>
      <c r="R233" s="574" t="str">
        <f t="shared" si="32"/>
        <v>W65F0</v>
      </c>
      <c r="S233" s="574" t="str">
        <f t="shared" si="32"/>
        <v>W6710</v>
      </c>
      <c r="T233" s="574" t="str">
        <f t="shared" si="32"/>
        <v>W6830</v>
      </c>
      <c r="U233" s="574" t="str">
        <f t="shared" si="32"/>
        <v>W6950</v>
      </c>
      <c r="V233" s="574" t="str">
        <f t="shared" si="32"/>
        <v>W6A70</v>
      </c>
      <c r="W233" s="574" t="str">
        <f t="shared" si="32"/>
        <v>W6B90</v>
      </c>
      <c r="X233" s="574" t="str">
        <f t="shared" si="32"/>
        <v>W6CB0</v>
      </c>
    </row>
    <row r="234" spans="1:24" ht="13.5" customHeight="1" x14ac:dyDescent="0.25">
      <c r="A234" s="605"/>
      <c r="B234" s="606" t="s">
        <v>888</v>
      </c>
      <c r="C234" s="530" t="s">
        <v>889</v>
      </c>
      <c r="D234" s="531"/>
      <c r="E234" s="609"/>
      <c r="F234" s="609"/>
      <c r="G234" s="595"/>
      <c r="H234" s="621"/>
      <c r="I234" s="622" t="s">
        <v>1065</v>
      </c>
      <c r="J234" s="470"/>
      <c r="K234" s="578">
        <v>81</v>
      </c>
      <c r="L234" s="614"/>
      <c r="M234" s="580" t="str">
        <f t="shared" si="31"/>
        <v>W6051</v>
      </c>
      <c r="N234" s="580" t="str">
        <f t="shared" si="32"/>
        <v>W6171</v>
      </c>
      <c r="O234" s="580" t="str">
        <f t="shared" si="32"/>
        <v>W6291</v>
      </c>
      <c r="P234" s="580" t="str">
        <f t="shared" si="32"/>
        <v>W63B1</v>
      </c>
      <c r="Q234" s="580" t="str">
        <f t="shared" si="32"/>
        <v>W64D1</v>
      </c>
      <c r="R234" s="580" t="str">
        <f t="shared" si="32"/>
        <v>W65F1</v>
      </c>
      <c r="S234" s="580" t="str">
        <f t="shared" si="32"/>
        <v>W6711</v>
      </c>
      <c r="T234" s="580" t="str">
        <f t="shared" si="32"/>
        <v>W6831</v>
      </c>
      <c r="U234" s="580" t="str">
        <f t="shared" si="32"/>
        <v>W6951</v>
      </c>
      <c r="V234" s="580" t="str">
        <f t="shared" si="32"/>
        <v>W6A71</v>
      </c>
      <c r="W234" s="580" t="str">
        <f t="shared" si="32"/>
        <v>W6B91</v>
      </c>
      <c r="X234" s="580" t="str">
        <f t="shared" si="32"/>
        <v>W6CB1</v>
      </c>
    </row>
    <row r="235" spans="1:24" ht="13.5" customHeight="1" x14ac:dyDescent="0.25">
      <c r="A235" s="605"/>
      <c r="B235" s="606" t="s">
        <v>888</v>
      </c>
      <c r="C235" s="530" t="s">
        <v>889</v>
      </c>
      <c r="D235" s="531"/>
      <c r="E235" s="609"/>
      <c r="F235" s="609"/>
      <c r="G235" s="595"/>
      <c r="H235" s="621"/>
      <c r="I235" s="622" t="s">
        <v>1066</v>
      </c>
      <c r="J235" s="470"/>
      <c r="K235" s="578">
        <v>82</v>
      </c>
      <c r="L235" s="614"/>
      <c r="M235" s="580" t="str">
        <f t="shared" si="31"/>
        <v>W6052</v>
      </c>
      <c r="N235" s="580" t="str">
        <f t="shared" ref="N235:X250" si="33">"W"&amp;DEC2HEX(HEX2DEC(SUBSTITUTE(N234,"W",""))+1)</f>
        <v>W6172</v>
      </c>
      <c r="O235" s="580" t="str">
        <f t="shared" si="33"/>
        <v>W6292</v>
      </c>
      <c r="P235" s="580" t="str">
        <f t="shared" si="33"/>
        <v>W63B2</v>
      </c>
      <c r="Q235" s="580" t="str">
        <f t="shared" si="33"/>
        <v>W64D2</v>
      </c>
      <c r="R235" s="580" t="str">
        <f t="shared" si="33"/>
        <v>W65F2</v>
      </c>
      <c r="S235" s="580" t="str">
        <f t="shared" si="33"/>
        <v>W6712</v>
      </c>
      <c r="T235" s="580" t="str">
        <f t="shared" si="33"/>
        <v>W6832</v>
      </c>
      <c r="U235" s="580" t="str">
        <f t="shared" si="33"/>
        <v>W6952</v>
      </c>
      <c r="V235" s="580" t="str">
        <f t="shared" si="33"/>
        <v>W6A72</v>
      </c>
      <c r="W235" s="580" t="str">
        <f t="shared" si="33"/>
        <v>W6B92</v>
      </c>
      <c r="X235" s="580" t="str">
        <f t="shared" si="33"/>
        <v>W6CB2</v>
      </c>
    </row>
    <row r="236" spans="1:24" ht="13.5" customHeight="1" x14ac:dyDescent="0.25">
      <c r="A236" s="605"/>
      <c r="B236" s="606" t="s">
        <v>888</v>
      </c>
      <c r="C236" s="530" t="s">
        <v>889</v>
      </c>
      <c r="D236" s="531"/>
      <c r="E236" s="609"/>
      <c r="F236" s="609"/>
      <c r="G236" s="595"/>
      <c r="H236" s="621"/>
      <c r="I236" s="622" t="s">
        <v>1057</v>
      </c>
      <c r="J236" s="470"/>
      <c r="K236" s="578">
        <v>83</v>
      </c>
      <c r="L236" s="614"/>
      <c r="M236" s="580" t="str">
        <f t="shared" si="31"/>
        <v>W6053</v>
      </c>
      <c r="N236" s="580" t="str">
        <f t="shared" si="33"/>
        <v>W6173</v>
      </c>
      <c r="O236" s="580" t="str">
        <f t="shared" si="33"/>
        <v>W6293</v>
      </c>
      <c r="P236" s="580" t="str">
        <f t="shared" si="33"/>
        <v>W63B3</v>
      </c>
      <c r="Q236" s="580" t="str">
        <f t="shared" si="33"/>
        <v>W64D3</v>
      </c>
      <c r="R236" s="580" t="str">
        <f t="shared" si="33"/>
        <v>W65F3</v>
      </c>
      <c r="S236" s="580" t="str">
        <f t="shared" si="33"/>
        <v>W6713</v>
      </c>
      <c r="T236" s="580" t="str">
        <f t="shared" si="33"/>
        <v>W6833</v>
      </c>
      <c r="U236" s="580" t="str">
        <f t="shared" si="33"/>
        <v>W6953</v>
      </c>
      <c r="V236" s="580" t="str">
        <f t="shared" si="33"/>
        <v>W6A73</v>
      </c>
      <c r="W236" s="580" t="str">
        <f t="shared" si="33"/>
        <v>W6B93</v>
      </c>
      <c r="X236" s="580" t="str">
        <f t="shared" si="33"/>
        <v>W6CB3</v>
      </c>
    </row>
    <row r="237" spans="1:24" ht="13.5" customHeight="1" x14ac:dyDescent="0.25">
      <c r="A237" s="605"/>
      <c r="B237" s="606" t="s">
        <v>888</v>
      </c>
      <c r="C237" s="530" t="s">
        <v>889</v>
      </c>
      <c r="D237" s="531"/>
      <c r="E237" s="609"/>
      <c r="F237" s="609"/>
      <c r="G237" s="595"/>
      <c r="H237" s="621"/>
      <c r="I237" s="622" t="s">
        <v>1058</v>
      </c>
      <c r="J237" s="470"/>
      <c r="K237" s="578">
        <v>84</v>
      </c>
      <c r="L237" s="614"/>
      <c r="M237" s="580" t="str">
        <f t="shared" si="31"/>
        <v>W6054</v>
      </c>
      <c r="N237" s="580" t="str">
        <f t="shared" si="33"/>
        <v>W6174</v>
      </c>
      <c r="O237" s="580" t="str">
        <f t="shared" si="33"/>
        <v>W6294</v>
      </c>
      <c r="P237" s="580" t="str">
        <f t="shared" si="33"/>
        <v>W63B4</v>
      </c>
      <c r="Q237" s="580" t="str">
        <f t="shared" si="33"/>
        <v>W64D4</v>
      </c>
      <c r="R237" s="580" t="str">
        <f t="shared" si="33"/>
        <v>W65F4</v>
      </c>
      <c r="S237" s="580" t="str">
        <f t="shared" si="33"/>
        <v>W6714</v>
      </c>
      <c r="T237" s="580" t="str">
        <f t="shared" si="33"/>
        <v>W6834</v>
      </c>
      <c r="U237" s="580" t="str">
        <f t="shared" si="33"/>
        <v>W6954</v>
      </c>
      <c r="V237" s="580" t="str">
        <f t="shared" si="33"/>
        <v>W6A74</v>
      </c>
      <c r="W237" s="580" t="str">
        <f t="shared" si="33"/>
        <v>W6B94</v>
      </c>
      <c r="X237" s="580" t="str">
        <f t="shared" si="33"/>
        <v>W6CB4</v>
      </c>
    </row>
    <row r="238" spans="1:24" ht="13.5" customHeight="1" thickBot="1" x14ac:dyDescent="0.3">
      <c r="A238" s="605"/>
      <c r="B238" s="610" t="s">
        <v>888</v>
      </c>
      <c r="C238" s="534" t="s">
        <v>889</v>
      </c>
      <c r="D238" s="535"/>
      <c r="E238" s="609"/>
      <c r="F238" s="609"/>
      <c r="G238" s="595"/>
      <c r="H238" s="621"/>
      <c r="I238" s="622" t="s">
        <v>1059</v>
      </c>
      <c r="J238" s="470"/>
      <c r="K238" s="578">
        <v>85</v>
      </c>
      <c r="L238" s="614"/>
      <c r="M238" s="580" t="str">
        <f t="shared" si="31"/>
        <v>W6055</v>
      </c>
      <c r="N238" s="580" t="str">
        <f t="shared" si="33"/>
        <v>W6175</v>
      </c>
      <c r="O238" s="580" t="str">
        <f t="shared" si="33"/>
        <v>W6295</v>
      </c>
      <c r="P238" s="580" t="str">
        <f t="shared" si="33"/>
        <v>W63B5</v>
      </c>
      <c r="Q238" s="580" t="str">
        <f t="shared" si="33"/>
        <v>W64D5</v>
      </c>
      <c r="R238" s="580" t="str">
        <f t="shared" si="33"/>
        <v>W65F5</v>
      </c>
      <c r="S238" s="580" t="str">
        <f t="shared" si="33"/>
        <v>W6715</v>
      </c>
      <c r="T238" s="580" t="str">
        <f t="shared" si="33"/>
        <v>W6835</v>
      </c>
      <c r="U238" s="580" t="str">
        <f t="shared" si="33"/>
        <v>W6955</v>
      </c>
      <c r="V238" s="580" t="str">
        <f t="shared" si="33"/>
        <v>W6A75</v>
      </c>
      <c r="W238" s="580" t="str">
        <f t="shared" si="33"/>
        <v>W6B95</v>
      </c>
      <c r="X238" s="580" t="str">
        <f t="shared" si="33"/>
        <v>W6CB5</v>
      </c>
    </row>
    <row r="239" spans="1:24" ht="13.5" customHeight="1" x14ac:dyDescent="0.25">
      <c r="G239" s="595"/>
      <c r="H239" s="621"/>
      <c r="I239" s="622" t="s">
        <v>1060</v>
      </c>
      <c r="J239" s="470"/>
      <c r="K239" s="578">
        <v>86</v>
      </c>
      <c r="L239" s="614"/>
      <c r="M239" s="580" t="str">
        <f t="shared" si="31"/>
        <v>W6056</v>
      </c>
      <c r="N239" s="580" t="str">
        <f t="shared" si="33"/>
        <v>W6176</v>
      </c>
      <c r="O239" s="580" t="str">
        <f t="shared" si="33"/>
        <v>W6296</v>
      </c>
      <c r="P239" s="580" t="str">
        <f t="shared" si="33"/>
        <v>W63B6</v>
      </c>
      <c r="Q239" s="580" t="str">
        <f t="shared" si="33"/>
        <v>W64D6</v>
      </c>
      <c r="R239" s="580" t="str">
        <f t="shared" si="33"/>
        <v>W65F6</v>
      </c>
      <c r="S239" s="580" t="str">
        <f t="shared" si="33"/>
        <v>W6716</v>
      </c>
      <c r="T239" s="580" t="str">
        <f t="shared" si="33"/>
        <v>W6836</v>
      </c>
      <c r="U239" s="580" t="str">
        <f t="shared" si="33"/>
        <v>W6956</v>
      </c>
      <c r="V239" s="580" t="str">
        <f t="shared" si="33"/>
        <v>W6A76</v>
      </c>
      <c r="W239" s="580" t="str">
        <f t="shared" si="33"/>
        <v>W6B96</v>
      </c>
      <c r="X239" s="580" t="str">
        <f t="shared" si="33"/>
        <v>W6CB6</v>
      </c>
    </row>
    <row r="240" spans="1:24" ht="13.5" customHeight="1" x14ac:dyDescent="0.25">
      <c r="G240" s="595"/>
      <c r="H240" s="621"/>
      <c r="I240" s="622" t="s">
        <v>1061</v>
      </c>
      <c r="J240" s="470"/>
      <c r="K240" s="578">
        <v>87</v>
      </c>
      <c r="L240" s="614"/>
      <c r="M240" s="580" t="str">
        <f t="shared" si="31"/>
        <v>W6057</v>
      </c>
      <c r="N240" s="580" t="str">
        <f t="shared" si="33"/>
        <v>W6177</v>
      </c>
      <c r="O240" s="580" t="str">
        <f t="shared" si="33"/>
        <v>W6297</v>
      </c>
      <c r="P240" s="580" t="str">
        <f t="shared" si="33"/>
        <v>W63B7</v>
      </c>
      <c r="Q240" s="580" t="str">
        <f t="shared" si="33"/>
        <v>W64D7</v>
      </c>
      <c r="R240" s="580" t="str">
        <f t="shared" si="33"/>
        <v>W65F7</v>
      </c>
      <c r="S240" s="580" t="str">
        <f t="shared" si="33"/>
        <v>W6717</v>
      </c>
      <c r="T240" s="580" t="str">
        <f t="shared" si="33"/>
        <v>W6837</v>
      </c>
      <c r="U240" s="580" t="str">
        <f t="shared" si="33"/>
        <v>W6957</v>
      </c>
      <c r="V240" s="580" t="str">
        <f t="shared" si="33"/>
        <v>W6A77</v>
      </c>
      <c r="W240" s="580" t="str">
        <f t="shared" si="33"/>
        <v>W6B97</v>
      </c>
      <c r="X240" s="580" t="str">
        <f t="shared" si="33"/>
        <v>W6CB7</v>
      </c>
    </row>
    <row r="241" spans="7:24" ht="13.5" customHeight="1" x14ac:dyDescent="0.25">
      <c r="G241" s="595"/>
      <c r="H241" s="621"/>
      <c r="I241" s="622" t="s">
        <v>1062</v>
      </c>
      <c r="J241" s="411"/>
      <c r="K241" s="578">
        <v>88</v>
      </c>
      <c r="L241" s="614"/>
      <c r="M241" s="580" t="str">
        <f t="shared" si="31"/>
        <v>W6058</v>
      </c>
      <c r="N241" s="580" t="str">
        <f t="shared" si="33"/>
        <v>W6178</v>
      </c>
      <c r="O241" s="580" t="str">
        <f t="shared" si="33"/>
        <v>W6298</v>
      </c>
      <c r="P241" s="580" t="str">
        <f t="shared" si="33"/>
        <v>W63B8</v>
      </c>
      <c r="Q241" s="580" t="str">
        <f t="shared" si="33"/>
        <v>W64D8</v>
      </c>
      <c r="R241" s="580" t="str">
        <f t="shared" si="33"/>
        <v>W65F8</v>
      </c>
      <c r="S241" s="580" t="str">
        <f t="shared" si="33"/>
        <v>W6718</v>
      </c>
      <c r="T241" s="580" t="str">
        <f t="shared" si="33"/>
        <v>W6838</v>
      </c>
      <c r="U241" s="580" t="str">
        <f t="shared" si="33"/>
        <v>W6958</v>
      </c>
      <c r="V241" s="580" t="str">
        <f t="shared" si="33"/>
        <v>W6A78</v>
      </c>
      <c r="W241" s="580" t="str">
        <f t="shared" si="33"/>
        <v>W6B98</v>
      </c>
      <c r="X241" s="580" t="str">
        <f t="shared" si="33"/>
        <v>W6CB8</v>
      </c>
    </row>
    <row r="242" spans="7:24" ht="13.5" customHeight="1" x14ac:dyDescent="0.25">
      <c r="G242" s="595"/>
      <c r="H242" s="621"/>
      <c r="I242" s="622" t="s">
        <v>1063</v>
      </c>
      <c r="J242" s="411"/>
      <c r="K242" s="578">
        <v>89</v>
      </c>
      <c r="L242" s="614"/>
      <c r="M242" s="580" t="str">
        <f t="shared" si="31"/>
        <v>W6059</v>
      </c>
      <c r="N242" s="580" t="str">
        <f t="shared" si="33"/>
        <v>W6179</v>
      </c>
      <c r="O242" s="580" t="str">
        <f t="shared" si="33"/>
        <v>W6299</v>
      </c>
      <c r="P242" s="580" t="str">
        <f t="shared" si="33"/>
        <v>W63B9</v>
      </c>
      <c r="Q242" s="580" t="str">
        <f t="shared" si="33"/>
        <v>W64D9</v>
      </c>
      <c r="R242" s="580" t="str">
        <f t="shared" si="33"/>
        <v>W65F9</v>
      </c>
      <c r="S242" s="580" t="str">
        <f t="shared" si="33"/>
        <v>W6719</v>
      </c>
      <c r="T242" s="580" t="str">
        <f t="shared" si="33"/>
        <v>W6839</v>
      </c>
      <c r="U242" s="580" t="str">
        <f t="shared" si="33"/>
        <v>W6959</v>
      </c>
      <c r="V242" s="580" t="str">
        <f t="shared" si="33"/>
        <v>W6A79</v>
      </c>
      <c r="W242" s="580" t="str">
        <f t="shared" si="33"/>
        <v>W6B99</v>
      </c>
      <c r="X242" s="580" t="str">
        <f t="shared" si="33"/>
        <v>W6CB9</v>
      </c>
    </row>
    <row r="243" spans="7:24" ht="13.5" customHeight="1" x14ac:dyDescent="0.25">
      <c r="G243" s="595"/>
      <c r="H243" s="621"/>
      <c r="I243" s="622" t="s">
        <v>1064</v>
      </c>
      <c r="J243" s="411"/>
      <c r="K243" s="578">
        <v>90</v>
      </c>
      <c r="L243" s="614"/>
      <c r="M243" s="580" t="str">
        <f t="shared" si="31"/>
        <v>W605A</v>
      </c>
      <c r="N243" s="580" t="str">
        <f t="shared" si="33"/>
        <v>W617A</v>
      </c>
      <c r="O243" s="580" t="str">
        <f t="shared" si="33"/>
        <v>W629A</v>
      </c>
      <c r="P243" s="580" t="str">
        <f t="shared" si="33"/>
        <v>W63BA</v>
      </c>
      <c r="Q243" s="580" t="str">
        <f t="shared" si="33"/>
        <v>W64DA</v>
      </c>
      <c r="R243" s="580" t="str">
        <f t="shared" si="33"/>
        <v>W65FA</v>
      </c>
      <c r="S243" s="580" t="str">
        <f t="shared" si="33"/>
        <v>W671A</v>
      </c>
      <c r="T243" s="580" t="str">
        <f t="shared" si="33"/>
        <v>W683A</v>
      </c>
      <c r="U243" s="580" t="str">
        <f t="shared" si="33"/>
        <v>W695A</v>
      </c>
      <c r="V243" s="580" t="str">
        <f t="shared" si="33"/>
        <v>W6A7A</v>
      </c>
      <c r="W243" s="580" t="str">
        <f t="shared" si="33"/>
        <v>W6B9A</v>
      </c>
      <c r="X243" s="580" t="str">
        <f t="shared" si="33"/>
        <v>W6CBA</v>
      </c>
    </row>
    <row r="244" spans="7:24" ht="13.5" customHeight="1" x14ac:dyDescent="0.25">
      <c r="G244" s="595"/>
      <c r="H244" s="621"/>
      <c r="I244" s="622" t="s">
        <v>1065</v>
      </c>
      <c r="J244" s="411"/>
      <c r="K244" s="578">
        <v>91</v>
      </c>
      <c r="L244" s="614"/>
      <c r="M244" s="580" t="str">
        <f t="shared" si="31"/>
        <v>W605B</v>
      </c>
      <c r="N244" s="580" t="str">
        <f t="shared" si="33"/>
        <v>W617B</v>
      </c>
      <c r="O244" s="580" t="str">
        <f t="shared" si="33"/>
        <v>W629B</v>
      </c>
      <c r="P244" s="580" t="str">
        <f t="shared" si="33"/>
        <v>W63BB</v>
      </c>
      <c r="Q244" s="580" t="str">
        <f t="shared" si="33"/>
        <v>W64DB</v>
      </c>
      <c r="R244" s="580" t="str">
        <f t="shared" si="33"/>
        <v>W65FB</v>
      </c>
      <c r="S244" s="580" t="str">
        <f t="shared" si="33"/>
        <v>W671B</v>
      </c>
      <c r="T244" s="580" t="str">
        <f t="shared" si="33"/>
        <v>W683B</v>
      </c>
      <c r="U244" s="580" t="str">
        <f t="shared" si="33"/>
        <v>W695B</v>
      </c>
      <c r="V244" s="580" t="str">
        <f t="shared" si="33"/>
        <v>W6A7B</v>
      </c>
      <c r="W244" s="580" t="str">
        <f t="shared" si="33"/>
        <v>W6B9B</v>
      </c>
      <c r="X244" s="580" t="str">
        <f t="shared" si="33"/>
        <v>W6CBB</v>
      </c>
    </row>
    <row r="245" spans="7:24" ht="13.5" customHeight="1" x14ac:dyDescent="0.25">
      <c r="G245" s="595"/>
      <c r="H245" s="621"/>
      <c r="I245" s="622" t="s">
        <v>1066</v>
      </c>
      <c r="J245" s="470"/>
      <c r="K245" s="578">
        <v>92</v>
      </c>
      <c r="L245" s="614"/>
      <c r="M245" s="580" t="str">
        <f t="shared" si="31"/>
        <v>W605C</v>
      </c>
      <c r="N245" s="580" t="str">
        <f t="shared" si="33"/>
        <v>W617C</v>
      </c>
      <c r="O245" s="580" t="str">
        <f t="shared" si="33"/>
        <v>W629C</v>
      </c>
      <c r="P245" s="580" t="str">
        <f t="shared" si="33"/>
        <v>W63BC</v>
      </c>
      <c r="Q245" s="580" t="str">
        <f t="shared" si="33"/>
        <v>W64DC</v>
      </c>
      <c r="R245" s="580" t="str">
        <f t="shared" si="33"/>
        <v>W65FC</v>
      </c>
      <c r="S245" s="580" t="str">
        <f t="shared" si="33"/>
        <v>W671C</v>
      </c>
      <c r="T245" s="580" t="str">
        <f t="shared" si="33"/>
        <v>W683C</v>
      </c>
      <c r="U245" s="580" t="str">
        <f t="shared" si="33"/>
        <v>W695C</v>
      </c>
      <c r="V245" s="580" t="str">
        <f t="shared" si="33"/>
        <v>W6A7C</v>
      </c>
      <c r="W245" s="580" t="str">
        <f t="shared" si="33"/>
        <v>W6B9C</v>
      </c>
      <c r="X245" s="580" t="str">
        <f t="shared" si="33"/>
        <v>W6CBC</v>
      </c>
    </row>
    <row r="246" spans="7:24" ht="13.5" customHeight="1" x14ac:dyDescent="0.25">
      <c r="G246" s="595"/>
      <c r="H246" s="621"/>
      <c r="I246" s="622" t="s">
        <v>1067</v>
      </c>
      <c r="J246" s="470"/>
      <c r="K246" s="578">
        <v>93</v>
      </c>
      <c r="L246" s="614"/>
      <c r="M246" s="580" t="str">
        <f t="shared" si="31"/>
        <v>W605D</v>
      </c>
      <c r="N246" s="580" t="str">
        <f t="shared" si="33"/>
        <v>W617D</v>
      </c>
      <c r="O246" s="580" t="str">
        <f t="shared" si="33"/>
        <v>W629D</v>
      </c>
      <c r="P246" s="580" t="str">
        <f t="shared" si="33"/>
        <v>W63BD</v>
      </c>
      <c r="Q246" s="580" t="str">
        <f t="shared" si="33"/>
        <v>W64DD</v>
      </c>
      <c r="R246" s="580" t="str">
        <f t="shared" si="33"/>
        <v>W65FD</v>
      </c>
      <c r="S246" s="580" t="str">
        <f t="shared" si="33"/>
        <v>W671D</v>
      </c>
      <c r="T246" s="580" t="str">
        <f t="shared" si="33"/>
        <v>W683D</v>
      </c>
      <c r="U246" s="580" t="str">
        <f t="shared" si="33"/>
        <v>W695D</v>
      </c>
      <c r="V246" s="580" t="str">
        <f t="shared" si="33"/>
        <v>W6A7D</v>
      </c>
      <c r="W246" s="580" t="str">
        <f t="shared" si="33"/>
        <v>W6B9D</v>
      </c>
      <c r="X246" s="580" t="str">
        <f t="shared" si="33"/>
        <v>W6CBD</v>
      </c>
    </row>
    <row r="247" spans="7:24" ht="13.5" customHeight="1" x14ac:dyDescent="0.25">
      <c r="G247" s="595"/>
      <c r="H247" s="621"/>
      <c r="I247" s="622" t="s">
        <v>1068</v>
      </c>
      <c r="J247" s="470"/>
      <c r="K247" s="578">
        <v>94</v>
      </c>
      <c r="L247" s="614"/>
      <c r="M247" s="580" t="str">
        <f t="shared" si="31"/>
        <v>W605E</v>
      </c>
      <c r="N247" s="580" t="str">
        <f t="shared" si="33"/>
        <v>W617E</v>
      </c>
      <c r="O247" s="580" t="str">
        <f t="shared" si="33"/>
        <v>W629E</v>
      </c>
      <c r="P247" s="580" t="str">
        <f t="shared" si="33"/>
        <v>W63BE</v>
      </c>
      <c r="Q247" s="580" t="str">
        <f t="shared" si="33"/>
        <v>W64DE</v>
      </c>
      <c r="R247" s="580" t="str">
        <f t="shared" si="33"/>
        <v>W65FE</v>
      </c>
      <c r="S247" s="580" t="str">
        <f t="shared" si="33"/>
        <v>W671E</v>
      </c>
      <c r="T247" s="580" t="str">
        <f t="shared" si="33"/>
        <v>W683E</v>
      </c>
      <c r="U247" s="580" t="str">
        <f t="shared" si="33"/>
        <v>W695E</v>
      </c>
      <c r="V247" s="580" t="str">
        <f t="shared" si="33"/>
        <v>W6A7E</v>
      </c>
      <c r="W247" s="580" t="str">
        <f t="shared" si="33"/>
        <v>W6B9E</v>
      </c>
      <c r="X247" s="580" t="str">
        <f t="shared" si="33"/>
        <v>W6CBE</v>
      </c>
    </row>
    <row r="248" spans="7:24" ht="13.5" customHeight="1" thickBot="1" x14ac:dyDescent="0.3">
      <c r="G248" s="595"/>
      <c r="H248" s="621"/>
      <c r="I248" s="616" t="s">
        <v>1069</v>
      </c>
      <c r="J248" s="414"/>
      <c r="K248" s="611">
        <v>95</v>
      </c>
      <c r="L248" s="617"/>
      <c r="M248" s="591" t="str">
        <f t="shared" si="31"/>
        <v>W605F</v>
      </c>
      <c r="N248" s="591" t="str">
        <f t="shared" si="33"/>
        <v>W617F</v>
      </c>
      <c r="O248" s="591" t="str">
        <f t="shared" si="33"/>
        <v>W629F</v>
      </c>
      <c r="P248" s="591" t="str">
        <f t="shared" si="33"/>
        <v>W63BF</v>
      </c>
      <c r="Q248" s="591" t="str">
        <f t="shared" si="33"/>
        <v>W64DF</v>
      </c>
      <c r="R248" s="591" t="str">
        <f t="shared" si="33"/>
        <v>W65FF</v>
      </c>
      <c r="S248" s="591" t="str">
        <f t="shared" si="33"/>
        <v>W671F</v>
      </c>
      <c r="T248" s="591" t="str">
        <f t="shared" si="33"/>
        <v>W683F</v>
      </c>
      <c r="U248" s="591" t="str">
        <f t="shared" si="33"/>
        <v>W695F</v>
      </c>
      <c r="V248" s="591" t="str">
        <f t="shared" si="33"/>
        <v>W6A7F</v>
      </c>
      <c r="W248" s="591" t="str">
        <f t="shared" si="33"/>
        <v>W6B9F</v>
      </c>
      <c r="X248" s="591" t="str">
        <f t="shared" si="33"/>
        <v>W6CBF</v>
      </c>
    </row>
    <row r="249" spans="7:24" ht="13.5" customHeight="1" thickTop="1" x14ac:dyDescent="0.25">
      <c r="G249" s="595"/>
      <c r="H249" s="621"/>
      <c r="I249" s="620" t="s">
        <v>1070</v>
      </c>
      <c r="J249" s="464"/>
      <c r="K249" s="572">
        <v>96</v>
      </c>
      <c r="L249" s="613">
        <v>7</v>
      </c>
      <c r="M249" s="574" t="str">
        <f t="shared" si="31"/>
        <v>W6060</v>
      </c>
      <c r="N249" s="574" t="str">
        <f t="shared" si="33"/>
        <v>W6180</v>
      </c>
      <c r="O249" s="574" t="str">
        <f t="shared" si="33"/>
        <v>W62A0</v>
      </c>
      <c r="P249" s="574" t="str">
        <f t="shared" si="33"/>
        <v>W63C0</v>
      </c>
      <c r="Q249" s="574" t="str">
        <f t="shared" si="33"/>
        <v>W64E0</v>
      </c>
      <c r="R249" s="574" t="str">
        <f t="shared" si="33"/>
        <v>W6600</v>
      </c>
      <c r="S249" s="574" t="str">
        <f t="shared" si="33"/>
        <v>W6720</v>
      </c>
      <c r="T249" s="574" t="str">
        <f t="shared" si="33"/>
        <v>W6840</v>
      </c>
      <c r="U249" s="574" t="str">
        <f t="shared" si="33"/>
        <v>W6960</v>
      </c>
      <c r="V249" s="574" t="str">
        <f t="shared" si="33"/>
        <v>W6A80</v>
      </c>
      <c r="W249" s="574" t="str">
        <f t="shared" si="33"/>
        <v>W6BA0</v>
      </c>
      <c r="X249" s="574" t="str">
        <f t="shared" si="33"/>
        <v>W6CC0</v>
      </c>
    </row>
    <row r="250" spans="7:24" ht="13.5" customHeight="1" x14ac:dyDescent="0.25">
      <c r="G250" s="595"/>
      <c r="H250" s="621"/>
      <c r="I250" s="622" t="s">
        <v>1071</v>
      </c>
      <c r="J250" s="470"/>
      <c r="K250" s="578">
        <v>97</v>
      </c>
      <c r="L250" s="614"/>
      <c r="M250" s="580" t="str">
        <f t="shared" si="31"/>
        <v>W6061</v>
      </c>
      <c r="N250" s="580" t="str">
        <f t="shared" si="33"/>
        <v>W6181</v>
      </c>
      <c r="O250" s="580" t="str">
        <f t="shared" si="33"/>
        <v>W62A1</v>
      </c>
      <c r="P250" s="580" t="str">
        <f t="shared" si="33"/>
        <v>W63C1</v>
      </c>
      <c r="Q250" s="580" t="str">
        <f t="shared" si="33"/>
        <v>W64E1</v>
      </c>
      <c r="R250" s="580" t="str">
        <f t="shared" si="33"/>
        <v>W6601</v>
      </c>
      <c r="S250" s="580" t="str">
        <f t="shared" si="33"/>
        <v>W6721</v>
      </c>
      <c r="T250" s="580" t="str">
        <f t="shared" si="33"/>
        <v>W6841</v>
      </c>
      <c r="U250" s="580" t="str">
        <f t="shared" si="33"/>
        <v>W6961</v>
      </c>
      <c r="V250" s="580" t="str">
        <f t="shared" si="33"/>
        <v>W6A81</v>
      </c>
      <c r="W250" s="580" t="str">
        <f t="shared" si="33"/>
        <v>W6BA1</v>
      </c>
      <c r="X250" s="580" t="str">
        <f t="shared" si="33"/>
        <v>W6CC1</v>
      </c>
    </row>
    <row r="251" spans="7:24" ht="13.5" customHeight="1" x14ac:dyDescent="0.25">
      <c r="G251" s="595"/>
      <c r="H251" s="621"/>
      <c r="I251" s="622" t="s">
        <v>1072</v>
      </c>
      <c r="J251" s="470"/>
      <c r="K251" s="578">
        <v>98</v>
      </c>
      <c r="L251" s="614"/>
      <c r="M251" s="580" t="str">
        <f t="shared" si="31"/>
        <v>W6062</v>
      </c>
      <c r="N251" s="580" t="str">
        <f t="shared" ref="N251:X266" si="34">"W"&amp;DEC2HEX(HEX2DEC(SUBSTITUTE(N250,"W",""))+1)</f>
        <v>W6182</v>
      </c>
      <c r="O251" s="580" t="str">
        <f t="shared" si="34"/>
        <v>W62A2</v>
      </c>
      <c r="P251" s="580" t="str">
        <f t="shared" si="34"/>
        <v>W63C2</v>
      </c>
      <c r="Q251" s="580" t="str">
        <f t="shared" si="34"/>
        <v>W64E2</v>
      </c>
      <c r="R251" s="580" t="str">
        <f t="shared" si="34"/>
        <v>W6602</v>
      </c>
      <c r="S251" s="580" t="str">
        <f t="shared" si="34"/>
        <v>W6722</v>
      </c>
      <c r="T251" s="580" t="str">
        <f t="shared" si="34"/>
        <v>W6842</v>
      </c>
      <c r="U251" s="580" t="str">
        <f t="shared" si="34"/>
        <v>W6962</v>
      </c>
      <c r="V251" s="580" t="str">
        <f t="shared" si="34"/>
        <v>W6A82</v>
      </c>
      <c r="W251" s="580" t="str">
        <f t="shared" si="34"/>
        <v>W6BA2</v>
      </c>
      <c r="X251" s="580" t="str">
        <f t="shared" si="34"/>
        <v>W6CC2</v>
      </c>
    </row>
    <row r="252" spans="7:24" ht="13.5" customHeight="1" x14ac:dyDescent="0.25">
      <c r="G252" s="595"/>
      <c r="H252" s="621"/>
      <c r="I252" s="622" t="s">
        <v>1073</v>
      </c>
      <c r="J252" s="470"/>
      <c r="K252" s="578">
        <v>99</v>
      </c>
      <c r="L252" s="614"/>
      <c r="M252" s="580" t="str">
        <f t="shared" si="31"/>
        <v>W6063</v>
      </c>
      <c r="N252" s="580" t="str">
        <f t="shared" si="34"/>
        <v>W6183</v>
      </c>
      <c r="O252" s="580" t="str">
        <f t="shared" si="34"/>
        <v>W62A3</v>
      </c>
      <c r="P252" s="580" t="str">
        <f t="shared" si="34"/>
        <v>W63C3</v>
      </c>
      <c r="Q252" s="580" t="str">
        <f t="shared" si="34"/>
        <v>W64E3</v>
      </c>
      <c r="R252" s="580" t="str">
        <f t="shared" si="34"/>
        <v>W6603</v>
      </c>
      <c r="S252" s="580" t="str">
        <f t="shared" si="34"/>
        <v>W6723</v>
      </c>
      <c r="T252" s="580" t="str">
        <f t="shared" si="34"/>
        <v>W6843</v>
      </c>
      <c r="U252" s="580" t="str">
        <f t="shared" si="34"/>
        <v>W6963</v>
      </c>
      <c r="V252" s="580" t="str">
        <f t="shared" si="34"/>
        <v>W6A83</v>
      </c>
      <c r="W252" s="580" t="str">
        <f t="shared" si="34"/>
        <v>W6BA3</v>
      </c>
      <c r="X252" s="580" t="str">
        <f t="shared" si="34"/>
        <v>W6CC3</v>
      </c>
    </row>
    <row r="253" spans="7:24" ht="13.5" customHeight="1" x14ac:dyDescent="0.25">
      <c r="G253" s="595"/>
      <c r="H253" s="621"/>
      <c r="I253" s="622" t="s">
        <v>1074</v>
      </c>
      <c r="J253" s="470"/>
      <c r="K253" s="578">
        <v>100</v>
      </c>
      <c r="L253" s="614"/>
      <c r="M253" s="580" t="str">
        <f t="shared" si="31"/>
        <v>W6064</v>
      </c>
      <c r="N253" s="580" t="str">
        <f t="shared" si="34"/>
        <v>W6184</v>
      </c>
      <c r="O253" s="580" t="str">
        <f t="shared" si="34"/>
        <v>W62A4</v>
      </c>
      <c r="P253" s="580" t="str">
        <f t="shared" si="34"/>
        <v>W63C4</v>
      </c>
      <c r="Q253" s="580" t="str">
        <f t="shared" si="34"/>
        <v>W64E4</v>
      </c>
      <c r="R253" s="580" t="str">
        <f t="shared" si="34"/>
        <v>W6604</v>
      </c>
      <c r="S253" s="580" t="str">
        <f t="shared" si="34"/>
        <v>W6724</v>
      </c>
      <c r="T253" s="580" t="str">
        <f t="shared" si="34"/>
        <v>W6844</v>
      </c>
      <c r="U253" s="580" t="str">
        <f t="shared" si="34"/>
        <v>W6964</v>
      </c>
      <c r="V253" s="580" t="str">
        <f t="shared" si="34"/>
        <v>W6A84</v>
      </c>
      <c r="W253" s="580" t="str">
        <f t="shared" si="34"/>
        <v>W6BA4</v>
      </c>
      <c r="X253" s="580" t="str">
        <f t="shared" si="34"/>
        <v>W6CC4</v>
      </c>
    </row>
    <row r="254" spans="7:24" ht="13.5" customHeight="1" x14ac:dyDescent="0.25">
      <c r="G254" s="595"/>
      <c r="H254" s="621"/>
      <c r="I254" s="622" t="s">
        <v>1075</v>
      </c>
      <c r="J254" s="470"/>
      <c r="K254" s="578">
        <v>101</v>
      </c>
      <c r="L254" s="614"/>
      <c r="M254" s="580" t="str">
        <f t="shared" si="31"/>
        <v>W6065</v>
      </c>
      <c r="N254" s="580" t="str">
        <f t="shared" si="34"/>
        <v>W6185</v>
      </c>
      <c r="O254" s="580" t="str">
        <f t="shared" si="34"/>
        <v>W62A5</v>
      </c>
      <c r="P254" s="580" t="str">
        <f t="shared" si="34"/>
        <v>W63C5</v>
      </c>
      <c r="Q254" s="580" t="str">
        <f t="shared" si="34"/>
        <v>W64E5</v>
      </c>
      <c r="R254" s="580" t="str">
        <f t="shared" si="34"/>
        <v>W6605</v>
      </c>
      <c r="S254" s="580" t="str">
        <f t="shared" si="34"/>
        <v>W6725</v>
      </c>
      <c r="T254" s="580" t="str">
        <f t="shared" si="34"/>
        <v>W6845</v>
      </c>
      <c r="U254" s="580" t="str">
        <f t="shared" si="34"/>
        <v>W6965</v>
      </c>
      <c r="V254" s="580" t="str">
        <f t="shared" si="34"/>
        <v>W6A85</v>
      </c>
      <c r="W254" s="580" t="str">
        <f t="shared" si="34"/>
        <v>W6BA5</v>
      </c>
      <c r="X254" s="580" t="str">
        <f t="shared" si="34"/>
        <v>W6CC5</v>
      </c>
    </row>
    <row r="255" spans="7:24" ht="13.5" customHeight="1" x14ac:dyDescent="0.25">
      <c r="G255" s="595"/>
      <c r="H255" s="621"/>
      <c r="I255" s="622" t="s">
        <v>1076</v>
      </c>
      <c r="J255" s="470"/>
      <c r="K255" s="578">
        <v>102</v>
      </c>
      <c r="L255" s="614"/>
      <c r="M255" s="580" t="str">
        <f t="shared" si="31"/>
        <v>W6066</v>
      </c>
      <c r="N255" s="580" t="str">
        <f t="shared" si="34"/>
        <v>W6186</v>
      </c>
      <c r="O255" s="580" t="str">
        <f t="shared" si="34"/>
        <v>W62A6</v>
      </c>
      <c r="P255" s="580" t="str">
        <f t="shared" si="34"/>
        <v>W63C6</v>
      </c>
      <c r="Q255" s="580" t="str">
        <f t="shared" si="34"/>
        <v>W64E6</v>
      </c>
      <c r="R255" s="580" t="str">
        <f t="shared" si="34"/>
        <v>W6606</v>
      </c>
      <c r="S255" s="580" t="str">
        <f t="shared" si="34"/>
        <v>W6726</v>
      </c>
      <c r="T255" s="580" t="str">
        <f t="shared" si="34"/>
        <v>W6846</v>
      </c>
      <c r="U255" s="580" t="str">
        <f t="shared" si="34"/>
        <v>W6966</v>
      </c>
      <c r="V255" s="580" t="str">
        <f t="shared" si="34"/>
        <v>W6A86</v>
      </c>
      <c r="W255" s="580" t="str">
        <f t="shared" si="34"/>
        <v>W6BA6</v>
      </c>
      <c r="X255" s="580" t="str">
        <f t="shared" si="34"/>
        <v>W6CC6</v>
      </c>
    </row>
    <row r="256" spans="7:24" ht="13.5" customHeight="1" x14ac:dyDescent="0.25">
      <c r="G256" s="595"/>
      <c r="H256" s="621"/>
      <c r="I256" s="622" t="s">
        <v>1077</v>
      </c>
      <c r="J256" s="470"/>
      <c r="K256" s="578">
        <v>103</v>
      </c>
      <c r="L256" s="614"/>
      <c r="M256" s="580" t="str">
        <f t="shared" si="31"/>
        <v>W6067</v>
      </c>
      <c r="N256" s="580" t="str">
        <f t="shared" si="34"/>
        <v>W6187</v>
      </c>
      <c r="O256" s="580" t="str">
        <f t="shared" si="34"/>
        <v>W62A7</v>
      </c>
      <c r="P256" s="580" t="str">
        <f t="shared" si="34"/>
        <v>W63C7</v>
      </c>
      <c r="Q256" s="580" t="str">
        <f t="shared" si="34"/>
        <v>W64E7</v>
      </c>
      <c r="R256" s="580" t="str">
        <f t="shared" si="34"/>
        <v>W6607</v>
      </c>
      <c r="S256" s="580" t="str">
        <f t="shared" si="34"/>
        <v>W6727</v>
      </c>
      <c r="T256" s="580" t="str">
        <f t="shared" si="34"/>
        <v>W6847</v>
      </c>
      <c r="U256" s="580" t="str">
        <f t="shared" si="34"/>
        <v>W6967</v>
      </c>
      <c r="V256" s="580" t="str">
        <f t="shared" si="34"/>
        <v>W6A87</v>
      </c>
      <c r="W256" s="580" t="str">
        <f t="shared" si="34"/>
        <v>W6BA7</v>
      </c>
      <c r="X256" s="580" t="str">
        <f t="shared" si="34"/>
        <v>W6CC7</v>
      </c>
    </row>
    <row r="257" spans="1:24" ht="13.5" customHeight="1" x14ac:dyDescent="0.25">
      <c r="G257" s="595"/>
      <c r="H257" s="621"/>
      <c r="I257" s="622" t="s">
        <v>1078</v>
      </c>
      <c r="J257" s="470"/>
      <c r="K257" s="578">
        <v>104</v>
      </c>
      <c r="L257" s="614"/>
      <c r="M257" s="580" t="str">
        <f t="shared" si="31"/>
        <v>W6068</v>
      </c>
      <c r="N257" s="580" t="str">
        <f t="shared" si="34"/>
        <v>W6188</v>
      </c>
      <c r="O257" s="580" t="str">
        <f t="shared" si="34"/>
        <v>W62A8</v>
      </c>
      <c r="P257" s="580" t="str">
        <f t="shared" si="34"/>
        <v>W63C8</v>
      </c>
      <c r="Q257" s="580" t="str">
        <f t="shared" si="34"/>
        <v>W64E8</v>
      </c>
      <c r="R257" s="580" t="str">
        <f t="shared" si="34"/>
        <v>W6608</v>
      </c>
      <c r="S257" s="580" t="str">
        <f t="shared" si="34"/>
        <v>W6728</v>
      </c>
      <c r="T257" s="580" t="str">
        <f t="shared" si="34"/>
        <v>W6848</v>
      </c>
      <c r="U257" s="580" t="str">
        <f t="shared" si="34"/>
        <v>W6968</v>
      </c>
      <c r="V257" s="580" t="str">
        <f t="shared" si="34"/>
        <v>W6A88</v>
      </c>
      <c r="W257" s="580" t="str">
        <f t="shared" si="34"/>
        <v>W6BA8</v>
      </c>
      <c r="X257" s="580" t="str">
        <f t="shared" si="34"/>
        <v>W6CC8</v>
      </c>
    </row>
    <row r="258" spans="1:24" ht="13.5" customHeight="1" x14ac:dyDescent="0.25">
      <c r="G258" s="595"/>
      <c r="H258" s="621"/>
      <c r="I258" s="622" t="s">
        <v>1079</v>
      </c>
      <c r="J258" s="470"/>
      <c r="K258" s="578">
        <v>105</v>
      </c>
      <c r="L258" s="614"/>
      <c r="M258" s="580" t="str">
        <f t="shared" si="31"/>
        <v>W6069</v>
      </c>
      <c r="N258" s="580" t="str">
        <f t="shared" si="34"/>
        <v>W6189</v>
      </c>
      <c r="O258" s="580" t="str">
        <f t="shared" si="34"/>
        <v>W62A9</v>
      </c>
      <c r="P258" s="580" t="str">
        <f t="shared" si="34"/>
        <v>W63C9</v>
      </c>
      <c r="Q258" s="580" t="str">
        <f t="shared" si="34"/>
        <v>W64E9</v>
      </c>
      <c r="R258" s="580" t="str">
        <f t="shared" si="34"/>
        <v>W6609</v>
      </c>
      <c r="S258" s="580" t="str">
        <f t="shared" si="34"/>
        <v>W6729</v>
      </c>
      <c r="T258" s="580" t="str">
        <f t="shared" si="34"/>
        <v>W6849</v>
      </c>
      <c r="U258" s="580" t="str">
        <f t="shared" si="34"/>
        <v>W6969</v>
      </c>
      <c r="V258" s="580" t="str">
        <f t="shared" si="34"/>
        <v>W6A89</v>
      </c>
      <c r="W258" s="580" t="str">
        <f t="shared" si="34"/>
        <v>W6BA9</v>
      </c>
      <c r="X258" s="580" t="str">
        <f t="shared" si="34"/>
        <v>W6CC9</v>
      </c>
    </row>
    <row r="259" spans="1:24" ht="13.5" customHeight="1" x14ac:dyDescent="0.25">
      <c r="G259" s="595"/>
      <c r="H259" s="621"/>
      <c r="I259" s="622" t="s">
        <v>1080</v>
      </c>
      <c r="J259" s="470"/>
      <c r="K259" s="578">
        <v>106</v>
      </c>
      <c r="L259" s="614"/>
      <c r="M259" s="580" t="str">
        <f t="shared" si="31"/>
        <v>W606A</v>
      </c>
      <c r="N259" s="580" t="str">
        <f t="shared" si="34"/>
        <v>W618A</v>
      </c>
      <c r="O259" s="580" t="str">
        <f t="shared" si="34"/>
        <v>W62AA</v>
      </c>
      <c r="P259" s="580" t="str">
        <f t="shared" si="34"/>
        <v>W63CA</v>
      </c>
      <c r="Q259" s="580" t="str">
        <f t="shared" si="34"/>
        <v>W64EA</v>
      </c>
      <c r="R259" s="580" t="str">
        <f t="shared" si="34"/>
        <v>W660A</v>
      </c>
      <c r="S259" s="580" t="str">
        <f t="shared" si="34"/>
        <v>W672A</v>
      </c>
      <c r="T259" s="580" t="str">
        <f t="shared" si="34"/>
        <v>W684A</v>
      </c>
      <c r="U259" s="580" t="str">
        <f t="shared" si="34"/>
        <v>W696A</v>
      </c>
      <c r="V259" s="580" t="str">
        <f t="shared" si="34"/>
        <v>W6A8A</v>
      </c>
      <c r="W259" s="580" t="str">
        <f t="shared" si="34"/>
        <v>W6BAA</v>
      </c>
      <c r="X259" s="580" t="str">
        <f t="shared" si="34"/>
        <v>W6CCA</v>
      </c>
    </row>
    <row r="260" spans="1:24" ht="13.5" customHeight="1" x14ac:dyDescent="0.25">
      <c r="G260" s="595"/>
      <c r="H260" s="621"/>
      <c r="I260" s="622" t="s">
        <v>1081</v>
      </c>
      <c r="J260" s="470"/>
      <c r="K260" s="578">
        <v>107</v>
      </c>
      <c r="L260" s="614"/>
      <c r="M260" s="580" t="str">
        <f t="shared" si="31"/>
        <v>W606B</v>
      </c>
      <c r="N260" s="580" t="str">
        <f t="shared" si="34"/>
        <v>W618B</v>
      </c>
      <c r="O260" s="580" t="str">
        <f t="shared" si="34"/>
        <v>W62AB</v>
      </c>
      <c r="P260" s="580" t="str">
        <f t="shared" si="34"/>
        <v>W63CB</v>
      </c>
      <c r="Q260" s="580" t="str">
        <f t="shared" si="34"/>
        <v>W64EB</v>
      </c>
      <c r="R260" s="580" t="str">
        <f t="shared" si="34"/>
        <v>W660B</v>
      </c>
      <c r="S260" s="580" t="str">
        <f t="shared" si="34"/>
        <v>W672B</v>
      </c>
      <c r="T260" s="580" t="str">
        <f t="shared" si="34"/>
        <v>W684B</v>
      </c>
      <c r="U260" s="580" t="str">
        <f t="shared" si="34"/>
        <v>W696B</v>
      </c>
      <c r="V260" s="580" t="str">
        <f t="shared" si="34"/>
        <v>W6A8B</v>
      </c>
      <c r="W260" s="580" t="str">
        <f t="shared" si="34"/>
        <v>W6BAB</v>
      </c>
      <c r="X260" s="580" t="str">
        <f t="shared" si="34"/>
        <v>W6CCB</v>
      </c>
    </row>
    <row r="261" spans="1:24" ht="13.5" customHeight="1" x14ac:dyDescent="0.25">
      <c r="G261" s="595"/>
      <c r="H261" s="621"/>
      <c r="I261" s="622" t="s">
        <v>1082</v>
      </c>
      <c r="J261" s="470"/>
      <c r="K261" s="578">
        <v>108</v>
      </c>
      <c r="L261" s="614"/>
      <c r="M261" s="580" t="str">
        <f t="shared" si="31"/>
        <v>W606C</v>
      </c>
      <c r="N261" s="580" t="str">
        <f t="shared" si="34"/>
        <v>W618C</v>
      </c>
      <c r="O261" s="580" t="str">
        <f t="shared" si="34"/>
        <v>W62AC</v>
      </c>
      <c r="P261" s="580" t="str">
        <f t="shared" si="34"/>
        <v>W63CC</v>
      </c>
      <c r="Q261" s="580" t="str">
        <f t="shared" si="34"/>
        <v>W64EC</v>
      </c>
      <c r="R261" s="580" t="str">
        <f t="shared" si="34"/>
        <v>W660C</v>
      </c>
      <c r="S261" s="580" t="str">
        <f t="shared" si="34"/>
        <v>W672C</v>
      </c>
      <c r="T261" s="580" t="str">
        <f t="shared" si="34"/>
        <v>W684C</v>
      </c>
      <c r="U261" s="580" t="str">
        <f t="shared" si="34"/>
        <v>W696C</v>
      </c>
      <c r="V261" s="580" t="str">
        <f t="shared" si="34"/>
        <v>W6A8C</v>
      </c>
      <c r="W261" s="580" t="str">
        <f t="shared" si="34"/>
        <v>W6BAC</v>
      </c>
      <c r="X261" s="580" t="str">
        <f t="shared" si="34"/>
        <v>W6CCC</v>
      </c>
    </row>
    <row r="262" spans="1:24" ht="13.5" customHeight="1" x14ac:dyDescent="0.25">
      <c r="G262" s="595"/>
      <c r="H262" s="621"/>
      <c r="I262" s="622" t="s">
        <v>1083</v>
      </c>
      <c r="J262" s="470"/>
      <c r="K262" s="578">
        <v>109</v>
      </c>
      <c r="L262" s="614"/>
      <c r="M262" s="580" t="str">
        <f t="shared" si="31"/>
        <v>W606D</v>
      </c>
      <c r="N262" s="580" t="str">
        <f t="shared" si="34"/>
        <v>W618D</v>
      </c>
      <c r="O262" s="580" t="str">
        <f t="shared" si="34"/>
        <v>W62AD</v>
      </c>
      <c r="P262" s="580" t="str">
        <f t="shared" si="34"/>
        <v>W63CD</v>
      </c>
      <c r="Q262" s="580" t="str">
        <f t="shared" si="34"/>
        <v>W64ED</v>
      </c>
      <c r="R262" s="580" t="str">
        <f t="shared" si="34"/>
        <v>W660D</v>
      </c>
      <c r="S262" s="580" t="str">
        <f t="shared" si="34"/>
        <v>W672D</v>
      </c>
      <c r="T262" s="580" t="str">
        <f t="shared" si="34"/>
        <v>W684D</v>
      </c>
      <c r="U262" s="580" t="str">
        <f t="shared" si="34"/>
        <v>W696D</v>
      </c>
      <c r="V262" s="580" t="str">
        <f t="shared" si="34"/>
        <v>W6A8D</v>
      </c>
      <c r="W262" s="580" t="str">
        <f t="shared" si="34"/>
        <v>W6BAD</v>
      </c>
      <c r="X262" s="580" t="str">
        <f t="shared" si="34"/>
        <v>W6CCD</v>
      </c>
    </row>
    <row r="263" spans="1:24" ht="13.5" customHeight="1" thickBot="1" x14ac:dyDescent="0.3">
      <c r="G263" s="595"/>
      <c r="H263" s="621"/>
      <c r="I263" s="622" t="s">
        <v>1084</v>
      </c>
      <c r="J263" s="470"/>
      <c r="K263" s="578">
        <v>110</v>
      </c>
      <c r="L263" s="614"/>
      <c r="M263" s="580" t="str">
        <f t="shared" si="31"/>
        <v>W606E</v>
      </c>
      <c r="N263" s="580" t="str">
        <f t="shared" si="34"/>
        <v>W618E</v>
      </c>
      <c r="O263" s="580" t="str">
        <f t="shared" si="34"/>
        <v>W62AE</v>
      </c>
      <c r="P263" s="580" t="str">
        <f t="shared" si="34"/>
        <v>W63CE</v>
      </c>
      <c r="Q263" s="580" t="str">
        <f t="shared" si="34"/>
        <v>W64EE</v>
      </c>
      <c r="R263" s="580" t="str">
        <f t="shared" si="34"/>
        <v>W660E</v>
      </c>
      <c r="S263" s="580" t="str">
        <f t="shared" si="34"/>
        <v>W672E</v>
      </c>
      <c r="T263" s="580" t="str">
        <f t="shared" si="34"/>
        <v>W684E</v>
      </c>
      <c r="U263" s="580" t="str">
        <f t="shared" si="34"/>
        <v>W696E</v>
      </c>
      <c r="V263" s="580" t="str">
        <f t="shared" si="34"/>
        <v>W6A8E</v>
      </c>
      <c r="W263" s="580" t="str">
        <f t="shared" si="34"/>
        <v>W6BAE</v>
      </c>
      <c r="X263" s="580" t="str">
        <f t="shared" si="34"/>
        <v>W6CCE</v>
      </c>
    </row>
    <row r="264" spans="1:24" ht="13.5" customHeight="1" thickBot="1" x14ac:dyDescent="0.3">
      <c r="A264" s="563" t="s">
        <v>196</v>
      </c>
      <c r="B264" s="585" t="s">
        <v>878</v>
      </c>
      <c r="C264" s="507"/>
      <c r="D264" s="508" t="s">
        <v>879</v>
      </c>
      <c r="E264" s="586"/>
      <c r="F264" s="586"/>
      <c r="G264" s="595"/>
      <c r="H264" s="621"/>
      <c r="I264" s="616" t="s">
        <v>1085</v>
      </c>
      <c r="J264" s="490"/>
      <c r="K264" s="611">
        <v>111</v>
      </c>
      <c r="L264" s="617"/>
      <c r="M264" s="591" t="str">
        <f t="shared" si="31"/>
        <v>W606F</v>
      </c>
      <c r="N264" s="591" t="str">
        <f t="shared" si="34"/>
        <v>W618F</v>
      </c>
      <c r="O264" s="591" t="str">
        <f t="shared" si="34"/>
        <v>W62AF</v>
      </c>
      <c r="P264" s="591" t="str">
        <f t="shared" si="34"/>
        <v>W63CF</v>
      </c>
      <c r="Q264" s="591" t="str">
        <f t="shared" si="34"/>
        <v>W64EF</v>
      </c>
      <c r="R264" s="591" t="str">
        <f t="shared" si="34"/>
        <v>W660F</v>
      </c>
      <c r="S264" s="591" t="str">
        <f t="shared" si="34"/>
        <v>W672F</v>
      </c>
      <c r="T264" s="591" t="str">
        <f t="shared" si="34"/>
        <v>W684F</v>
      </c>
      <c r="U264" s="591" t="str">
        <f t="shared" si="34"/>
        <v>W696F</v>
      </c>
      <c r="V264" s="591" t="str">
        <f t="shared" si="34"/>
        <v>W6A8F</v>
      </c>
      <c r="W264" s="591" t="str">
        <f t="shared" si="34"/>
        <v>W6BAF</v>
      </c>
      <c r="X264" s="591" t="str">
        <f t="shared" si="34"/>
        <v>W6CCF</v>
      </c>
    </row>
    <row r="265" spans="1:24" ht="13.5" customHeight="1" thickTop="1" x14ac:dyDescent="0.25">
      <c r="A265" s="592" t="s">
        <v>1049</v>
      </c>
      <c r="B265" s="623" t="s">
        <v>1086</v>
      </c>
      <c r="C265" s="624" t="s">
        <v>889</v>
      </c>
      <c r="D265" s="625" t="s">
        <v>1087</v>
      </c>
      <c r="E265" s="609"/>
      <c r="F265" s="609"/>
      <c r="G265" s="595"/>
      <c r="H265" s="621"/>
      <c r="I265" s="620" t="s">
        <v>1088</v>
      </c>
      <c r="J265" s="464"/>
      <c r="K265" s="572">
        <v>112</v>
      </c>
      <c r="L265" s="613">
        <v>8</v>
      </c>
      <c r="M265" s="574" t="str">
        <f t="shared" si="31"/>
        <v>W6070</v>
      </c>
      <c r="N265" s="574" t="str">
        <f t="shared" si="34"/>
        <v>W6190</v>
      </c>
      <c r="O265" s="574" t="str">
        <f t="shared" si="34"/>
        <v>W62B0</v>
      </c>
      <c r="P265" s="574" t="str">
        <f t="shared" si="34"/>
        <v>W63D0</v>
      </c>
      <c r="Q265" s="574" t="str">
        <f t="shared" si="34"/>
        <v>W64F0</v>
      </c>
      <c r="R265" s="574" t="str">
        <f t="shared" si="34"/>
        <v>W6610</v>
      </c>
      <c r="S265" s="574" t="str">
        <f t="shared" si="34"/>
        <v>W6730</v>
      </c>
      <c r="T265" s="574" t="str">
        <f t="shared" si="34"/>
        <v>W6850</v>
      </c>
      <c r="U265" s="574" t="str">
        <f t="shared" si="34"/>
        <v>W6970</v>
      </c>
      <c r="V265" s="574" t="str">
        <f t="shared" si="34"/>
        <v>W6A90</v>
      </c>
      <c r="W265" s="574" t="str">
        <f t="shared" si="34"/>
        <v>W6BB0</v>
      </c>
      <c r="X265" s="574" t="str">
        <f t="shared" si="34"/>
        <v>W6CD0</v>
      </c>
    </row>
    <row r="266" spans="1:24" ht="13.5" customHeight="1" x14ac:dyDescent="0.25">
      <c r="A266" s="592" t="s">
        <v>1049</v>
      </c>
      <c r="B266" s="633" t="s">
        <v>1089</v>
      </c>
      <c r="C266" s="634" t="s">
        <v>889</v>
      </c>
      <c r="D266" s="635" t="s">
        <v>1090</v>
      </c>
      <c r="E266" s="609"/>
      <c r="F266" s="609"/>
      <c r="G266" s="595"/>
      <c r="H266" s="621"/>
      <c r="I266" s="622" t="s">
        <v>1091</v>
      </c>
      <c r="J266" s="470"/>
      <c r="K266" s="578">
        <v>113</v>
      </c>
      <c r="L266" s="614"/>
      <c r="M266" s="580" t="str">
        <f t="shared" si="31"/>
        <v>W6071</v>
      </c>
      <c r="N266" s="580" t="str">
        <f t="shared" si="34"/>
        <v>W6191</v>
      </c>
      <c r="O266" s="580" t="str">
        <f t="shared" si="34"/>
        <v>W62B1</v>
      </c>
      <c r="P266" s="580" t="str">
        <f t="shared" si="34"/>
        <v>W63D1</v>
      </c>
      <c r="Q266" s="580" t="str">
        <f t="shared" si="34"/>
        <v>W64F1</v>
      </c>
      <c r="R266" s="580" t="str">
        <f t="shared" si="34"/>
        <v>W6611</v>
      </c>
      <c r="S266" s="580" t="str">
        <f t="shared" si="34"/>
        <v>W6731</v>
      </c>
      <c r="T266" s="580" t="str">
        <f t="shared" si="34"/>
        <v>W6851</v>
      </c>
      <c r="U266" s="580" t="str">
        <f t="shared" si="34"/>
        <v>W6971</v>
      </c>
      <c r="V266" s="580" t="str">
        <f t="shared" si="34"/>
        <v>W6A91</v>
      </c>
      <c r="W266" s="580" t="str">
        <f t="shared" si="34"/>
        <v>W6BB1</v>
      </c>
      <c r="X266" s="580" t="str">
        <f t="shared" si="34"/>
        <v>W6CD1</v>
      </c>
    </row>
    <row r="267" spans="1:24" ht="13.5" customHeight="1" x14ac:dyDescent="0.25">
      <c r="A267" s="592" t="s">
        <v>1049</v>
      </c>
      <c r="B267" s="626" t="s">
        <v>1092</v>
      </c>
      <c r="C267" s="627" t="s">
        <v>889</v>
      </c>
      <c r="D267" s="635" t="s">
        <v>1092</v>
      </c>
      <c r="E267" s="609"/>
      <c r="F267" s="609"/>
      <c r="G267" s="595"/>
      <c r="H267" s="621"/>
      <c r="I267" s="622" t="s">
        <v>1093</v>
      </c>
      <c r="J267" s="470"/>
      <c r="K267" s="578">
        <v>114</v>
      </c>
      <c r="L267" s="614"/>
      <c r="M267" s="580" t="str">
        <f t="shared" si="31"/>
        <v>W6072</v>
      </c>
      <c r="N267" s="580" t="str">
        <f t="shared" ref="N267:X282" si="35">"W"&amp;DEC2HEX(HEX2DEC(SUBSTITUTE(N266,"W",""))+1)</f>
        <v>W6192</v>
      </c>
      <c r="O267" s="580" t="str">
        <f t="shared" si="35"/>
        <v>W62B2</v>
      </c>
      <c r="P267" s="580" t="str">
        <f t="shared" si="35"/>
        <v>W63D2</v>
      </c>
      <c r="Q267" s="580" t="str">
        <f t="shared" si="35"/>
        <v>W64F2</v>
      </c>
      <c r="R267" s="580" t="str">
        <f t="shared" si="35"/>
        <v>W6612</v>
      </c>
      <c r="S267" s="580" t="str">
        <f t="shared" si="35"/>
        <v>W6732</v>
      </c>
      <c r="T267" s="580" t="str">
        <f t="shared" si="35"/>
        <v>W6852</v>
      </c>
      <c r="U267" s="580" t="str">
        <f t="shared" si="35"/>
        <v>W6972</v>
      </c>
      <c r="V267" s="580" t="str">
        <f t="shared" si="35"/>
        <v>W6A92</v>
      </c>
      <c r="W267" s="580" t="str">
        <f t="shared" si="35"/>
        <v>W6BB2</v>
      </c>
      <c r="X267" s="580" t="str">
        <f t="shared" si="35"/>
        <v>W6CD2</v>
      </c>
    </row>
    <row r="268" spans="1:24" ht="13.5" customHeight="1" x14ac:dyDescent="0.25">
      <c r="A268" s="605"/>
      <c r="B268" s="606" t="s">
        <v>888</v>
      </c>
      <c r="C268" s="530" t="s">
        <v>889</v>
      </c>
      <c r="D268" s="607"/>
      <c r="E268" s="594"/>
      <c r="F268" s="594"/>
      <c r="G268" s="595"/>
      <c r="H268" s="621"/>
      <c r="I268" s="622" t="s">
        <v>1094</v>
      </c>
      <c r="J268" s="470"/>
      <c r="K268" s="578">
        <v>115</v>
      </c>
      <c r="L268" s="614"/>
      <c r="M268" s="580" t="str">
        <f t="shared" si="31"/>
        <v>W6073</v>
      </c>
      <c r="N268" s="580" t="str">
        <f t="shared" si="35"/>
        <v>W6193</v>
      </c>
      <c r="O268" s="580" t="str">
        <f t="shared" si="35"/>
        <v>W62B3</v>
      </c>
      <c r="P268" s="580" t="str">
        <f t="shared" si="35"/>
        <v>W63D3</v>
      </c>
      <c r="Q268" s="580" t="str">
        <f t="shared" si="35"/>
        <v>W64F3</v>
      </c>
      <c r="R268" s="580" t="str">
        <f t="shared" si="35"/>
        <v>W6613</v>
      </c>
      <c r="S268" s="580" t="str">
        <f t="shared" si="35"/>
        <v>W6733</v>
      </c>
      <c r="T268" s="580" t="str">
        <f t="shared" si="35"/>
        <v>W6853</v>
      </c>
      <c r="U268" s="580" t="str">
        <f t="shared" si="35"/>
        <v>W6973</v>
      </c>
      <c r="V268" s="580" t="str">
        <f t="shared" si="35"/>
        <v>W6A93</v>
      </c>
      <c r="W268" s="580" t="str">
        <f t="shared" si="35"/>
        <v>W6BB3</v>
      </c>
      <c r="X268" s="580" t="str">
        <f t="shared" si="35"/>
        <v>W6CD3</v>
      </c>
    </row>
    <row r="269" spans="1:24" ht="13.5" customHeight="1" x14ac:dyDescent="0.25">
      <c r="A269" s="605"/>
      <c r="B269" s="606" t="s">
        <v>888</v>
      </c>
      <c r="C269" s="530" t="s">
        <v>889</v>
      </c>
      <c r="D269" s="607"/>
      <c r="E269" s="594"/>
      <c r="F269" s="594"/>
      <c r="G269" s="595"/>
      <c r="H269" s="621"/>
      <c r="I269" s="622" t="s">
        <v>1095</v>
      </c>
      <c r="J269" s="470"/>
      <c r="K269" s="578">
        <v>116</v>
      </c>
      <c r="L269" s="614"/>
      <c r="M269" s="580" t="str">
        <f t="shared" si="31"/>
        <v>W6074</v>
      </c>
      <c r="N269" s="580" t="str">
        <f t="shared" si="35"/>
        <v>W6194</v>
      </c>
      <c r="O269" s="580" t="str">
        <f t="shared" si="35"/>
        <v>W62B4</v>
      </c>
      <c r="P269" s="580" t="str">
        <f t="shared" si="35"/>
        <v>W63D4</v>
      </c>
      <c r="Q269" s="580" t="str">
        <f t="shared" si="35"/>
        <v>W64F4</v>
      </c>
      <c r="R269" s="580" t="str">
        <f t="shared" si="35"/>
        <v>W6614</v>
      </c>
      <c r="S269" s="580" t="str">
        <f t="shared" si="35"/>
        <v>W6734</v>
      </c>
      <c r="T269" s="580" t="str">
        <f t="shared" si="35"/>
        <v>W6854</v>
      </c>
      <c r="U269" s="580" t="str">
        <f t="shared" si="35"/>
        <v>W6974</v>
      </c>
      <c r="V269" s="580" t="str">
        <f t="shared" si="35"/>
        <v>W6A94</v>
      </c>
      <c r="W269" s="580" t="str">
        <f t="shared" si="35"/>
        <v>W6BB4</v>
      </c>
      <c r="X269" s="580" t="str">
        <f t="shared" si="35"/>
        <v>W6CD4</v>
      </c>
    </row>
    <row r="270" spans="1:24" ht="13.5" customHeight="1" x14ac:dyDescent="0.25">
      <c r="A270" s="592" t="s">
        <v>1049</v>
      </c>
      <c r="B270" s="598" t="s">
        <v>1096</v>
      </c>
      <c r="C270" s="519" t="s">
        <v>889</v>
      </c>
      <c r="D270" s="636" t="s">
        <v>1097</v>
      </c>
      <c r="E270" s="594"/>
      <c r="F270" s="594"/>
      <c r="G270" s="595"/>
      <c r="H270" s="621"/>
      <c r="I270" s="622" t="s">
        <v>1098</v>
      </c>
      <c r="J270" s="470"/>
      <c r="K270" s="578">
        <v>117</v>
      </c>
      <c r="L270" s="614"/>
      <c r="M270" s="580" t="str">
        <f t="shared" si="31"/>
        <v>W6075</v>
      </c>
      <c r="N270" s="580" t="str">
        <f t="shared" si="35"/>
        <v>W6195</v>
      </c>
      <c r="O270" s="580" t="str">
        <f t="shared" si="35"/>
        <v>W62B5</v>
      </c>
      <c r="P270" s="580" t="str">
        <f t="shared" si="35"/>
        <v>W63D5</v>
      </c>
      <c r="Q270" s="580" t="str">
        <f t="shared" si="35"/>
        <v>W64F5</v>
      </c>
      <c r="R270" s="580" t="str">
        <f t="shared" si="35"/>
        <v>W6615</v>
      </c>
      <c r="S270" s="580" t="str">
        <f t="shared" si="35"/>
        <v>W6735</v>
      </c>
      <c r="T270" s="580" t="str">
        <f t="shared" si="35"/>
        <v>W6855</v>
      </c>
      <c r="U270" s="580" t="str">
        <f t="shared" si="35"/>
        <v>W6975</v>
      </c>
      <c r="V270" s="580" t="str">
        <f t="shared" si="35"/>
        <v>W6A95</v>
      </c>
      <c r="W270" s="580" t="str">
        <f t="shared" si="35"/>
        <v>W6BB5</v>
      </c>
      <c r="X270" s="580" t="str">
        <f t="shared" si="35"/>
        <v>W6CD5</v>
      </c>
    </row>
    <row r="271" spans="1:24" ht="13.5" customHeight="1" x14ac:dyDescent="0.25">
      <c r="A271" s="605"/>
      <c r="B271" s="606" t="s">
        <v>1099</v>
      </c>
      <c r="C271" s="530" t="s">
        <v>889</v>
      </c>
      <c r="D271" s="607"/>
      <c r="E271" s="609"/>
      <c r="F271" s="609"/>
      <c r="G271" s="595"/>
      <c r="H271" s="621"/>
      <c r="I271" s="622" t="s">
        <v>1100</v>
      </c>
      <c r="J271" s="470"/>
      <c r="K271" s="578">
        <v>118</v>
      </c>
      <c r="L271" s="614"/>
      <c r="M271" s="580" t="str">
        <f t="shared" si="31"/>
        <v>W6076</v>
      </c>
      <c r="N271" s="580" t="str">
        <f t="shared" si="35"/>
        <v>W6196</v>
      </c>
      <c r="O271" s="580" t="str">
        <f t="shared" si="35"/>
        <v>W62B6</v>
      </c>
      <c r="P271" s="580" t="str">
        <f t="shared" si="35"/>
        <v>W63D6</v>
      </c>
      <c r="Q271" s="580" t="str">
        <f t="shared" si="35"/>
        <v>W64F6</v>
      </c>
      <c r="R271" s="580" t="str">
        <f t="shared" si="35"/>
        <v>W6616</v>
      </c>
      <c r="S271" s="580" t="str">
        <f t="shared" si="35"/>
        <v>W6736</v>
      </c>
      <c r="T271" s="580" t="str">
        <f t="shared" si="35"/>
        <v>W6856</v>
      </c>
      <c r="U271" s="580" t="str">
        <f t="shared" si="35"/>
        <v>W6976</v>
      </c>
      <c r="V271" s="580" t="str">
        <f t="shared" si="35"/>
        <v>W6A96</v>
      </c>
      <c r="W271" s="580" t="str">
        <f t="shared" si="35"/>
        <v>W6BB6</v>
      </c>
      <c r="X271" s="580" t="str">
        <f t="shared" si="35"/>
        <v>W6CD6</v>
      </c>
    </row>
    <row r="272" spans="1:24" ht="13.5" customHeight="1" x14ac:dyDescent="0.25">
      <c r="A272" s="605"/>
      <c r="B272" s="606" t="s">
        <v>888</v>
      </c>
      <c r="C272" s="530" t="s">
        <v>889</v>
      </c>
      <c r="D272" s="607"/>
      <c r="E272" s="609"/>
      <c r="F272" s="609"/>
      <c r="G272" s="595"/>
      <c r="H272" s="621"/>
      <c r="I272" s="622" t="s">
        <v>1101</v>
      </c>
      <c r="J272" s="470"/>
      <c r="K272" s="578">
        <v>119</v>
      </c>
      <c r="L272" s="614"/>
      <c r="M272" s="580" t="str">
        <f t="shared" si="31"/>
        <v>W6077</v>
      </c>
      <c r="N272" s="580" t="str">
        <f t="shared" si="35"/>
        <v>W6197</v>
      </c>
      <c r="O272" s="580" t="str">
        <f t="shared" si="35"/>
        <v>W62B7</v>
      </c>
      <c r="P272" s="580" t="str">
        <f t="shared" si="35"/>
        <v>W63D7</v>
      </c>
      <c r="Q272" s="580" t="str">
        <f t="shared" si="35"/>
        <v>W64F7</v>
      </c>
      <c r="R272" s="580" t="str">
        <f t="shared" si="35"/>
        <v>W6617</v>
      </c>
      <c r="S272" s="580" t="str">
        <f t="shared" si="35"/>
        <v>W6737</v>
      </c>
      <c r="T272" s="580" t="str">
        <f t="shared" si="35"/>
        <v>W6857</v>
      </c>
      <c r="U272" s="580" t="str">
        <f t="shared" si="35"/>
        <v>W6977</v>
      </c>
      <c r="V272" s="580" t="str">
        <f t="shared" si="35"/>
        <v>W6A97</v>
      </c>
      <c r="W272" s="580" t="str">
        <f t="shared" si="35"/>
        <v>W6BB7</v>
      </c>
      <c r="X272" s="580" t="str">
        <f t="shared" si="35"/>
        <v>W6CD7</v>
      </c>
    </row>
    <row r="273" spans="1:24" ht="13.5" customHeight="1" x14ac:dyDescent="0.25">
      <c r="A273" s="605"/>
      <c r="B273" s="606" t="s">
        <v>888</v>
      </c>
      <c r="C273" s="530" t="s">
        <v>889</v>
      </c>
      <c r="D273" s="607"/>
      <c r="E273" s="637"/>
      <c r="F273" s="637"/>
      <c r="G273" s="595"/>
      <c r="H273" s="621"/>
      <c r="I273" s="622" t="s">
        <v>1102</v>
      </c>
      <c r="J273" s="470"/>
      <c r="K273" s="578">
        <v>120</v>
      </c>
      <c r="L273" s="614"/>
      <c r="M273" s="580" t="str">
        <f t="shared" si="31"/>
        <v>W6078</v>
      </c>
      <c r="N273" s="580" t="str">
        <f t="shared" si="35"/>
        <v>W6198</v>
      </c>
      <c r="O273" s="580" t="str">
        <f t="shared" si="35"/>
        <v>W62B8</v>
      </c>
      <c r="P273" s="580" t="str">
        <f t="shared" si="35"/>
        <v>W63D8</v>
      </c>
      <c r="Q273" s="580" t="str">
        <f t="shared" si="35"/>
        <v>W64F8</v>
      </c>
      <c r="R273" s="580" t="str">
        <f t="shared" si="35"/>
        <v>W6618</v>
      </c>
      <c r="S273" s="580" t="str">
        <f t="shared" si="35"/>
        <v>W6738</v>
      </c>
      <c r="T273" s="580" t="str">
        <f t="shared" si="35"/>
        <v>W6858</v>
      </c>
      <c r="U273" s="580" t="str">
        <f t="shared" si="35"/>
        <v>W6978</v>
      </c>
      <c r="V273" s="580" t="str">
        <f t="shared" si="35"/>
        <v>W6A98</v>
      </c>
      <c r="W273" s="580" t="str">
        <f t="shared" si="35"/>
        <v>W6BB8</v>
      </c>
      <c r="X273" s="580" t="str">
        <f t="shared" si="35"/>
        <v>W6CD8</v>
      </c>
    </row>
    <row r="274" spans="1:24" ht="13.5" customHeight="1" x14ac:dyDescent="0.25">
      <c r="A274" s="605"/>
      <c r="B274" s="606" t="s">
        <v>888</v>
      </c>
      <c r="C274" s="530" t="s">
        <v>889</v>
      </c>
      <c r="D274" s="607"/>
      <c r="E274" s="594"/>
      <c r="F274" s="594"/>
      <c r="G274" s="595"/>
      <c r="H274" s="621"/>
      <c r="I274" s="622" t="s">
        <v>1103</v>
      </c>
      <c r="J274" s="470"/>
      <c r="K274" s="578">
        <v>121</v>
      </c>
      <c r="L274" s="614"/>
      <c r="M274" s="580" t="str">
        <f t="shared" si="31"/>
        <v>W6079</v>
      </c>
      <c r="N274" s="580" t="str">
        <f t="shared" si="35"/>
        <v>W6199</v>
      </c>
      <c r="O274" s="580" t="str">
        <f t="shared" si="35"/>
        <v>W62B9</v>
      </c>
      <c r="P274" s="580" t="str">
        <f t="shared" si="35"/>
        <v>W63D9</v>
      </c>
      <c r="Q274" s="580" t="str">
        <f t="shared" si="35"/>
        <v>W64F9</v>
      </c>
      <c r="R274" s="580" t="str">
        <f t="shared" si="35"/>
        <v>W6619</v>
      </c>
      <c r="S274" s="580" t="str">
        <f t="shared" si="35"/>
        <v>W6739</v>
      </c>
      <c r="T274" s="580" t="str">
        <f t="shared" si="35"/>
        <v>W6859</v>
      </c>
      <c r="U274" s="580" t="str">
        <f t="shared" si="35"/>
        <v>W6979</v>
      </c>
      <c r="V274" s="580" t="str">
        <f t="shared" si="35"/>
        <v>W6A99</v>
      </c>
      <c r="W274" s="580" t="str">
        <f t="shared" si="35"/>
        <v>W6BB9</v>
      </c>
      <c r="X274" s="580" t="str">
        <f t="shared" si="35"/>
        <v>W6CD9</v>
      </c>
    </row>
    <row r="275" spans="1:24" ht="13.5" customHeight="1" x14ac:dyDescent="0.25">
      <c r="A275" s="605"/>
      <c r="B275" s="606" t="s">
        <v>888</v>
      </c>
      <c r="C275" s="530" t="s">
        <v>889</v>
      </c>
      <c r="D275" s="531"/>
      <c r="E275" s="609"/>
      <c r="F275" s="609"/>
      <c r="G275" s="581"/>
      <c r="H275" s="621"/>
      <c r="I275" s="582" t="s">
        <v>742</v>
      </c>
      <c r="J275" s="470"/>
      <c r="K275" s="578">
        <v>122</v>
      </c>
      <c r="L275" s="614"/>
      <c r="M275" s="580" t="str">
        <f t="shared" si="31"/>
        <v>W607A</v>
      </c>
      <c r="N275" s="580" t="str">
        <f t="shared" si="35"/>
        <v>W619A</v>
      </c>
      <c r="O275" s="580" t="str">
        <f t="shared" si="35"/>
        <v>W62BA</v>
      </c>
      <c r="P275" s="580" t="str">
        <f t="shared" si="35"/>
        <v>W63DA</v>
      </c>
      <c r="Q275" s="580" t="str">
        <f t="shared" si="35"/>
        <v>W64FA</v>
      </c>
      <c r="R275" s="580" t="str">
        <f t="shared" si="35"/>
        <v>W661A</v>
      </c>
      <c r="S275" s="580" t="str">
        <f t="shared" si="35"/>
        <v>W673A</v>
      </c>
      <c r="T275" s="580" t="str">
        <f t="shared" si="35"/>
        <v>W685A</v>
      </c>
      <c r="U275" s="580" t="str">
        <f t="shared" si="35"/>
        <v>W697A</v>
      </c>
      <c r="V275" s="580" t="str">
        <f t="shared" si="35"/>
        <v>W6A9A</v>
      </c>
      <c r="W275" s="580" t="str">
        <f t="shared" si="35"/>
        <v>W6BBA</v>
      </c>
      <c r="X275" s="580" t="str">
        <f t="shared" si="35"/>
        <v>W6CDA</v>
      </c>
    </row>
    <row r="276" spans="1:24" ht="13.5" customHeight="1" x14ac:dyDescent="0.25">
      <c r="A276" s="605"/>
      <c r="B276" s="606" t="s">
        <v>888</v>
      </c>
      <c r="C276" s="530" t="s">
        <v>889</v>
      </c>
      <c r="D276" s="531"/>
      <c r="E276" s="609"/>
      <c r="F276" s="609"/>
      <c r="G276" s="581"/>
      <c r="H276" s="621"/>
      <c r="I276" s="582" t="s">
        <v>742</v>
      </c>
      <c r="J276" s="470"/>
      <c r="K276" s="578">
        <v>123</v>
      </c>
      <c r="L276" s="614"/>
      <c r="M276" s="580" t="str">
        <f t="shared" si="31"/>
        <v>W607B</v>
      </c>
      <c r="N276" s="580" t="str">
        <f t="shared" si="35"/>
        <v>W619B</v>
      </c>
      <c r="O276" s="580" t="str">
        <f t="shared" si="35"/>
        <v>W62BB</v>
      </c>
      <c r="P276" s="580" t="str">
        <f t="shared" si="35"/>
        <v>W63DB</v>
      </c>
      <c r="Q276" s="580" t="str">
        <f t="shared" si="35"/>
        <v>W64FB</v>
      </c>
      <c r="R276" s="580" t="str">
        <f t="shared" si="35"/>
        <v>W661B</v>
      </c>
      <c r="S276" s="580" t="str">
        <f t="shared" si="35"/>
        <v>W673B</v>
      </c>
      <c r="T276" s="580" t="str">
        <f t="shared" si="35"/>
        <v>W685B</v>
      </c>
      <c r="U276" s="580" t="str">
        <f t="shared" si="35"/>
        <v>W697B</v>
      </c>
      <c r="V276" s="580" t="str">
        <f t="shared" si="35"/>
        <v>W6A9B</v>
      </c>
      <c r="W276" s="580" t="str">
        <f t="shared" si="35"/>
        <v>W6BBB</v>
      </c>
      <c r="X276" s="580" t="str">
        <f t="shared" si="35"/>
        <v>W6CDB</v>
      </c>
    </row>
    <row r="277" spans="1:24" ht="13.5" customHeight="1" x14ac:dyDescent="0.25">
      <c r="A277" s="602"/>
      <c r="B277" s="606" t="s">
        <v>1104</v>
      </c>
      <c r="C277" s="530" t="s">
        <v>889</v>
      </c>
      <c r="D277" s="638" t="s">
        <v>1105</v>
      </c>
      <c r="E277" s="609"/>
      <c r="F277" s="609"/>
      <c r="G277" s="296" t="s">
        <v>1106</v>
      </c>
      <c r="H277" s="621"/>
      <c r="I277" s="622" t="s">
        <v>1107</v>
      </c>
      <c r="J277" s="470"/>
      <c r="K277" s="578">
        <v>124</v>
      </c>
      <c r="L277" s="614"/>
      <c r="M277" s="580" t="str">
        <f t="shared" si="31"/>
        <v>W607C</v>
      </c>
      <c r="N277" s="580" t="str">
        <f t="shared" si="35"/>
        <v>W619C</v>
      </c>
      <c r="O277" s="580" t="str">
        <f t="shared" si="35"/>
        <v>W62BC</v>
      </c>
      <c r="P277" s="580" t="str">
        <f t="shared" si="35"/>
        <v>W63DC</v>
      </c>
      <c r="Q277" s="580" t="str">
        <f t="shared" si="35"/>
        <v>W64FC</v>
      </c>
      <c r="R277" s="580" t="str">
        <f t="shared" si="35"/>
        <v>W661C</v>
      </c>
      <c r="S277" s="580" t="str">
        <f t="shared" si="35"/>
        <v>W673C</v>
      </c>
      <c r="T277" s="580" t="str">
        <f t="shared" si="35"/>
        <v>W685C</v>
      </c>
      <c r="U277" s="580" t="str">
        <f t="shared" si="35"/>
        <v>W697C</v>
      </c>
      <c r="V277" s="580" t="str">
        <f t="shared" si="35"/>
        <v>W6A9C</v>
      </c>
      <c r="W277" s="580" t="str">
        <f t="shared" si="35"/>
        <v>W6BBC</v>
      </c>
      <c r="X277" s="580" t="str">
        <f t="shared" si="35"/>
        <v>W6CDC</v>
      </c>
    </row>
    <row r="278" spans="1:24" ht="13.5" customHeight="1" x14ac:dyDescent="0.25">
      <c r="A278" s="602"/>
      <c r="B278" s="606" t="s">
        <v>1108</v>
      </c>
      <c r="C278" s="530" t="s">
        <v>889</v>
      </c>
      <c r="D278" s="638" t="s">
        <v>1109</v>
      </c>
      <c r="E278" s="609"/>
      <c r="F278" s="609"/>
      <c r="G278" s="296"/>
      <c r="H278" s="621"/>
      <c r="I278" s="622" t="s">
        <v>1110</v>
      </c>
      <c r="J278" s="470"/>
      <c r="K278" s="578">
        <v>125</v>
      </c>
      <c r="L278" s="614"/>
      <c r="M278" s="580" t="str">
        <f t="shared" si="31"/>
        <v>W607D</v>
      </c>
      <c r="N278" s="580" t="str">
        <f t="shared" si="35"/>
        <v>W619D</v>
      </c>
      <c r="O278" s="580" t="str">
        <f t="shared" si="35"/>
        <v>W62BD</v>
      </c>
      <c r="P278" s="580" t="str">
        <f t="shared" si="35"/>
        <v>W63DD</v>
      </c>
      <c r="Q278" s="580" t="str">
        <f t="shared" si="35"/>
        <v>W64FD</v>
      </c>
      <c r="R278" s="580" t="str">
        <f t="shared" si="35"/>
        <v>W661D</v>
      </c>
      <c r="S278" s="580" t="str">
        <f t="shared" si="35"/>
        <v>W673D</v>
      </c>
      <c r="T278" s="580" t="str">
        <f t="shared" si="35"/>
        <v>W685D</v>
      </c>
      <c r="U278" s="580" t="str">
        <f t="shared" si="35"/>
        <v>W697D</v>
      </c>
      <c r="V278" s="580" t="str">
        <f t="shared" si="35"/>
        <v>W6A9D</v>
      </c>
      <c r="W278" s="580" t="str">
        <f t="shared" si="35"/>
        <v>W6BBD</v>
      </c>
      <c r="X278" s="580" t="str">
        <f t="shared" si="35"/>
        <v>W6CDD</v>
      </c>
    </row>
    <row r="279" spans="1:24" ht="13.5" customHeight="1" x14ac:dyDescent="0.25">
      <c r="A279" s="605"/>
      <c r="B279" s="606" t="s">
        <v>888</v>
      </c>
      <c r="C279" s="530" t="s">
        <v>889</v>
      </c>
      <c r="D279" s="531"/>
      <c r="E279" s="609"/>
      <c r="F279" s="609"/>
      <c r="G279" s="581"/>
      <c r="H279" s="621"/>
      <c r="I279" s="622" t="s">
        <v>1111</v>
      </c>
      <c r="J279" s="470"/>
      <c r="K279" s="578">
        <v>126</v>
      </c>
      <c r="L279" s="614"/>
      <c r="M279" s="580" t="str">
        <f t="shared" si="31"/>
        <v>W607E</v>
      </c>
      <c r="N279" s="580" t="str">
        <f t="shared" si="35"/>
        <v>W619E</v>
      </c>
      <c r="O279" s="580" t="str">
        <f t="shared" si="35"/>
        <v>W62BE</v>
      </c>
      <c r="P279" s="580" t="str">
        <f t="shared" si="35"/>
        <v>W63DE</v>
      </c>
      <c r="Q279" s="580" t="str">
        <f t="shared" si="35"/>
        <v>W64FE</v>
      </c>
      <c r="R279" s="580" t="str">
        <f t="shared" si="35"/>
        <v>W661E</v>
      </c>
      <c r="S279" s="580" t="str">
        <f t="shared" si="35"/>
        <v>W673E</v>
      </c>
      <c r="T279" s="580" t="str">
        <f t="shared" si="35"/>
        <v>W685E</v>
      </c>
      <c r="U279" s="580" t="str">
        <f t="shared" si="35"/>
        <v>W697E</v>
      </c>
      <c r="V279" s="580" t="str">
        <f t="shared" si="35"/>
        <v>W6A9E</v>
      </c>
      <c r="W279" s="580" t="str">
        <f t="shared" si="35"/>
        <v>W6BBE</v>
      </c>
      <c r="X279" s="580" t="str">
        <f t="shared" si="35"/>
        <v>W6CDE</v>
      </c>
    </row>
    <row r="280" spans="1:24" ht="13.5" customHeight="1" thickBot="1" x14ac:dyDescent="0.3">
      <c r="A280" s="605"/>
      <c r="B280" s="610" t="s">
        <v>888</v>
      </c>
      <c r="C280" s="534" t="s">
        <v>889</v>
      </c>
      <c r="D280" s="535"/>
      <c r="E280" s="609"/>
      <c r="F280" s="609"/>
      <c r="G280" s="581"/>
      <c r="H280" s="639"/>
      <c r="I280" s="588" t="s">
        <v>742</v>
      </c>
      <c r="J280" s="490"/>
      <c r="K280" s="611">
        <v>127</v>
      </c>
      <c r="L280" s="617"/>
      <c r="M280" s="591" t="str">
        <f t="shared" si="31"/>
        <v>W607F</v>
      </c>
      <c r="N280" s="591" t="str">
        <f t="shared" si="35"/>
        <v>W619F</v>
      </c>
      <c r="O280" s="591" t="str">
        <f t="shared" si="35"/>
        <v>W62BF</v>
      </c>
      <c r="P280" s="591" t="str">
        <f t="shared" si="35"/>
        <v>W63DF</v>
      </c>
      <c r="Q280" s="591" t="str">
        <f t="shared" si="35"/>
        <v>W64FF</v>
      </c>
      <c r="R280" s="591" t="str">
        <f t="shared" si="35"/>
        <v>W661F</v>
      </c>
      <c r="S280" s="591" t="str">
        <f t="shared" si="35"/>
        <v>W673F</v>
      </c>
      <c r="T280" s="591" t="str">
        <f t="shared" si="35"/>
        <v>W685F</v>
      </c>
      <c r="U280" s="591" t="str">
        <f t="shared" si="35"/>
        <v>W697F</v>
      </c>
      <c r="V280" s="591" t="str">
        <f t="shared" si="35"/>
        <v>W6A9F</v>
      </c>
      <c r="W280" s="591" t="str">
        <f t="shared" si="35"/>
        <v>W6BBF</v>
      </c>
      <c r="X280" s="591" t="str">
        <f t="shared" si="35"/>
        <v>W6CDF</v>
      </c>
    </row>
    <row r="281" spans="1:24" ht="13.5" customHeight="1" thickTop="1" x14ac:dyDescent="0.25">
      <c r="G281" s="618" t="s">
        <v>1041</v>
      </c>
      <c r="H281" s="596" t="s">
        <v>1112</v>
      </c>
      <c r="I281" s="620" t="s">
        <v>1113</v>
      </c>
      <c r="J281" s="464"/>
      <c r="K281" s="572">
        <v>128</v>
      </c>
      <c r="L281" s="613">
        <v>9</v>
      </c>
      <c r="M281" s="574" t="str">
        <f t="shared" si="31"/>
        <v>W6080</v>
      </c>
      <c r="N281" s="574" t="str">
        <f t="shared" si="35"/>
        <v>W61A0</v>
      </c>
      <c r="O281" s="574" t="str">
        <f t="shared" si="35"/>
        <v>W62C0</v>
      </c>
      <c r="P281" s="574" t="str">
        <f t="shared" si="35"/>
        <v>W63E0</v>
      </c>
      <c r="Q281" s="574" t="str">
        <f t="shared" si="35"/>
        <v>W6500</v>
      </c>
      <c r="R281" s="574" t="str">
        <f t="shared" si="35"/>
        <v>W6620</v>
      </c>
      <c r="S281" s="574" t="str">
        <f t="shared" si="35"/>
        <v>W6740</v>
      </c>
      <c r="T281" s="574" t="str">
        <f t="shared" si="35"/>
        <v>W6860</v>
      </c>
      <c r="U281" s="574" t="str">
        <f t="shared" si="35"/>
        <v>W6980</v>
      </c>
      <c r="V281" s="574" t="str">
        <f t="shared" si="35"/>
        <v>W6AA0</v>
      </c>
      <c r="W281" s="574" t="str">
        <f t="shared" si="35"/>
        <v>W6BC0</v>
      </c>
      <c r="X281" s="574" t="str">
        <f t="shared" si="35"/>
        <v>W6CE0</v>
      </c>
    </row>
    <row r="282" spans="1:24" ht="13.5" customHeight="1" x14ac:dyDescent="0.25">
      <c r="G282" s="595"/>
      <c r="H282" s="599"/>
      <c r="I282" s="622" t="s">
        <v>1114</v>
      </c>
      <c r="J282" s="470"/>
      <c r="K282" s="578">
        <v>129</v>
      </c>
      <c r="L282" s="614"/>
      <c r="M282" s="580" t="str">
        <f t="shared" si="31"/>
        <v>W6081</v>
      </c>
      <c r="N282" s="580" t="str">
        <f t="shared" si="35"/>
        <v>W61A1</v>
      </c>
      <c r="O282" s="580" t="str">
        <f t="shared" si="35"/>
        <v>W62C1</v>
      </c>
      <c r="P282" s="580" t="str">
        <f t="shared" si="35"/>
        <v>W63E1</v>
      </c>
      <c r="Q282" s="580" t="str">
        <f t="shared" si="35"/>
        <v>W6501</v>
      </c>
      <c r="R282" s="580" t="str">
        <f t="shared" si="35"/>
        <v>W6621</v>
      </c>
      <c r="S282" s="580" t="str">
        <f t="shared" si="35"/>
        <v>W6741</v>
      </c>
      <c r="T282" s="580" t="str">
        <f t="shared" si="35"/>
        <v>W6861</v>
      </c>
      <c r="U282" s="580" t="str">
        <f t="shared" si="35"/>
        <v>W6981</v>
      </c>
      <c r="V282" s="580" t="str">
        <f t="shared" si="35"/>
        <v>W6AA1</v>
      </c>
      <c r="W282" s="580" t="str">
        <f t="shared" si="35"/>
        <v>W6BC1</v>
      </c>
      <c r="X282" s="580" t="str">
        <f t="shared" si="35"/>
        <v>W6CE1</v>
      </c>
    </row>
    <row r="283" spans="1:24" ht="13.5" customHeight="1" x14ac:dyDescent="0.25">
      <c r="G283" s="595"/>
      <c r="H283" s="599"/>
      <c r="I283" s="622" t="s">
        <v>1115</v>
      </c>
      <c r="J283" s="470"/>
      <c r="K283" s="578">
        <v>130</v>
      </c>
      <c r="L283" s="614"/>
      <c r="M283" s="580" t="str">
        <f t="shared" ref="M283:M346" si="36">"W"&amp;DEC2HEX((HEX2DEC(SUBSTITUTE(M282,"W",""))+1))</f>
        <v>W6082</v>
      </c>
      <c r="N283" s="580" t="str">
        <f t="shared" ref="N283:X298" si="37">"W"&amp;DEC2HEX(HEX2DEC(SUBSTITUTE(N282,"W",""))+1)</f>
        <v>W61A2</v>
      </c>
      <c r="O283" s="580" t="str">
        <f t="shared" si="37"/>
        <v>W62C2</v>
      </c>
      <c r="P283" s="580" t="str">
        <f t="shared" si="37"/>
        <v>W63E2</v>
      </c>
      <c r="Q283" s="580" t="str">
        <f t="shared" si="37"/>
        <v>W6502</v>
      </c>
      <c r="R283" s="580" t="str">
        <f t="shared" si="37"/>
        <v>W6622</v>
      </c>
      <c r="S283" s="580" t="str">
        <f t="shared" si="37"/>
        <v>W6742</v>
      </c>
      <c r="T283" s="580" t="str">
        <f t="shared" si="37"/>
        <v>W6862</v>
      </c>
      <c r="U283" s="580" t="str">
        <f t="shared" si="37"/>
        <v>W6982</v>
      </c>
      <c r="V283" s="580" t="str">
        <f t="shared" si="37"/>
        <v>W6AA2</v>
      </c>
      <c r="W283" s="580" t="str">
        <f t="shared" si="37"/>
        <v>W6BC2</v>
      </c>
      <c r="X283" s="580" t="str">
        <f t="shared" si="37"/>
        <v>W6CE2</v>
      </c>
    </row>
    <row r="284" spans="1:24" ht="13.5" customHeight="1" thickBot="1" x14ac:dyDescent="0.3">
      <c r="G284" s="595"/>
      <c r="H284" s="599"/>
      <c r="I284" s="622" t="s">
        <v>1116</v>
      </c>
      <c r="J284" s="470"/>
      <c r="K284" s="578">
        <v>131</v>
      </c>
      <c r="L284" s="614"/>
      <c r="M284" s="580" t="str">
        <f t="shared" si="36"/>
        <v>W6083</v>
      </c>
      <c r="N284" s="580" t="str">
        <f t="shared" si="37"/>
        <v>W61A3</v>
      </c>
      <c r="O284" s="580" t="str">
        <f t="shared" si="37"/>
        <v>W62C3</v>
      </c>
      <c r="P284" s="580" t="str">
        <f t="shared" si="37"/>
        <v>W63E3</v>
      </c>
      <c r="Q284" s="580" t="str">
        <f t="shared" si="37"/>
        <v>W6503</v>
      </c>
      <c r="R284" s="580" t="str">
        <f t="shared" si="37"/>
        <v>W6623</v>
      </c>
      <c r="S284" s="580" t="str">
        <f t="shared" si="37"/>
        <v>W6743</v>
      </c>
      <c r="T284" s="580" t="str">
        <f t="shared" si="37"/>
        <v>W6863</v>
      </c>
      <c r="U284" s="580" t="str">
        <f t="shared" si="37"/>
        <v>W6983</v>
      </c>
      <c r="V284" s="580" t="str">
        <f t="shared" si="37"/>
        <v>W6AA3</v>
      </c>
      <c r="W284" s="580" t="str">
        <f t="shared" si="37"/>
        <v>W6BC3</v>
      </c>
      <c r="X284" s="580" t="str">
        <f t="shared" si="37"/>
        <v>W6CE3</v>
      </c>
    </row>
    <row r="285" spans="1:24" ht="13.5" customHeight="1" thickBot="1" x14ac:dyDescent="0.3">
      <c r="B285" s="506" t="s">
        <v>878</v>
      </c>
      <c r="C285" s="507"/>
      <c r="D285" s="508" t="s">
        <v>879</v>
      </c>
      <c r="G285" s="595"/>
      <c r="H285" s="599"/>
      <c r="I285" s="622" t="s">
        <v>1117</v>
      </c>
      <c r="J285" s="470"/>
      <c r="K285" s="578">
        <v>132</v>
      </c>
      <c r="L285" s="614"/>
      <c r="M285" s="580" t="str">
        <f t="shared" si="36"/>
        <v>W6084</v>
      </c>
      <c r="N285" s="580" t="str">
        <f t="shared" si="37"/>
        <v>W61A4</v>
      </c>
      <c r="O285" s="580" t="str">
        <f t="shared" si="37"/>
        <v>W62C4</v>
      </c>
      <c r="P285" s="580" t="str">
        <f t="shared" si="37"/>
        <v>W63E4</v>
      </c>
      <c r="Q285" s="580" t="str">
        <f t="shared" si="37"/>
        <v>W6504</v>
      </c>
      <c r="R285" s="580" t="str">
        <f t="shared" si="37"/>
        <v>W6624</v>
      </c>
      <c r="S285" s="580" t="str">
        <f t="shared" si="37"/>
        <v>W6744</v>
      </c>
      <c r="T285" s="580" t="str">
        <f t="shared" si="37"/>
        <v>W6864</v>
      </c>
      <c r="U285" s="580" t="str">
        <f t="shared" si="37"/>
        <v>W6984</v>
      </c>
      <c r="V285" s="580" t="str">
        <f t="shared" si="37"/>
        <v>W6AA4</v>
      </c>
      <c r="W285" s="580" t="str">
        <f t="shared" si="37"/>
        <v>W6BC4</v>
      </c>
      <c r="X285" s="580" t="str">
        <f t="shared" si="37"/>
        <v>W6CE4</v>
      </c>
    </row>
    <row r="286" spans="1:24" ht="13.5" customHeight="1" x14ac:dyDescent="0.25">
      <c r="B286" s="640" t="s">
        <v>1118</v>
      </c>
      <c r="C286" s="624" t="s">
        <v>889</v>
      </c>
      <c r="D286" s="625" t="s">
        <v>1119</v>
      </c>
      <c r="G286" s="595"/>
      <c r="H286" s="599"/>
      <c r="I286" s="622" t="s">
        <v>1120</v>
      </c>
      <c r="J286" s="470"/>
      <c r="K286" s="578">
        <v>133</v>
      </c>
      <c r="L286" s="614"/>
      <c r="M286" s="580" t="str">
        <f t="shared" si="36"/>
        <v>W6085</v>
      </c>
      <c r="N286" s="580" t="str">
        <f t="shared" si="37"/>
        <v>W61A5</v>
      </c>
      <c r="O286" s="580" t="str">
        <f t="shared" si="37"/>
        <v>W62C5</v>
      </c>
      <c r="P286" s="580" t="str">
        <f t="shared" si="37"/>
        <v>W63E5</v>
      </c>
      <c r="Q286" s="580" t="str">
        <f t="shared" si="37"/>
        <v>W6505</v>
      </c>
      <c r="R286" s="580" t="str">
        <f t="shared" si="37"/>
        <v>W6625</v>
      </c>
      <c r="S286" s="580" t="str">
        <f t="shared" si="37"/>
        <v>W6745</v>
      </c>
      <c r="T286" s="580" t="str">
        <f t="shared" si="37"/>
        <v>W6865</v>
      </c>
      <c r="U286" s="580" t="str">
        <f t="shared" si="37"/>
        <v>W6985</v>
      </c>
      <c r="V286" s="580" t="str">
        <f t="shared" si="37"/>
        <v>W6AA5</v>
      </c>
      <c r="W286" s="580" t="str">
        <f t="shared" si="37"/>
        <v>W6BC5</v>
      </c>
      <c r="X286" s="580" t="str">
        <f t="shared" si="37"/>
        <v>W6CE5</v>
      </c>
    </row>
    <row r="287" spans="1:24" ht="13.5" customHeight="1" x14ac:dyDescent="0.25">
      <c r="B287" s="526" t="s">
        <v>1121</v>
      </c>
      <c r="C287" s="527" t="s">
        <v>889</v>
      </c>
      <c r="D287" s="641" t="s">
        <v>1122</v>
      </c>
      <c r="G287" s="595"/>
      <c r="H287" s="599"/>
      <c r="I287" s="622" t="s">
        <v>1123</v>
      </c>
      <c r="J287" s="470"/>
      <c r="K287" s="578">
        <v>134</v>
      </c>
      <c r="L287" s="614"/>
      <c r="M287" s="580" t="str">
        <f t="shared" si="36"/>
        <v>W6086</v>
      </c>
      <c r="N287" s="580" t="str">
        <f t="shared" si="37"/>
        <v>W61A6</v>
      </c>
      <c r="O287" s="580" t="str">
        <f t="shared" si="37"/>
        <v>W62C6</v>
      </c>
      <c r="P287" s="580" t="str">
        <f t="shared" si="37"/>
        <v>W63E6</v>
      </c>
      <c r="Q287" s="580" t="str">
        <f t="shared" si="37"/>
        <v>W6506</v>
      </c>
      <c r="R287" s="580" t="str">
        <f t="shared" si="37"/>
        <v>W6626</v>
      </c>
      <c r="S287" s="580" t="str">
        <f t="shared" si="37"/>
        <v>W6746</v>
      </c>
      <c r="T287" s="580" t="str">
        <f t="shared" si="37"/>
        <v>W6866</v>
      </c>
      <c r="U287" s="580" t="str">
        <f t="shared" si="37"/>
        <v>W6986</v>
      </c>
      <c r="V287" s="580" t="str">
        <f t="shared" si="37"/>
        <v>W6AA6</v>
      </c>
      <c r="W287" s="580" t="str">
        <f t="shared" si="37"/>
        <v>W6BC6</v>
      </c>
      <c r="X287" s="580" t="str">
        <f t="shared" si="37"/>
        <v>W6CE6</v>
      </c>
    </row>
    <row r="288" spans="1:24" ht="13.5" customHeight="1" x14ac:dyDescent="0.25">
      <c r="B288" s="642" t="s">
        <v>1124</v>
      </c>
      <c r="C288" s="627" t="s">
        <v>889</v>
      </c>
      <c r="D288" s="635" t="s">
        <v>1125</v>
      </c>
      <c r="G288" s="595"/>
      <c r="H288" s="599"/>
      <c r="I288" s="622" t="s">
        <v>1126</v>
      </c>
      <c r="J288" s="470"/>
      <c r="K288" s="578">
        <v>135</v>
      </c>
      <c r="L288" s="614"/>
      <c r="M288" s="580" t="str">
        <f t="shared" si="36"/>
        <v>W6087</v>
      </c>
      <c r="N288" s="580" t="str">
        <f t="shared" si="37"/>
        <v>W61A7</v>
      </c>
      <c r="O288" s="580" t="str">
        <f t="shared" si="37"/>
        <v>W62C7</v>
      </c>
      <c r="P288" s="580" t="str">
        <f t="shared" si="37"/>
        <v>W63E7</v>
      </c>
      <c r="Q288" s="580" t="str">
        <f t="shared" si="37"/>
        <v>W6507</v>
      </c>
      <c r="R288" s="580" t="str">
        <f t="shared" si="37"/>
        <v>W6627</v>
      </c>
      <c r="S288" s="580" t="str">
        <f t="shared" si="37"/>
        <v>W6747</v>
      </c>
      <c r="T288" s="580" t="str">
        <f t="shared" si="37"/>
        <v>W6867</v>
      </c>
      <c r="U288" s="580" t="str">
        <f t="shared" si="37"/>
        <v>W6987</v>
      </c>
      <c r="V288" s="580" t="str">
        <f t="shared" si="37"/>
        <v>W6AA7</v>
      </c>
      <c r="W288" s="580" t="str">
        <f t="shared" si="37"/>
        <v>W6BC7</v>
      </c>
      <c r="X288" s="580" t="str">
        <f t="shared" si="37"/>
        <v>W6CE7</v>
      </c>
    </row>
    <row r="289" spans="2:24" ht="13.5" customHeight="1" x14ac:dyDescent="0.25">
      <c r="B289" s="529" t="s">
        <v>888</v>
      </c>
      <c r="C289" s="530" t="s">
        <v>889</v>
      </c>
      <c r="D289" s="607"/>
      <c r="G289" s="595"/>
      <c r="H289" s="599"/>
      <c r="I289" s="622" t="s">
        <v>1127</v>
      </c>
      <c r="J289" s="470"/>
      <c r="K289" s="578">
        <v>136</v>
      </c>
      <c r="L289" s="614"/>
      <c r="M289" s="580" t="str">
        <f t="shared" si="36"/>
        <v>W6088</v>
      </c>
      <c r="N289" s="580" t="str">
        <f t="shared" si="37"/>
        <v>W61A8</v>
      </c>
      <c r="O289" s="580" t="str">
        <f t="shared" si="37"/>
        <v>W62C8</v>
      </c>
      <c r="P289" s="580" t="str">
        <f t="shared" si="37"/>
        <v>W63E8</v>
      </c>
      <c r="Q289" s="580" t="str">
        <f t="shared" si="37"/>
        <v>W6508</v>
      </c>
      <c r="R289" s="580" t="str">
        <f t="shared" si="37"/>
        <v>W6628</v>
      </c>
      <c r="S289" s="580" t="str">
        <f t="shared" si="37"/>
        <v>W6748</v>
      </c>
      <c r="T289" s="580" t="str">
        <f t="shared" si="37"/>
        <v>W6868</v>
      </c>
      <c r="U289" s="580" t="str">
        <f t="shared" si="37"/>
        <v>W6988</v>
      </c>
      <c r="V289" s="580" t="str">
        <f t="shared" si="37"/>
        <v>W6AA8</v>
      </c>
      <c r="W289" s="580" t="str">
        <f t="shared" si="37"/>
        <v>W6BC8</v>
      </c>
      <c r="X289" s="580" t="str">
        <f t="shared" si="37"/>
        <v>W6CE8</v>
      </c>
    </row>
    <row r="290" spans="2:24" ht="13.5" customHeight="1" x14ac:dyDescent="0.25">
      <c r="B290" s="529" t="s">
        <v>888</v>
      </c>
      <c r="C290" s="530" t="s">
        <v>889</v>
      </c>
      <c r="D290" s="607"/>
      <c r="G290" s="595"/>
      <c r="H290" s="599"/>
      <c r="I290" s="622" t="s">
        <v>1128</v>
      </c>
      <c r="J290" s="470"/>
      <c r="K290" s="578">
        <v>137</v>
      </c>
      <c r="L290" s="614"/>
      <c r="M290" s="580" t="str">
        <f t="shared" si="36"/>
        <v>W6089</v>
      </c>
      <c r="N290" s="580" t="str">
        <f t="shared" si="37"/>
        <v>W61A9</v>
      </c>
      <c r="O290" s="580" t="str">
        <f t="shared" si="37"/>
        <v>W62C9</v>
      </c>
      <c r="P290" s="580" t="str">
        <f t="shared" si="37"/>
        <v>W63E9</v>
      </c>
      <c r="Q290" s="580" t="str">
        <f t="shared" si="37"/>
        <v>W6509</v>
      </c>
      <c r="R290" s="580" t="str">
        <f t="shared" si="37"/>
        <v>W6629</v>
      </c>
      <c r="S290" s="580" t="str">
        <f t="shared" si="37"/>
        <v>W6749</v>
      </c>
      <c r="T290" s="580" t="str">
        <f t="shared" si="37"/>
        <v>W6869</v>
      </c>
      <c r="U290" s="580" t="str">
        <f t="shared" si="37"/>
        <v>W6989</v>
      </c>
      <c r="V290" s="580" t="str">
        <f t="shared" si="37"/>
        <v>W6AA9</v>
      </c>
      <c r="W290" s="580" t="str">
        <f t="shared" si="37"/>
        <v>W6BC9</v>
      </c>
      <c r="X290" s="580" t="str">
        <f t="shared" si="37"/>
        <v>W6CE9</v>
      </c>
    </row>
    <row r="291" spans="2:24" ht="13.5" customHeight="1" x14ac:dyDescent="0.25">
      <c r="B291" s="529" t="s">
        <v>888</v>
      </c>
      <c r="C291" s="530" t="s">
        <v>889</v>
      </c>
      <c r="D291" s="607"/>
      <c r="G291" s="595"/>
      <c r="H291" s="599"/>
      <c r="I291" s="622" t="s">
        <v>1129</v>
      </c>
      <c r="J291" s="470"/>
      <c r="K291" s="578">
        <v>138</v>
      </c>
      <c r="L291" s="614"/>
      <c r="M291" s="580" t="str">
        <f t="shared" si="36"/>
        <v>W608A</v>
      </c>
      <c r="N291" s="580" t="str">
        <f t="shared" si="37"/>
        <v>W61AA</v>
      </c>
      <c r="O291" s="580" t="str">
        <f t="shared" si="37"/>
        <v>W62CA</v>
      </c>
      <c r="P291" s="580" t="str">
        <f t="shared" si="37"/>
        <v>W63EA</v>
      </c>
      <c r="Q291" s="580" t="str">
        <f t="shared" si="37"/>
        <v>W650A</v>
      </c>
      <c r="R291" s="580" t="str">
        <f t="shared" si="37"/>
        <v>W662A</v>
      </c>
      <c r="S291" s="580" t="str">
        <f t="shared" si="37"/>
        <v>W674A</v>
      </c>
      <c r="T291" s="580" t="str">
        <f t="shared" si="37"/>
        <v>W686A</v>
      </c>
      <c r="U291" s="580" t="str">
        <f t="shared" si="37"/>
        <v>W698A</v>
      </c>
      <c r="V291" s="580" t="str">
        <f t="shared" si="37"/>
        <v>W6AAA</v>
      </c>
      <c r="W291" s="580" t="str">
        <f t="shared" si="37"/>
        <v>W6BCA</v>
      </c>
      <c r="X291" s="580" t="str">
        <f t="shared" si="37"/>
        <v>W6CEA</v>
      </c>
    </row>
    <row r="292" spans="2:24" ht="13.5" customHeight="1" x14ac:dyDescent="0.25">
      <c r="B292" s="529" t="s">
        <v>888</v>
      </c>
      <c r="C292" s="530" t="s">
        <v>889</v>
      </c>
      <c r="D292" s="638"/>
      <c r="G292" s="595"/>
      <c r="H292" s="599"/>
      <c r="I292" s="622" t="s">
        <v>1130</v>
      </c>
      <c r="J292" s="470"/>
      <c r="K292" s="578">
        <v>139</v>
      </c>
      <c r="L292" s="614"/>
      <c r="M292" s="580" t="str">
        <f t="shared" si="36"/>
        <v>W608B</v>
      </c>
      <c r="N292" s="580" t="str">
        <f t="shared" si="37"/>
        <v>W61AB</v>
      </c>
      <c r="O292" s="580" t="str">
        <f t="shared" si="37"/>
        <v>W62CB</v>
      </c>
      <c r="P292" s="580" t="str">
        <f t="shared" si="37"/>
        <v>W63EB</v>
      </c>
      <c r="Q292" s="580" t="str">
        <f t="shared" si="37"/>
        <v>W650B</v>
      </c>
      <c r="R292" s="580" t="str">
        <f t="shared" si="37"/>
        <v>W662B</v>
      </c>
      <c r="S292" s="580" t="str">
        <f t="shared" si="37"/>
        <v>W674B</v>
      </c>
      <c r="T292" s="580" t="str">
        <f t="shared" si="37"/>
        <v>W686B</v>
      </c>
      <c r="U292" s="580" t="str">
        <f t="shared" si="37"/>
        <v>W698B</v>
      </c>
      <c r="V292" s="580" t="str">
        <f t="shared" si="37"/>
        <v>W6AAB</v>
      </c>
      <c r="W292" s="580" t="str">
        <f t="shared" si="37"/>
        <v>W6BCB</v>
      </c>
      <c r="X292" s="580" t="str">
        <f t="shared" si="37"/>
        <v>W6CEB</v>
      </c>
    </row>
    <row r="293" spans="2:24" ht="13.5" customHeight="1" x14ac:dyDescent="0.25">
      <c r="B293" s="529" t="s">
        <v>888</v>
      </c>
      <c r="C293" s="530" t="s">
        <v>889</v>
      </c>
      <c r="D293" s="638"/>
      <c r="G293" s="595"/>
      <c r="H293" s="599"/>
      <c r="I293" s="622" t="s">
        <v>1131</v>
      </c>
      <c r="J293" s="470"/>
      <c r="K293" s="578">
        <v>140</v>
      </c>
      <c r="L293" s="614"/>
      <c r="M293" s="580" t="str">
        <f t="shared" si="36"/>
        <v>W608C</v>
      </c>
      <c r="N293" s="580" t="str">
        <f t="shared" si="37"/>
        <v>W61AC</v>
      </c>
      <c r="O293" s="580" t="str">
        <f t="shared" si="37"/>
        <v>W62CC</v>
      </c>
      <c r="P293" s="580" t="str">
        <f t="shared" si="37"/>
        <v>W63EC</v>
      </c>
      <c r="Q293" s="580" t="str">
        <f t="shared" si="37"/>
        <v>W650C</v>
      </c>
      <c r="R293" s="580" t="str">
        <f t="shared" si="37"/>
        <v>W662C</v>
      </c>
      <c r="S293" s="580" t="str">
        <f t="shared" si="37"/>
        <v>W674C</v>
      </c>
      <c r="T293" s="580" t="str">
        <f t="shared" si="37"/>
        <v>W686C</v>
      </c>
      <c r="U293" s="580" t="str">
        <f t="shared" si="37"/>
        <v>W698C</v>
      </c>
      <c r="V293" s="580" t="str">
        <f t="shared" si="37"/>
        <v>W6AAC</v>
      </c>
      <c r="W293" s="580" t="str">
        <f t="shared" si="37"/>
        <v>W6BCC</v>
      </c>
      <c r="X293" s="580" t="str">
        <f t="shared" si="37"/>
        <v>W6CEC</v>
      </c>
    </row>
    <row r="294" spans="2:24" ht="13.5" customHeight="1" x14ac:dyDescent="0.25">
      <c r="B294" s="529" t="s">
        <v>888</v>
      </c>
      <c r="C294" s="530" t="s">
        <v>889</v>
      </c>
      <c r="D294" s="607"/>
      <c r="G294" s="595"/>
      <c r="H294" s="599"/>
      <c r="I294" s="622" t="s">
        <v>1132</v>
      </c>
      <c r="J294" s="470"/>
      <c r="K294" s="578">
        <v>141</v>
      </c>
      <c r="L294" s="614"/>
      <c r="M294" s="580" t="str">
        <f t="shared" si="36"/>
        <v>W608D</v>
      </c>
      <c r="N294" s="580" t="str">
        <f t="shared" si="37"/>
        <v>W61AD</v>
      </c>
      <c r="O294" s="580" t="str">
        <f t="shared" si="37"/>
        <v>W62CD</v>
      </c>
      <c r="P294" s="580" t="str">
        <f t="shared" si="37"/>
        <v>W63ED</v>
      </c>
      <c r="Q294" s="580" t="str">
        <f t="shared" si="37"/>
        <v>W650D</v>
      </c>
      <c r="R294" s="580" t="str">
        <f t="shared" si="37"/>
        <v>W662D</v>
      </c>
      <c r="S294" s="580" t="str">
        <f t="shared" si="37"/>
        <v>W674D</v>
      </c>
      <c r="T294" s="580" t="str">
        <f t="shared" si="37"/>
        <v>W686D</v>
      </c>
      <c r="U294" s="580" t="str">
        <f t="shared" si="37"/>
        <v>W698D</v>
      </c>
      <c r="V294" s="580" t="str">
        <f t="shared" si="37"/>
        <v>W6AAD</v>
      </c>
      <c r="W294" s="580" t="str">
        <f t="shared" si="37"/>
        <v>W6BCD</v>
      </c>
      <c r="X294" s="580" t="str">
        <f t="shared" si="37"/>
        <v>W6CED</v>
      </c>
    </row>
    <row r="295" spans="2:24" ht="13.5" customHeight="1" x14ac:dyDescent="0.25">
      <c r="B295" s="529" t="s">
        <v>888</v>
      </c>
      <c r="C295" s="530" t="s">
        <v>889</v>
      </c>
      <c r="D295" s="607"/>
      <c r="G295" s="595"/>
      <c r="H295" s="599"/>
      <c r="I295" s="622" t="s">
        <v>1133</v>
      </c>
      <c r="J295" s="470"/>
      <c r="K295" s="578">
        <v>142</v>
      </c>
      <c r="L295" s="614"/>
      <c r="M295" s="580" t="str">
        <f t="shared" si="36"/>
        <v>W608E</v>
      </c>
      <c r="N295" s="580" t="str">
        <f t="shared" si="37"/>
        <v>W61AE</v>
      </c>
      <c r="O295" s="580" t="str">
        <f t="shared" si="37"/>
        <v>W62CE</v>
      </c>
      <c r="P295" s="580" t="str">
        <f t="shared" si="37"/>
        <v>W63EE</v>
      </c>
      <c r="Q295" s="580" t="str">
        <f t="shared" si="37"/>
        <v>W650E</v>
      </c>
      <c r="R295" s="580" t="str">
        <f t="shared" si="37"/>
        <v>W662E</v>
      </c>
      <c r="S295" s="580" t="str">
        <f t="shared" si="37"/>
        <v>W674E</v>
      </c>
      <c r="T295" s="580" t="str">
        <f t="shared" si="37"/>
        <v>W686E</v>
      </c>
      <c r="U295" s="580" t="str">
        <f t="shared" si="37"/>
        <v>W698E</v>
      </c>
      <c r="V295" s="580" t="str">
        <f t="shared" si="37"/>
        <v>W6AAE</v>
      </c>
      <c r="W295" s="580" t="str">
        <f t="shared" si="37"/>
        <v>W6BCE</v>
      </c>
      <c r="X295" s="580" t="str">
        <f t="shared" si="37"/>
        <v>W6CEE</v>
      </c>
    </row>
    <row r="296" spans="2:24" ht="13.5" customHeight="1" thickBot="1" x14ac:dyDescent="0.3">
      <c r="B296" s="518" t="s">
        <v>1134</v>
      </c>
      <c r="C296" s="519" t="s">
        <v>889</v>
      </c>
      <c r="D296" s="643"/>
      <c r="G296" s="595"/>
      <c r="H296" s="599"/>
      <c r="I296" s="616" t="s">
        <v>1135</v>
      </c>
      <c r="J296" s="490"/>
      <c r="K296" s="611">
        <v>143</v>
      </c>
      <c r="L296" s="617"/>
      <c r="M296" s="591" t="str">
        <f t="shared" si="36"/>
        <v>W608F</v>
      </c>
      <c r="N296" s="591" t="str">
        <f t="shared" si="37"/>
        <v>W61AF</v>
      </c>
      <c r="O296" s="591" t="str">
        <f t="shared" si="37"/>
        <v>W62CF</v>
      </c>
      <c r="P296" s="591" t="str">
        <f t="shared" si="37"/>
        <v>W63EF</v>
      </c>
      <c r="Q296" s="591" t="str">
        <f t="shared" si="37"/>
        <v>W650F</v>
      </c>
      <c r="R296" s="591" t="str">
        <f t="shared" si="37"/>
        <v>W662F</v>
      </c>
      <c r="S296" s="591" t="str">
        <f t="shared" si="37"/>
        <v>W674F</v>
      </c>
      <c r="T296" s="591" t="str">
        <f t="shared" si="37"/>
        <v>W686F</v>
      </c>
      <c r="U296" s="591" t="str">
        <f t="shared" si="37"/>
        <v>W698F</v>
      </c>
      <c r="V296" s="591" t="str">
        <f t="shared" si="37"/>
        <v>W6AAF</v>
      </c>
      <c r="W296" s="591" t="str">
        <f t="shared" si="37"/>
        <v>W6BCF</v>
      </c>
      <c r="X296" s="591" t="str">
        <f t="shared" si="37"/>
        <v>W6CEF</v>
      </c>
    </row>
    <row r="297" spans="2:24" ht="13.5" customHeight="1" thickTop="1" x14ac:dyDescent="0.25">
      <c r="B297" s="518" t="s">
        <v>1136</v>
      </c>
      <c r="C297" s="519" t="s">
        <v>889</v>
      </c>
      <c r="D297" s="643"/>
      <c r="G297" s="595"/>
      <c r="H297" s="599"/>
      <c r="I297" s="620" t="s">
        <v>1137</v>
      </c>
      <c r="J297" s="464"/>
      <c r="K297" s="572">
        <v>144</v>
      </c>
      <c r="L297" s="613">
        <v>10</v>
      </c>
      <c r="M297" s="574" t="str">
        <f t="shared" si="36"/>
        <v>W6090</v>
      </c>
      <c r="N297" s="574" t="str">
        <f t="shared" si="37"/>
        <v>W61B0</v>
      </c>
      <c r="O297" s="574" t="str">
        <f t="shared" si="37"/>
        <v>W62D0</v>
      </c>
      <c r="P297" s="574" t="str">
        <f t="shared" si="37"/>
        <v>W63F0</v>
      </c>
      <c r="Q297" s="574" t="str">
        <f t="shared" si="37"/>
        <v>W6510</v>
      </c>
      <c r="R297" s="574" t="str">
        <f t="shared" si="37"/>
        <v>W6630</v>
      </c>
      <c r="S297" s="574" t="str">
        <f t="shared" si="37"/>
        <v>W6750</v>
      </c>
      <c r="T297" s="574" t="str">
        <f t="shared" si="37"/>
        <v>W6870</v>
      </c>
      <c r="U297" s="574" t="str">
        <f t="shared" si="37"/>
        <v>W6990</v>
      </c>
      <c r="V297" s="574" t="str">
        <f t="shared" si="37"/>
        <v>W6AB0</v>
      </c>
      <c r="W297" s="574" t="str">
        <f t="shared" si="37"/>
        <v>W6BD0</v>
      </c>
      <c r="X297" s="574" t="str">
        <f t="shared" si="37"/>
        <v>W6CF0</v>
      </c>
    </row>
    <row r="298" spans="2:24" ht="13.5" customHeight="1" x14ac:dyDescent="0.25">
      <c r="B298" s="529" t="s">
        <v>1104</v>
      </c>
      <c r="C298" s="530" t="s">
        <v>889</v>
      </c>
      <c r="D298" s="638" t="s">
        <v>1105</v>
      </c>
      <c r="G298" s="595"/>
      <c r="H298" s="599"/>
      <c r="I298" s="622" t="s">
        <v>1138</v>
      </c>
      <c r="J298" s="470"/>
      <c r="K298" s="578">
        <v>145</v>
      </c>
      <c r="L298" s="614"/>
      <c r="M298" s="580" t="str">
        <f t="shared" si="36"/>
        <v>W6091</v>
      </c>
      <c r="N298" s="580" t="str">
        <f t="shared" si="37"/>
        <v>W61B1</v>
      </c>
      <c r="O298" s="580" t="str">
        <f t="shared" si="37"/>
        <v>W62D1</v>
      </c>
      <c r="P298" s="580" t="str">
        <f t="shared" si="37"/>
        <v>W63F1</v>
      </c>
      <c r="Q298" s="580" t="str">
        <f t="shared" si="37"/>
        <v>W6511</v>
      </c>
      <c r="R298" s="580" t="str">
        <f t="shared" si="37"/>
        <v>W6631</v>
      </c>
      <c r="S298" s="580" t="str">
        <f t="shared" si="37"/>
        <v>W6751</v>
      </c>
      <c r="T298" s="580" t="str">
        <f t="shared" si="37"/>
        <v>W6871</v>
      </c>
      <c r="U298" s="580" t="str">
        <f t="shared" si="37"/>
        <v>W6991</v>
      </c>
      <c r="V298" s="580" t="str">
        <f t="shared" si="37"/>
        <v>W6AB1</v>
      </c>
      <c r="W298" s="580" t="str">
        <f t="shared" si="37"/>
        <v>W6BD1</v>
      </c>
      <c r="X298" s="580" t="str">
        <f t="shared" si="37"/>
        <v>W6CF1</v>
      </c>
    </row>
    <row r="299" spans="2:24" ht="13.5" customHeight="1" x14ac:dyDescent="0.25">
      <c r="B299" s="529" t="s">
        <v>1108</v>
      </c>
      <c r="C299" s="530" t="s">
        <v>889</v>
      </c>
      <c r="D299" s="638" t="s">
        <v>1109</v>
      </c>
      <c r="G299" s="595"/>
      <c r="H299" s="599"/>
      <c r="I299" s="622" t="s">
        <v>1139</v>
      </c>
      <c r="J299" s="470"/>
      <c r="K299" s="578">
        <v>146</v>
      </c>
      <c r="L299" s="614"/>
      <c r="M299" s="580" t="str">
        <f t="shared" si="36"/>
        <v>W6092</v>
      </c>
      <c r="N299" s="580" t="str">
        <f t="shared" ref="N299:X314" si="38">"W"&amp;DEC2HEX(HEX2DEC(SUBSTITUTE(N298,"W",""))+1)</f>
        <v>W61B2</v>
      </c>
      <c r="O299" s="580" t="str">
        <f t="shared" si="38"/>
        <v>W62D2</v>
      </c>
      <c r="P299" s="580" t="str">
        <f t="shared" si="38"/>
        <v>W63F2</v>
      </c>
      <c r="Q299" s="580" t="str">
        <f t="shared" si="38"/>
        <v>W6512</v>
      </c>
      <c r="R299" s="580" t="str">
        <f t="shared" si="38"/>
        <v>W6632</v>
      </c>
      <c r="S299" s="580" t="str">
        <f t="shared" si="38"/>
        <v>W6752</v>
      </c>
      <c r="T299" s="580" t="str">
        <f t="shared" si="38"/>
        <v>W6872</v>
      </c>
      <c r="U299" s="580" t="str">
        <f t="shared" si="38"/>
        <v>W6992</v>
      </c>
      <c r="V299" s="580" t="str">
        <f t="shared" si="38"/>
        <v>W6AB2</v>
      </c>
      <c r="W299" s="580" t="str">
        <f t="shared" si="38"/>
        <v>W6BD2</v>
      </c>
      <c r="X299" s="580" t="str">
        <f t="shared" si="38"/>
        <v>W6CF2</v>
      </c>
    </row>
    <row r="300" spans="2:24" ht="13.5" customHeight="1" x14ac:dyDescent="0.25">
      <c r="B300" s="529" t="s">
        <v>888</v>
      </c>
      <c r="C300" s="530" t="s">
        <v>889</v>
      </c>
      <c r="D300" s="531"/>
      <c r="G300" s="595"/>
      <c r="H300" s="599"/>
      <c r="I300" s="622" t="s">
        <v>1140</v>
      </c>
      <c r="J300" s="470"/>
      <c r="K300" s="578">
        <v>147</v>
      </c>
      <c r="L300" s="614"/>
      <c r="M300" s="580" t="str">
        <f t="shared" si="36"/>
        <v>W6093</v>
      </c>
      <c r="N300" s="580" t="str">
        <f t="shared" si="38"/>
        <v>W61B3</v>
      </c>
      <c r="O300" s="580" t="str">
        <f t="shared" si="38"/>
        <v>W62D3</v>
      </c>
      <c r="P300" s="580" t="str">
        <f t="shared" si="38"/>
        <v>W63F3</v>
      </c>
      <c r="Q300" s="580" t="str">
        <f t="shared" si="38"/>
        <v>W6513</v>
      </c>
      <c r="R300" s="580" t="str">
        <f t="shared" si="38"/>
        <v>W6633</v>
      </c>
      <c r="S300" s="580" t="str">
        <f t="shared" si="38"/>
        <v>W6753</v>
      </c>
      <c r="T300" s="580" t="str">
        <f t="shared" si="38"/>
        <v>W6873</v>
      </c>
      <c r="U300" s="580" t="str">
        <f t="shared" si="38"/>
        <v>W6993</v>
      </c>
      <c r="V300" s="580" t="str">
        <f t="shared" si="38"/>
        <v>W6AB3</v>
      </c>
      <c r="W300" s="580" t="str">
        <f t="shared" si="38"/>
        <v>W6BD3</v>
      </c>
      <c r="X300" s="580" t="str">
        <f t="shared" si="38"/>
        <v>W6CF3</v>
      </c>
    </row>
    <row r="301" spans="2:24" ht="13.5" customHeight="1" thickBot="1" x14ac:dyDescent="0.3">
      <c r="B301" s="533" t="s">
        <v>888</v>
      </c>
      <c r="C301" s="534" t="s">
        <v>889</v>
      </c>
      <c r="D301" s="535"/>
      <c r="G301" s="595"/>
      <c r="H301" s="599"/>
      <c r="I301" s="622" t="s">
        <v>1141</v>
      </c>
      <c r="J301" s="470"/>
      <c r="K301" s="578">
        <v>148</v>
      </c>
      <c r="L301" s="614"/>
      <c r="M301" s="580" t="str">
        <f t="shared" si="36"/>
        <v>W6094</v>
      </c>
      <c r="N301" s="580" t="str">
        <f t="shared" si="38"/>
        <v>W61B4</v>
      </c>
      <c r="O301" s="580" t="str">
        <f t="shared" si="38"/>
        <v>W62D4</v>
      </c>
      <c r="P301" s="580" t="str">
        <f t="shared" si="38"/>
        <v>W63F4</v>
      </c>
      <c r="Q301" s="580" t="str">
        <f t="shared" si="38"/>
        <v>W6514</v>
      </c>
      <c r="R301" s="580" t="str">
        <f t="shared" si="38"/>
        <v>W6634</v>
      </c>
      <c r="S301" s="580" t="str">
        <f t="shared" si="38"/>
        <v>W6754</v>
      </c>
      <c r="T301" s="580" t="str">
        <f t="shared" si="38"/>
        <v>W6874</v>
      </c>
      <c r="U301" s="580" t="str">
        <f t="shared" si="38"/>
        <v>W6994</v>
      </c>
      <c r="V301" s="580" t="str">
        <f t="shared" si="38"/>
        <v>W6AB4</v>
      </c>
      <c r="W301" s="580" t="str">
        <f t="shared" si="38"/>
        <v>W6BD4</v>
      </c>
      <c r="X301" s="580" t="str">
        <f t="shared" si="38"/>
        <v>W6CF4</v>
      </c>
    </row>
    <row r="302" spans="2:24" ht="13.5" customHeight="1" x14ac:dyDescent="0.25">
      <c r="G302" s="595"/>
      <c r="H302" s="599"/>
      <c r="I302" s="622" t="s">
        <v>1142</v>
      </c>
      <c r="J302" s="470"/>
      <c r="K302" s="578">
        <v>149</v>
      </c>
      <c r="L302" s="614"/>
      <c r="M302" s="580" t="str">
        <f t="shared" si="36"/>
        <v>W6095</v>
      </c>
      <c r="N302" s="580" t="str">
        <f t="shared" si="38"/>
        <v>W61B5</v>
      </c>
      <c r="O302" s="580" t="str">
        <f t="shared" si="38"/>
        <v>W62D5</v>
      </c>
      <c r="P302" s="580" t="str">
        <f t="shared" si="38"/>
        <v>W63F5</v>
      </c>
      <c r="Q302" s="580" t="str">
        <f t="shared" si="38"/>
        <v>W6515</v>
      </c>
      <c r="R302" s="580" t="str">
        <f t="shared" si="38"/>
        <v>W6635</v>
      </c>
      <c r="S302" s="580" t="str">
        <f t="shared" si="38"/>
        <v>W6755</v>
      </c>
      <c r="T302" s="580" t="str">
        <f t="shared" si="38"/>
        <v>W6875</v>
      </c>
      <c r="U302" s="580" t="str">
        <f t="shared" si="38"/>
        <v>W6995</v>
      </c>
      <c r="V302" s="580" t="str">
        <f t="shared" si="38"/>
        <v>W6AB5</v>
      </c>
      <c r="W302" s="580" t="str">
        <f t="shared" si="38"/>
        <v>W6BD5</v>
      </c>
      <c r="X302" s="580" t="str">
        <f t="shared" si="38"/>
        <v>W6CF5</v>
      </c>
    </row>
    <row r="303" spans="2:24" ht="13.5" customHeight="1" x14ac:dyDescent="0.25">
      <c r="G303" s="595"/>
      <c r="H303" s="599"/>
      <c r="I303" s="622" t="s">
        <v>1143</v>
      </c>
      <c r="J303" s="470"/>
      <c r="K303" s="578">
        <v>150</v>
      </c>
      <c r="L303" s="614"/>
      <c r="M303" s="580" t="str">
        <f t="shared" si="36"/>
        <v>W6096</v>
      </c>
      <c r="N303" s="580" t="str">
        <f t="shared" si="38"/>
        <v>W61B6</v>
      </c>
      <c r="O303" s="580" t="str">
        <f t="shared" si="38"/>
        <v>W62D6</v>
      </c>
      <c r="P303" s="580" t="str">
        <f t="shared" si="38"/>
        <v>W63F6</v>
      </c>
      <c r="Q303" s="580" t="str">
        <f t="shared" si="38"/>
        <v>W6516</v>
      </c>
      <c r="R303" s="580" t="str">
        <f t="shared" si="38"/>
        <v>W6636</v>
      </c>
      <c r="S303" s="580" t="str">
        <f t="shared" si="38"/>
        <v>W6756</v>
      </c>
      <c r="T303" s="580" t="str">
        <f t="shared" si="38"/>
        <v>W6876</v>
      </c>
      <c r="U303" s="580" t="str">
        <f t="shared" si="38"/>
        <v>W6996</v>
      </c>
      <c r="V303" s="580" t="str">
        <f t="shared" si="38"/>
        <v>W6AB6</v>
      </c>
      <c r="W303" s="580" t="str">
        <f t="shared" si="38"/>
        <v>W6BD6</v>
      </c>
      <c r="X303" s="580" t="str">
        <f t="shared" si="38"/>
        <v>W6CF6</v>
      </c>
    </row>
    <row r="304" spans="2:24" ht="13.5" customHeight="1" x14ac:dyDescent="0.25">
      <c r="G304" s="595"/>
      <c r="H304" s="599"/>
      <c r="I304" s="622" t="s">
        <v>1144</v>
      </c>
      <c r="J304" s="470"/>
      <c r="K304" s="578">
        <v>151</v>
      </c>
      <c r="L304" s="614"/>
      <c r="M304" s="580" t="str">
        <f t="shared" si="36"/>
        <v>W6097</v>
      </c>
      <c r="N304" s="580" t="str">
        <f t="shared" si="38"/>
        <v>W61B7</v>
      </c>
      <c r="O304" s="580" t="str">
        <f t="shared" si="38"/>
        <v>W62D7</v>
      </c>
      <c r="P304" s="580" t="str">
        <f t="shared" si="38"/>
        <v>W63F7</v>
      </c>
      <c r="Q304" s="580" t="str">
        <f t="shared" si="38"/>
        <v>W6517</v>
      </c>
      <c r="R304" s="580" t="str">
        <f t="shared" si="38"/>
        <v>W6637</v>
      </c>
      <c r="S304" s="580" t="str">
        <f t="shared" si="38"/>
        <v>W6757</v>
      </c>
      <c r="T304" s="580" t="str">
        <f t="shared" si="38"/>
        <v>W6877</v>
      </c>
      <c r="U304" s="580" t="str">
        <f t="shared" si="38"/>
        <v>W6997</v>
      </c>
      <c r="V304" s="580" t="str">
        <f t="shared" si="38"/>
        <v>W6AB7</v>
      </c>
      <c r="W304" s="580" t="str">
        <f t="shared" si="38"/>
        <v>W6BD7</v>
      </c>
      <c r="X304" s="580" t="str">
        <f t="shared" si="38"/>
        <v>W6CF7</v>
      </c>
    </row>
    <row r="305" spans="7:24" ht="13.5" customHeight="1" x14ac:dyDescent="0.25">
      <c r="G305" s="595"/>
      <c r="H305" s="599"/>
      <c r="I305" s="622" t="s">
        <v>1145</v>
      </c>
      <c r="J305" s="470"/>
      <c r="K305" s="578">
        <v>152</v>
      </c>
      <c r="L305" s="614"/>
      <c r="M305" s="580" t="str">
        <f t="shared" si="36"/>
        <v>W6098</v>
      </c>
      <c r="N305" s="580" t="str">
        <f t="shared" si="38"/>
        <v>W61B8</v>
      </c>
      <c r="O305" s="580" t="str">
        <f t="shared" si="38"/>
        <v>W62D8</v>
      </c>
      <c r="P305" s="580" t="str">
        <f t="shared" si="38"/>
        <v>W63F8</v>
      </c>
      <c r="Q305" s="580" t="str">
        <f t="shared" si="38"/>
        <v>W6518</v>
      </c>
      <c r="R305" s="580" t="str">
        <f t="shared" si="38"/>
        <v>W6638</v>
      </c>
      <c r="S305" s="580" t="str">
        <f t="shared" si="38"/>
        <v>W6758</v>
      </c>
      <c r="T305" s="580" t="str">
        <f t="shared" si="38"/>
        <v>W6878</v>
      </c>
      <c r="U305" s="580" t="str">
        <f t="shared" si="38"/>
        <v>W6998</v>
      </c>
      <c r="V305" s="580" t="str">
        <f t="shared" si="38"/>
        <v>W6AB8</v>
      </c>
      <c r="W305" s="580" t="str">
        <f t="shared" si="38"/>
        <v>W6BD8</v>
      </c>
      <c r="X305" s="580" t="str">
        <f t="shared" si="38"/>
        <v>W6CF8</v>
      </c>
    </row>
    <row r="306" spans="7:24" ht="13.5" customHeight="1" x14ac:dyDescent="0.25">
      <c r="G306" s="595"/>
      <c r="H306" s="599"/>
      <c r="I306" s="622" t="s">
        <v>1146</v>
      </c>
      <c r="J306" s="470"/>
      <c r="K306" s="578">
        <v>153</v>
      </c>
      <c r="L306" s="614"/>
      <c r="M306" s="580" t="str">
        <f t="shared" si="36"/>
        <v>W6099</v>
      </c>
      <c r="N306" s="580" t="str">
        <f t="shared" si="38"/>
        <v>W61B9</v>
      </c>
      <c r="O306" s="580" t="str">
        <f t="shared" si="38"/>
        <v>W62D9</v>
      </c>
      <c r="P306" s="580" t="str">
        <f t="shared" si="38"/>
        <v>W63F9</v>
      </c>
      <c r="Q306" s="580" t="str">
        <f t="shared" si="38"/>
        <v>W6519</v>
      </c>
      <c r="R306" s="580" t="str">
        <f t="shared" si="38"/>
        <v>W6639</v>
      </c>
      <c r="S306" s="580" t="str">
        <f t="shared" si="38"/>
        <v>W6759</v>
      </c>
      <c r="T306" s="580" t="str">
        <f t="shared" si="38"/>
        <v>W6879</v>
      </c>
      <c r="U306" s="580" t="str">
        <f t="shared" si="38"/>
        <v>W6999</v>
      </c>
      <c r="V306" s="580" t="str">
        <f t="shared" si="38"/>
        <v>W6AB9</v>
      </c>
      <c r="W306" s="580" t="str">
        <f t="shared" si="38"/>
        <v>W6BD9</v>
      </c>
      <c r="X306" s="580" t="str">
        <f t="shared" si="38"/>
        <v>W6CF9</v>
      </c>
    </row>
    <row r="307" spans="7:24" ht="13.5" customHeight="1" x14ac:dyDescent="0.25">
      <c r="G307" s="595"/>
      <c r="H307" s="599"/>
      <c r="I307" s="622" t="s">
        <v>1147</v>
      </c>
      <c r="J307" s="411"/>
      <c r="K307" s="578">
        <v>154</v>
      </c>
      <c r="L307" s="614"/>
      <c r="M307" s="580" t="str">
        <f t="shared" si="36"/>
        <v>W609A</v>
      </c>
      <c r="N307" s="580" t="str">
        <f t="shared" si="38"/>
        <v>W61BA</v>
      </c>
      <c r="O307" s="580" t="str">
        <f t="shared" si="38"/>
        <v>W62DA</v>
      </c>
      <c r="P307" s="580" t="str">
        <f t="shared" si="38"/>
        <v>W63FA</v>
      </c>
      <c r="Q307" s="580" t="str">
        <f t="shared" si="38"/>
        <v>W651A</v>
      </c>
      <c r="R307" s="580" t="str">
        <f t="shared" si="38"/>
        <v>W663A</v>
      </c>
      <c r="S307" s="580" t="str">
        <f t="shared" si="38"/>
        <v>W675A</v>
      </c>
      <c r="T307" s="580" t="str">
        <f t="shared" si="38"/>
        <v>W687A</v>
      </c>
      <c r="U307" s="580" t="str">
        <f t="shared" si="38"/>
        <v>W699A</v>
      </c>
      <c r="V307" s="580" t="str">
        <f t="shared" si="38"/>
        <v>W6ABA</v>
      </c>
      <c r="W307" s="580" t="str">
        <f t="shared" si="38"/>
        <v>W6BDA</v>
      </c>
      <c r="X307" s="580" t="str">
        <f t="shared" si="38"/>
        <v>W6CFA</v>
      </c>
    </row>
    <row r="308" spans="7:24" ht="13.5" customHeight="1" x14ac:dyDescent="0.25">
      <c r="G308" s="595"/>
      <c r="H308" s="599"/>
      <c r="I308" s="622" t="s">
        <v>1148</v>
      </c>
      <c r="J308" s="411"/>
      <c r="K308" s="578">
        <v>155</v>
      </c>
      <c r="L308" s="614"/>
      <c r="M308" s="580" t="str">
        <f t="shared" si="36"/>
        <v>W609B</v>
      </c>
      <c r="N308" s="580" t="str">
        <f t="shared" si="38"/>
        <v>W61BB</v>
      </c>
      <c r="O308" s="580" t="str">
        <f t="shared" si="38"/>
        <v>W62DB</v>
      </c>
      <c r="P308" s="580" t="str">
        <f t="shared" si="38"/>
        <v>W63FB</v>
      </c>
      <c r="Q308" s="580" t="str">
        <f t="shared" si="38"/>
        <v>W651B</v>
      </c>
      <c r="R308" s="580" t="str">
        <f t="shared" si="38"/>
        <v>W663B</v>
      </c>
      <c r="S308" s="580" t="str">
        <f t="shared" si="38"/>
        <v>W675B</v>
      </c>
      <c r="T308" s="580" t="str">
        <f t="shared" si="38"/>
        <v>W687B</v>
      </c>
      <c r="U308" s="580" t="str">
        <f t="shared" si="38"/>
        <v>W699B</v>
      </c>
      <c r="V308" s="580" t="str">
        <f t="shared" si="38"/>
        <v>W6ABB</v>
      </c>
      <c r="W308" s="580" t="str">
        <f t="shared" si="38"/>
        <v>W6BDB</v>
      </c>
      <c r="X308" s="580" t="str">
        <f t="shared" si="38"/>
        <v>W6CFB</v>
      </c>
    </row>
    <row r="309" spans="7:24" ht="13.5" customHeight="1" x14ac:dyDescent="0.25">
      <c r="G309" s="595"/>
      <c r="H309" s="599"/>
      <c r="I309" s="622" t="s">
        <v>1149</v>
      </c>
      <c r="J309" s="470"/>
      <c r="K309" s="578">
        <v>156</v>
      </c>
      <c r="L309" s="614"/>
      <c r="M309" s="580" t="str">
        <f t="shared" si="36"/>
        <v>W609C</v>
      </c>
      <c r="N309" s="580" t="str">
        <f t="shared" si="38"/>
        <v>W61BC</v>
      </c>
      <c r="O309" s="580" t="str">
        <f t="shared" si="38"/>
        <v>W62DC</v>
      </c>
      <c r="P309" s="580" t="str">
        <f t="shared" si="38"/>
        <v>W63FC</v>
      </c>
      <c r="Q309" s="580" t="str">
        <f t="shared" si="38"/>
        <v>W651C</v>
      </c>
      <c r="R309" s="580" t="str">
        <f t="shared" si="38"/>
        <v>W663C</v>
      </c>
      <c r="S309" s="580" t="str">
        <f t="shared" si="38"/>
        <v>W675C</v>
      </c>
      <c r="T309" s="580" t="str">
        <f t="shared" si="38"/>
        <v>W687C</v>
      </c>
      <c r="U309" s="580" t="str">
        <f t="shared" si="38"/>
        <v>W699C</v>
      </c>
      <c r="V309" s="580" t="str">
        <f t="shared" si="38"/>
        <v>W6ABC</v>
      </c>
      <c r="W309" s="580" t="str">
        <f t="shared" si="38"/>
        <v>W6BDC</v>
      </c>
      <c r="X309" s="580" t="str">
        <f t="shared" si="38"/>
        <v>W6CFC</v>
      </c>
    </row>
    <row r="310" spans="7:24" ht="13.5" customHeight="1" x14ac:dyDescent="0.25">
      <c r="G310" s="595"/>
      <c r="H310" s="599"/>
      <c r="I310" s="622" t="s">
        <v>1150</v>
      </c>
      <c r="J310" s="470"/>
      <c r="K310" s="578">
        <v>157</v>
      </c>
      <c r="L310" s="614"/>
      <c r="M310" s="580" t="str">
        <f t="shared" si="36"/>
        <v>W609D</v>
      </c>
      <c r="N310" s="580" t="str">
        <f t="shared" si="38"/>
        <v>W61BD</v>
      </c>
      <c r="O310" s="580" t="str">
        <f t="shared" si="38"/>
        <v>W62DD</v>
      </c>
      <c r="P310" s="580" t="str">
        <f t="shared" si="38"/>
        <v>W63FD</v>
      </c>
      <c r="Q310" s="580" t="str">
        <f t="shared" si="38"/>
        <v>W651D</v>
      </c>
      <c r="R310" s="580" t="str">
        <f t="shared" si="38"/>
        <v>W663D</v>
      </c>
      <c r="S310" s="580" t="str">
        <f t="shared" si="38"/>
        <v>W675D</v>
      </c>
      <c r="T310" s="580" t="str">
        <f t="shared" si="38"/>
        <v>W687D</v>
      </c>
      <c r="U310" s="580" t="str">
        <f t="shared" si="38"/>
        <v>W699D</v>
      </c>
      <c r="V310" s="580" t="str">
        <f t="shared" si="38"/>
        <v>W6ABD</v>
      </c>
      <c r="W310" s="580" t="str">
        <f t="shared" si="38"/>
        <v>W6BDD</v>
      </c>
      <c r="X310" s="580" t="str">
        <f t="shared" si="38"/>
        <v>W6CFD</v>
      </c>
    </row>
    <row r="311" spans="7:24" ht="13.5" customHeight="1" x14ac:dyDescent="0.25">
      <c r="G311" s="595"/>
      <c r="H311" s="599"/>
      <c r="I311" s="622" t="s">
        <v>1151</v>
      </c>
      <c r="J311" s="470"/>
      <c r="K311" s="578">
        <v>158</v>
      </c>
      <c r="L311" s="614"/>
      <c r="M311" s="580" t="str">
        <f t="shared" si="36"/>
        <v>W609E</v>
      </c>
      <c r="N311" s="580" t="str">
        <f t="shared" si="38"/>
        <v>W61BE</v>
      </c>
      <c r="O311" s="580" t="str">
        <f t="shared" si="38"/>
        <v>W62DE</v>
      </c>
      <c r="P311" s="580" t="str">
        <f t="shared" si="38"/>
        <v>W63FE</v>
      </c>
      <c r="Q311" s="580" t="str">
        <f t="shared" si="38"/>
        <v>W651E</v>
      </c>
      <c r="R311" s="580" t="str">
        <f t="shared" si="38"/>
        <v>W663E</v>
      </c>
      <c r="S311" s="580" t="str">
        <f t="shared" si="38"/>
        <v>W675E</v>
      </c>
      <c r="T311" s="580" t="str">
        <f t="shared" si="38"/>
        <v>W687E</v>
      </c>
      <c r="U311" s="580" t="str">
        <f t="shared" si="38"/>
        <v>W699E</v>
      </c>
      <c r="V311" s="580" t="str">
        <f t="shared" si="38"/>
        <v>W6ABE</v>
      </c>
      <c r="W311" s="580" t="str">
        <f t="shared" si="38"/>
        <v>W6BDE</v>
      </c>
      <c r="X311" s="580" t="str">
        <f t="shared" si="38"/>
        <v>W6CFE</v>
      </c>
    </row>
    <row r="312" spans="7:24" ht="13.5" customHeight="1" thickBot="1" x14ac:dyDescent="0.3">
      <c r="G312" s="595"/>
      <c r="H312" s="599"/>
      <c r="I312" s="616" t="s">
        <v>1152</v>
      </c>
      <c r="J312" s="414"/>
      <c r="K312" s="611">
        <v>159</v>
      </c>
      <c r="L312" s="617"/>
      <c r="M312" s="591" t="str">
        <f t="shared" si="36"/>
        <v>W609F</v>
      </c>
      <c r="N312" s="591" t="str">
        <f t="shared" si="38"/>
        <v>W61BF</v>
      </c>
      <c r="O312" s="591" t="str">
        <f t="shared" si="38"/>
        <v>W62DF</v>
      </c>
      <c r="P312" s="591" t="str">
        <f t="shared" si="38"/>
        <v>W63FF</v>
      </c>
      <c r="Q312" s="591" t="str">
        <f t="shared" si="38"/>
        <v>W651F</v>
      </c>
      <c r="R312" s="591" t="str">
        <f t="shared" si="38"/>
        <v>W663F</v>
      </c>
      <c r="S312" s="591" t="str">
        <f t="shared" si="38"/>
        <v>W675F</v>
      </c>
      <c r="T312" s="591" t="str">
        <f t="shared" si="38"/>
        <v>W687F</v>
      </c>
      <c r="U312" s="591" t="str">
        <f t="shared" si="38"/>
        <v>W699F</v>
      </c>
      <c r="V312" s="591" t="str">
        <f t="shared" si="38"/>
        <v>W6ABF</v>
      </c>
      <c r="W312" s="591" t="str">
        <f t="shared" si="38"/>
        <v>W6BDF</v>
      </c>
      <c r="X312" s="591" t="str">
        <f t="shared" si="38"/>
        <v>W6CFF</v>
      </c>
    </row>
    <row r="313" spans="7:24" ht="13.5" customHeight="1" thickTop="1" x14ac:dyDescent="0.25">
      <c r="G313" s="595"/>
      <c r="H313" s="599"/>
      <c r="I313" s="620" t="s">
        <v>1153</v>
      </c>
      <c r="J313" s="464"/>
      <c r="K313" s="572">
        <v>160</v>
      </c>
      <c r="L313" s="613">
        <v>11</v>
      </c>
      <c r="M313" s="574" t="str">
        <f t="shared" si="36"/>
        <v>W60A0</v>
      </c>
      <c r="N313" s="574" t="str">
        <f t="shared" si="38"/>
        <v>W61C0</v>
      </c>
      <c r="O313" s="574" t="str">
        <f t="shared" si="38"/>
        <v>W62E0</v>
      </c>
      <c r="P313" s="574" t="str">
        <f t="shared" si="38"/>
        <v>W6400</v>
      </c>
      <c r="Q313" s="574" t="str">
        <f t="shared" si="38"/>
        <v>W6520</v>
      </c>
      <c r="R313" s="574" t="str">
        <f t="shared" si="38"/>
        <v>W6640</v>
      </c>
      <c r="S313" s="574" t="str">
        <f t="shared" si="38"/>
        <v>W6760</v>
      </c>
      <c r="T313" s="574" t="str">
        <f t="shared" si="38"/>
        <v>W6880</v>
      </c>
      <c r="U313" s="574" t="str">
        <f t="shared" si="38"/>
        <v>W69A0</v>
      </c>
      <c r="V313" s="574" t="str">
        <f t="shared" si="38"/>
        <v>W6AC0</v>
      </c>
      <c r="W313" s="574" t="str">
        <f t="shared" si="38"/>
        <v>W6BE0</v>
      </c>
      <c r="X313" s="574" t="str">
        <f t="shared" si="38"/>
        <v>W6D00</v>
      </c>
    </row>
    <row r="314" spans="7:24" ht="13.5" customHeight="1" x14ac:dyDescent="0.25">
      <c r="G314" s="595"/>
      <c r="H314" s="599"/>
      <c r="I314" s="622" t="s">
        <v>1154</v>
      </c>
      <c r="J314" s="470"/>
      <c r="K314" s="578">
        <v>161</v>
      </c>
      <c r="L314" s="614"/>
      <c r="M314" s="580" t="str">
        <f t="shared" si="36"/>
        <v>W60A1</v>
      </c>
      <c r="N314" s="580" t="str">
        <f t="shared" si="38"/>
        <v>W61C1</v>
      </c>
      <c r="O314" s="580" t="str">
        <f t="shared" si="38"/>
        <v>W62E1</v>
      </c>
      <c r="P314" s="580" t="str">
        <f t="shared" si="38"/>
        <v>W6401</v>
      </c>
      <c r="Q314" s="580" t="str">
        <f t="shared" si="38"/>
        <v>W6521</v>
      </c>
      <c r="R314" s="580" t="str">
        <f t="shared" si="38"/>
        <v>W6641</v>
      </c>
      <c r="S314" s="580" t="str">
        <f t="shared" si="38"/>
        <v>W6761</v>
      </c>
      <c r="T314" s="580" t="str">
        <f t="shared" si="38"/>
        <v>W6881</v>
      </c>
      <c r="U314" s="580" t="str">
        <f t="shared" si="38"/>
        <v>W69A1</v>
      </c>
      <c r="V314" s="580" t="str">
        <f t="shared" si="38"/>
        <v>W6AC1</v>
      </c>
      <c r="W314" s="580" t="str">
        <f t="shared" si="38"/>
        <v>W6BE1</v>
      </c>
      <c r="X314" s="580" t="str">
        <f t="shared" si="38"/>
        <v>W6D01</v>
      </c>
    </row>
    <row r="315" spans="7:24" ht="13.5" customHeight="1" x14ac:dyDescent="0.25">
      <c r="G315" s="595"/>
      <c r="H315" s="599"/>
      <c r="I315" s="622" t="s">
        <v>1155</v>
      </c>
      <c r="J315" s="470"/>
      <c r="K315" s="578">
        <v>162</v>
      </c>
      <c r="L315" s="614"/>
      <c r="M315" s="580" t="str">
        <f t="shared" si="36"/>
        <v>W60A2</v>
      </c>
      <c r="N315" s="580" t="str">
        <f t="shared" ref="N315:X330" si="39">"W"&amp;DEC2HEX(HEX2DEC(SUBSTITUTE(N314,"W",""))+1)</f>
        <v>W61C2</v>
      </c>
      <c r="O315" s="580" t="str">
        <f t="shared" si="39"/>
        <v>W62E2</v>
      </c>
      <c r="P315" s="580" t="str">
        <f t="shared" si="39"/>
        <v>W6402</v>
      </c>
      <c r="Q315" s="580" t="str">
        <f t="shared" si="39"/>
        <v>W6522</v>
      </c>
      <c r="R315" s="580" t="str">
        <f t="shared" si="39"/>
        <v>W6642</v>
      </c>
      <c r="S315" s="580" t="str">
        <f t="shared" si="39"/>
        <v>W6762</v>
      </c>
      <c r="T315" s="580" t="str">
        <f t="shared" si="39"/>
        <v>W6882</v>
      </c>
      <c r="U315" s="580" t="str">
        <f t="shared" si="39"/>
        <v>W69A2</v>
      </c>
      <c r="V315" s="580" t="str">
        <f t="shared" si="39"/>
        <v>W6AC2</v>
      </c>
      <c r="W315" s="580" t="str">
        <f t="shared" si="39"/>
        <v>W6BE2</v>
      </c>
      <c r="X315" s="580" t="str">
        <f t="shared" si="39"/>
        <v>W6D02</v>
      </c>
    </row>
    <row r="316" spans="7:24" ht="13.5" customHeight="1" x14ac:dyDescent="0.25">
      <c r="G316" s="595"/>
      <c r="H316" s="599"/>
      <c r="I316" s="622" t="s">
        <v>1156</v>
      </c>
      <c r="J316" s="470"/>
      <c r="K316" s="578">
        <v>163</v>
      </c>
      <c r="L316" s="614"/>
      <c r="M316" s="580" t="str">
        <f t="shared" si="36"/>
        <v>W60A3</v>
      </c>
      <c r="N316" s="580" t="str">
        <f t="shared" si="39"/>
        <v>W61C3</v>
      </c>
      <c r="O316" s="580" t="str">
        <f t="shared" si="39"/>
        <v>W62E3</v>
      </c>
      <c r="P316" s="580" t="str">
        <f t="shared" si="39"/>
        <v>W6403</v>
      </c>
      <c r="Q316" s="580" t="str">
        <f t="shared" si="39"/>
        <v>W6523</v>
      </c>
      <c r="R316" s="580" t="str">
        <f t="shared" si="39"/>
        <v>W6643</v>
      </c>
      <c r="S316" s="580" t="str">
        <f t="shared" si="39"/>
        <v>W6763</v>
      </c>
      <c r="T316" s="580" t="str">
        <f t="shared" si="39"/>
        <v>W6883</v>
      </c>
      <c r="U316" s="580" t="str">
        <f t="shared" si="39"/>
        <v>W69A3</v>
      </c>
      <c r="V316" s="580" t="str">
        <f t="shared" si="39"/>
        <v>W6AC3</v>
      </c>
      <c r="W316" s="580" t="str">
        <f t="shared" si="39"/>
        <v>W6BE3</v>
      </c>
      <c r="X316" s="580" t="str">
        <f t="shared" si="39"/>
        <v>W6D03</v>
      </c>
    </row>
    <row r="317" spans="7:24" ht="13.5" customHeight="1" x14ac:dyDescent="0.25">
      <c r="G317" s="595"/>
      <c r="H317" s="599"/>
      <c r="I317" s="622" t="s">
        <v>1157</v>
      </c>
      <c r="J317" s="470"/>
      <c r="K317" s="578">
        <v>164</v>
      </c>
      <c r="L317" s="614"/>
      <c r="M317" s="580" t="str">
        <f t="shared" si="36"/>
        <v>W60A4</v>
      </c>
      <c r="N317" s="580" t="str">
        <f t="shared" si="39"/>
        <v>W61C4</v>
      </c>
      <c r="O317" s="580" t="str">
        <f t="shared" si="39"/>
        <v>W62E4</v>
      </c>
      <c r="P317" s="580" t="str">
        <f t="shared" si="39"/>
        <v>W6404</v>
      </c>
      <c r="Q317" s="580" t="str">
        <f t="shared" si="39"/>
        <v>W6524</v>
      </c>
      <c r="R317" s="580" t="str">
        <f t="shared" si="39"/>
        <v>W6644</v>
      </c>
      <c r="S317" s="580" t="str">
        <f t="shared" si="39"/>
        <v>W6764</v>
      </c>
      <c r="T317" s="580" t="str">
        <f t="shared" si="39"/>
        <v>W6884</v>
      </c>
      <c r="U317" s="580" t="str">
        <f t="shared" si="39"/>
        <v>W69A4</v>
      </c>
      <c r="V317" s="580" t="str">
        <f t="shared" si="39"/>
        <v>W6AC4</v>
      </c>
      <c r="W317" s="580" t="str">
        <f t="shared" si="39"/>
        <v>W6BE4</v>
      </c>
      <c r="X317" s="580" t="str">
        <f t="shared" si="39"/>
        <v>W6D04</v>
      </c>
    </row>
    <row r="318" spans="7:24" ht="13.5" customHeight="1" x14ac:dyDescent="0.25">
      <c r="G318" s="595"/>
      <c r="H318" s="599"/>
      <c r="I318" s="622" t="s">
        <v>1158</v>
      </c>
      <c r="J318" s="470"/>
      <c r="K318" s="578">
        <v>165</v>
      </c>
      <c r="L318" s="614"/>
      <c r="M318" s="580" t="str">
        <f t="shared" si="36"/>
        <v>W60A5</v>
      </c>
      <c r="N318" s="580" t="str">
        <f t="shared" si="39"/>
        <v>W61C5</v>
      </c>
      <c r="O318" s="580" t="str">
        <f t="shared" si="39"/>
        <v>W62E5</v>
      </c>
      <c r="P318" s="580" t="str">
        <f t="shared" si="39"/>
        <v>W6405</v>
      </c>
      <c r="Q318" s="580" t="str">
        <f t="shared" si="39"/>
        <v>W6525</v>
      </c>
      <c r="R318" s="580" t="str">
        <f t="shared" si="39"/>
        <v>W6645</v>
      </c>
      <c r="S318" s="580" t="str">
        <f t="shared" si="39"/>
        <v>W6765</v>
      </c>
      <c r="T318" s="580" t="str">
        <f t="shared" si="39"/>
        <v>W6885</v>
      </c>
      <c r="U318" s="580" t="str">
        <f t="shared" si="39"/>
        <v>W69A5</v>
      </c>
      <c r="V318" s="580" t="str">
        <f t="shared" si="39"/>
        <v>W6AC5</v>
      </c>
      <c r="W318" s="580" t="str">
        <f t="shared" si="39"/>
        <v>W6BE5</v>
      </c>
      <c r="X318" s="580" t="str">
        <f t="shared" si="39"/>
        <v>W6D05</v>
      </c>
    </row>
    <row r="319" spans="7:24" ht="13.5" customHeight="1" x14ac:dyDescent="0.25">
      <c r="G319" s="595"/>
      <c r="H319" s="599"/>
      <c r="I319" s="622" t="s">
        <v>1159</v>
      </c>
      <c r="J319" s="470"/>
      <c r="K319" s="578">
        <v>166</v>
      </c>
      <c r="L319" s="614"/>
      <c r="M319" s="580" t="str">
        <f t="shared" si="36"/>
        <v>W60A6</v>
      </c>
      <c r="N319" s="580" t="str">
        <f t="shared" si="39"/>
        <v>W61C6</v>
      </c>
      <c r="O319" s="580" t="str">
        <f t="shared" si="39"/>
        <v>W62E6</v>
      </c>
      <c r="P319" s="580" t="str">
        <f t="shared" si="39"/>
        <v>W6406</v>
      </c>
      <c r="Q319" s="580" t="str">
        <f t="shared" si="39"/>
        <v>W6526</v>
      </c>
      <c r="R319" s="580" t="str">
        <f t="shared" si="39"/>
        <v>W6646</v>
      </c>
      <c r="S319" s="580" t="str">
        <f t="shared" si="39"/>
        <v>W6766</v>
      </c>
      <c r="T319" s="580" t="str">
        <f t="shared" si="39"/>
        <v>W6886</v>
      </c>
      <c r="U319" s="580" t="str">
        <f t="shared" si="39"/>
        <v>W69A6</v>
      </c>
      <c r="V319" s="580" t="str">
        <f t="shared" si="39"/>
        <v>W6AC6</v>
      </c>
      <c r="W319" s="580" t="str">
        <f t="shared" si="39"/>
        <v>W6BE6</v>
      </c>
      <c r="X319" s="580" t="str">
        <f t="shared" si="39"/>
        <v>W6D06</v>
      </c>
    </row>
    <row r="320" spans="7:24" ht="13.5" customHeight="1" x14ac:dyDescent="0.25">
      <c r="G320" s="595"/>
      <c r="H320" s="599"/>
      <c r="I320" s="622" t="s">
        <v>1160</v>
      </c>
      <c r="J320" s="470"/>
      <c r="K320" s="578">
        <v>167</v>
      </c>
      <c r="L320" s="614"/>
      <c r="M320" s="580" t="str">
        <f t="shared" si="36"/>
        <v>W60A7</v>
      </c>
      <c r="N320" s="580" t="str">
        <f t="shared" si="39"/>
        <v>W61C7</v>
      </c>
      <c r="O320" s="580" t="str">
        <f t="shared" si="39"/>
        <v>W62E7</v>
      </c>
      <c r="P320" s="580" t="str">
        <f t="shared" si="39"/>
        <v>W6407</v>
      </c>
      <c r="Q320" s="580" t="str">
        <f t="shared" si="39"/>
        <v>W6527</v>
      </c>
      <c r="R320" s="580" t="str">
        <f t="shared" si="39"/>
        <v>W6647</v>
      </c>
      <c r="S320" s="580" t="str">
        <f t="shared" si="39"/>
        <v>W6767</v>
      </c>
      <c r="T320" s="580" t="str">
        <f t="shared" si="39"/>
        <v>W6887</v>
      </c>
      <c r="U320" s="580" t="str">
        <f t="shared" si="39"/>
        <v>W69A7</v>
      </c>
      <c r="V320" s="580" t="str">
        <f t="shared" si="39"/>
        <v>W6AC7</v>
      </c>
      <c r="W320" s="580" t="str">
        <f t="shared" si="39"/>
        <v>W6BE7</v>
      </c>
      <c r="X320" s="580" t="str">
        <f t="shared" si="39"/>
        <v>W6D07</v>
      </c>
    </row>
    <row r="321" spans="7:24" ht="13.5" customHeight="1" x14ac:dyDescent="0.25">
      <c r="G321" s="595"/>
      <c r="H321" s="599"/>
      <c r="I321" s="622" t="s">
        <v>1161</v>
      </c>
      <c r="J321" s="470"/>
      <c r="K321" s="578">
        <v>168</v>
      </c>
      <c r="L321" s="614"/>
      <c r="M321" s="580" t="str">
        <f t="shared" si="36"/>
        <v>W60A8</v>
      </c>
      <c r="N321" s="580" t="str">
        <f t="shared" si="39"/>
        <v>W61C8</v>
      </c>
      <c r="O321" s="580" t="str">
        <f t="shared" si="39"/>
        <v>W62E8</v>
      </c>
      <c r="P321" s="580" t="str">
        <f t="shared" si="39"/>
        <v>W6408</v>
      </c>
      <c r="Q321" s="580" t="str">
        <f t="shared" si="39"/>
        <v>W6528</v>
      </c>
      <c r="R321" s="580" t="str">
        <f t="shared" si="39"/>
        <v>W6648</v>
      </c>
      <c r="S321" s="580" t="str">
        <f t="shared" si="39"/>
        <v>W6768</v>
      </c>
      <c r="T321" s="580" t="str">
        <f t="shared" si="39"/>
        <v>W6888</v>
      </c>
      <c r="U321" s="580" t="str">
        <f t="shared" si="39"/>
        <v>W69A8</v>
      </c>
      <c r="V321" s="580" t="str">
        <f t="shared" si="39"/>
        <v>W6AC8</v>
      </c>
      <c r="W321" s="580" t="str">
        <f t="shared" si="39"/>
        <v>W6BE8</v>
      </c>
      <c r="X321" s="580" t="str">
        <f t="shared" si="39"/>
        <v>W6D08</v>
      </c>
    </row>
    <row r="322" spans="7:24" ht="13.5" customHeight="1" x14ac:dyDescent="0.25">
      <c r="G322" s="595"/>
      <c r="H322" s="599"/>
      <c r="I322" s="622" t="s">
        <v>1162</v>
      </c>
      <c r="J322" s="470"/>
      <c r="K322" s="578">
        <v>169</v>
      </c>
      <c r="L322" s="614"/>
      <c r="M322" s="580" t="str">
        <f t="shared" si="36"/>
        <v>W60A9</v>
      </c>
      <c r="N322" s="580" t="str">
        <f t="shared" si="39"/>
        <v>W61C9</v>
      </c>
      <c r="O322" s="580" t="str">
        <f t="shared" si="39"/>
        <v>W62E9</v>
      </c>
      <c r="P322" s="580" t="str">
        <f t="shared" si="39"/>
        <v>W6409</v>
      </c>
      <c r="Q322" s="580" t="str">
        <f t="shared" si="39"/>
        <v>W6529</v>
      </c>
      <c r="R322" s="580" t="str">
        <f t="shared" si="39"/>
        <v>W6649</v>
      </c>
      <c r="S322" s="580" t="str">
        <f t="shared" si="39"/>
        <v>W6769</v>
      </c>
      <c r="T322" s="580" t="str">
        <f t="shared" si="39"/>
        <v>W6889</v>
      </c>
      <c r="U322" s="580" t="str">
        <f t="shared" si="39"/>
        <v>W69A9</v>
      </c>
      <c r="V322" s="580" t="str">
        <f t="shared" si="39"/>
        <v>W6AC9</v>
      </c>
      <c r="W322" s="580" t="str">
        <f t="shared" si="39"/>
        <v>W6BE9</v>
      </c>
      <c r="X322" s="580" t="str">
        <f t="shared" si="39"/>
        <v>W6D09</v>
      </c>
    </row>
    <row r="323" spans="7:24" ht="13.5" customHeight="1" x14ac:dyDescent="0.25">
      <c r="G323" s="595"/>
      <c r="H323" s="599"/>
      <c r="I323" s="622" t="s">
        <v>1163</v>
      </c>
      <c r="J323" s="470"/>
      <c r="K323" s="578">
        <v>170</v>
      </c>
      <c r="L323" s="614"/>
      <c r="M323" s="580" t="str">
        <f t="shared" si="36"/>
        <v>W60AA</v>
      </c>
      <c r="N323" s="580" t="str">
        <f t="shared" si="39"/>
        <v>W61CA</v>
      </c>
      <c r="O323" s="580" t="str">
        <f t="shared" si="39"/>
        <v>W62EA</v>
      </c>
      <c r="P323" s="580" t="str">
        <f t="shared" si="39"/>
        <v>W640A</v>
      </c>
      <c r="Q323" s="580" t="str">
        <f t="shared" si="39"/>
        <v>W652A</v>
      </c>
      <c r="R323" s="580" t="str">
        <f t="shared" si="39"/>
        <v>W664A</v>
      </c>
      <c r="S323" s="580" t="str">
        <f t="shared" si="39"/>
        <v>W676A</v>
      </c>
      <c r="T323" s="580" t="str">
        <f t="shared" si="39"/>
        <v>W688A</v>
      </c>
      <c r="U323" s="580" t="str">
        <f t="shared" si="39"/>
        <v>W69AA</v>
      </c>
      <c r="V323" s="580" t="str">
        <f t="shared" si="39"/>
        <v>W6ACA</v>
      </c>
      <c r="W323" s="580" t="str">
        <f t="shared" si="39"/>
        <v>W6BEA</v>
      </c>
      <c r="X323" s="580" t="str">
        <f t="shared" si="39"/>
        <v>W6D0A</v>
      </c>
    </row>
    <row r="324" spans="7:24" ht="13.5" customHeight="1" x14ac:dyDescent="0.25">
      <c r="G324" s="595"/>
      <c r="H324" s="599"/>
      <c r="I324" s="622" t="s">
        <v>1164</v>
      </c>
      <c r="J324" s="470"/>
      <c r="K324" s="578">
        <v>171</v>
      </c>
      <c r="L324" s="614"/>
      <c r="M324" s="580" t="str">
        <f t="shared" si="36"/>
        <v>W60AB</v>
      </c>
      <c r="N324" s="580" t="str">
        <f t="shared" si="39"/>
        <v>W61CB</v>
      </c>
      <c r="O324" s="580" t="str">
        <f t="shared" si="39"/>
        <v>W62EB</v>
      </c>
      <c r="P324" s="580" t="str">
        <f t="shared" si="39"/>
        <v>W640B</v>
      </c>
      <c r="Q324" s="580" t="str">
        <f t="shared" si="39"/>
        <v>W652B</v>
      </c>
      <c r="R324" s="580" t="str">
        <f t="shared" si="39"/>
        <v>W664B</v>
      </c>
      <c r="S324" s="580" t="str">
        <f t="shared" si="39"/>
        <v>W676B</v>
      </c>
      <c r="T324" s="580" t="str">
        <f t="shared" si="39"/>
        <v>W688B</v>
      </c>
      <c r="U324" s="580" t="str">
        <f t="shared" si="39"/>
        <v>W69AB</v>
      </c>
      <c r="V324" s="580" t="str">
        <f t="shared" si="39"/>
        <v>W6ACB</v>
      </c>
      <c r="W324" s="580" t="str">
        <f t="shared" si="39"/>
        <v>W6BEB</v>
      </c>
      <c r="X324" s="580" t="str">
        <f t="shared" si="39"/>
        <v>W6D0B</v>
      </c>
    </row>
    <row r="325" spans="7:24" ht="13.5" customHeight="1" x14ac:dyDescent="0.25">
      <c r="G325" s="595"/>
      <c r="H325" s="599"/>
      <c r="I325" s="622" t="s">
        <v>1165</v>
      </c>
      <c r="J325" s="470"/>
      <c r="K325" s="578">
        <v>172</v>
      </c>
      <c r="L325" s="614"/>
      <c r="M325" s="580" t="str">
        <f t="shared" si="36"/>
        <v>W60AC</v>
      </c>
      <c r="N325" s="580" t="str">
        <f t="shared" si="39"/>
        <v>W61CC</v>
      </c>
      <c r="O325" s="580" t="str">
        <f t="shared" si="39"/>
        <v>W62EC</v>
      </c>
      <c r="P325" s="580" t="str">
        <f t="shared" si="39"/>
        <v>W640C</v>
      </c>
      <c r="Q325" s="580" t="str">
        <f t="shared" si="39"/>
        <v>W652C</v>
      </c>
      <c r="R325" s="580" t="str">
        <f t="shared" si="39"/>
        <v>W664C</v>
      </c>
      <c r="S325" s="580" t="str">
        <f t="shared" si="39"/>
        <v>W676C</v>
      </c>
      <c r="T325" s="580" t="str">
        <f t="shared" si="39"/>
        <v>W688C</v>
      </c>
      <c r="U325" s="580" t="str">
        <f t="shared" si="39"/>
        <v>W69AC</v>
      </c>
      <c r="V325" s="580" t="str">
        <f t="shared" si="39"/>
        <v>W6ACC</v>
      </c>
      <c r="W325" s="580" t="str">
        <f t="shared" si="39"/>
        <v>W6BEC</v>
      </c>
      <c r="X325" s="580" t="str">
        <f t="shared" si="39"/>
        <v>W6D0C</v>
      </c>
    </row>
    <row r="326" spans="7:24" ht="13.5" customHeight="1" x14ac:dyDescent="0.25">
      <c r="G326" s="595"/>
      <c r="H326" s="599"/>
      <c r="I326" s="622" t="s">
        <v>1166</v>
      </c>
      <c r="J326" s="470"/>
      <c r="K326" s="578">
        <v>173</v>
      </c>
      <c r="L326" s="614"/>
      <c r="M326" s="580" t="str">
        <f t="shared" si="36"/>
        <v>W60AD</v>
      </c>
      <c r="N326" s="580" t="str">
        <f t="shared" si="39"/>
        <v>W61CD</v>
      </c>
      <c r="O326" s="580" t="str">
        <f t="shared" si="39"/>
        <v>W62ED</v>
      </c>
      <c r="P326" s="580" t="str">
        <f t="shared" si="39"/>
        <v>W640D</v>
      </c>
      <c r="Q326" s="580" t="str">
        <f t="shared" si="39"/>
        <v>W652D</v>
      </c>
      <c r="R326" s="580" t="str">
        <f t="shared" si="39"/>
        <v>W664D</v>
      </c>
      <c r="S326" s="580" t="str">
        <f t="shared" si="39"/>
        <v>W676D</v>
      </c>
      <c r="T326" s="580" t="str">
        <f t="shared" si="39"/>
        <v>W688D</v>
      </c>
      <c r="U326" s="580" t="str">
        <f t="shared" si="39"/>
        <v>W69AD</v>
      </c>
      <c r="V326" s="580" t="str">
        <f t="shared" si="39"/>
        <v>W6ACD</v>
      </c>
      <c r="W326" s="580" t="str">
        <f t="shared" si="39"/>
        <v>W6BED</v>
      </c>
      <c r="X326" s="580" t="str">
        <f t="shared" si="39"/>
        <v>W6D0D</v>
      </c>
    </row>
    <row r="327" spans="7:24" ht="13.5" customHeight="1" x14ac:dyDescent="0.25">
      <c r="G327" s="595"/>
      <c r="H327" s="599"/>
      <c r="I327" s="622" t="s">
        <v>1167</v>
      </c>
      <c r="J327" s="470"/>
      <c r="K327" s="578">
        <v>174</v>
      </c>
      <c r="L327" s="614"/>
      <c r="M327" s="580" t="str">
        <f t="shared" si="36"/>
        <v>W60AE</v>
      </c>
      <c r="N327" s="580" t="str">
        <f t="shared" si="39"/>
        <v>W61CE</v>
      </c>
      <c r="O327" s="580" t="str">
        <f t="shared" si="39"/>
        <v>W62EE</v>
      </c>
      <c r="P327" s="580" t="str">
        <f t="shared" si="39"/>
        <v>W640E</v>
      </c>
      <c r="Q327" s="580" t="str">
        <f t="shared" si="39"/>
        <v>W652E</v>
      </c>
      <c r="R327" s="580" t="str">
        <f t="shared" si="39"/>
        <v>W664E</v>
      </c>
      <c r="S327" s="580" t="str">
        <f t="shared" si="39"/>
        <v>W676E</v>
      </c>
      <c r="T327" s="580" t="str">
        <f t="shared" si="39"/>
        <v>W688E</v>
      </c>
      <c r="U327" s="580" t="str">
        <f t="shared" si="39"/>
        <v>W69AE</v>
      </c>
      <c r="V327" s="580" t="str">
        <f t="shared" si="39"/>
        <v>W6ACE</v>
      </c>
      <c r="W327" s="580" t="str">
        <f t="shared" si="39"/>
        <v>W6BEE</v>
      </c>
      <c r="X327" s="580" t="str">
        <f t="shared" si="39"/>
        <v>W6D0E</v>
      </c>
    </row>
    <row r="328" spans="7:24" ht="13.5" customHeight="1" thickBot="1" x14ac:dyDescent="0.3">
      <c r="G328" s="595"/>
      <c r="H328" s="599"/>
      <c r="I328" s="616" t="s">
        <v>1168</v>
      </c>
      <c r="J328" s="490"/>
      <c r="K328" s="611">
        <v>175</v>
      </c>
      <c r="L328" s="617"/>
      <c r="M328" s="591" t="str">
        <f t="shared" si="36"/>
        <v>W60AF</v>
      </c>
      <c r="N328" s="591" t="str">
        <f t="shared" si="39"/>
        <v>W61CF</v>
      </c>
      <c r="O328" s="591" t="str">
        <f t="shared" si="39"/>
        <v>W62EF</v>
      </c>
      <c r="P328" s="591" t="str">
        <f t="shared" si="39"/>
        <v>W640F</v>
      </c>
      <c r="Q328" s="591" t="str">
        <f t="shared" si="39"/>
        <v>W652F</v>
      </c>
      <c r="R328" s="591" t="str">
        <f t="shared" si="39"/>
        <v>W664F</v>
      </c>
      <c r="S328" s="591" t="str">
        <f t="shared" si="39"/>
        <v>W676F</v>
      </c>
      <c r="T328" s="591" t="str">
        <f t="shared" si="39"/>
        <v>W688F</v>
      </c>
      <c r="U328" s="591" t="str">
        <f t="shared" si="39"/>
        <v>W69AF</v>
      </c>
      <c r="V328" s="591" t="str">
        <f t="shared" si="39"/>
        <v>W6ACF</v>
      </c>
      <c r="W328" s="591" t="str">
        <f t="shared" si="39"/>
        <v>W6BEF</v>
      </c>
      <c r="X328" s="591" t="str">
        <f t="shared" si="39"/>
        <v>W6D0F</v>
      </c>
    </row>
    <row r="329" spans="7:24" ht="13.5" customHeight="1" thickTop="1" x14ac:dyDescent="0.25">
      <c r="G329" s="595"/>
      <c r="H329" s="599"/>
      <c r="I329" s="620" t="s">
        <v>1169</v>
      </c>
      <c r="J329" s="464"/>
      <c r="K329" s="572">
        <v>176</v>
      </c>
      <c r="L329" s="613">
        <v>12</v>
      </c>
      <c r="M329" s="574" t="str">
        <f t="shared" si="36"/>
        <v>W60B0</v>
      </c>
      <c r="N329" s="574" t="str">
        <f t="shared" si="39"/>
        <v>W61D0</v>
      </c>
      <c r="O329" s="574" t="str">
        <f t="shared" si="39"/>
        <v>W62F0</v>
      </c>
      <c r="P329" s="574" t="str">
        <f t="shared" si="39"/>
        <v>W6410</v>
      </c>
      <c r="Q329" s="574" t="str">
        <f t="shared" si="39"/>
        <v>W6530</v>
      </c>
      <c r="R329" s="574" t="str">
        <f t="shared" si="39"/>
        <v>W6650</v>
      </c>
      <c r="S329" s="574" t="str">
        <f t="shared" si="39"/>
        <v>W6770</v>
      </c>
      <c r="T329" s="574" t="str">
        <f t="shared" si="39"/>
        <v>W6890</v>
      </c>
      <c r="U329" s="574" t="str">
        <f t="shared" si="39"/>
        <v>W69B0</v>
      </c>
      <c r="V329" s="574" t="str">
        <f t="shared" si="39"/>
        <v>W6AD0</v>
      </c>
      <c r="W329" s="574" t="str">
        <f t="shared" si="39"/>
        <v>W6BF0</v>
      </c>
      <c r="X329" s="574" t="str">
        <f t="shared" si="39"/>
        <v>W6D10</v>
      </c>
    </row>
    <row r="330" spans="7:24" ht="13.5" customHeight="1" x14ac:dyDescent="0.25">
      <c r="G330" s="595"/>
      <c r="H330" s="599"/>
      <c r="I330" s="622" t="s">
        <v>1170</v>
      </c>
      <c r="J330" s="470"/>
      <c r="K330" s="578">
        <v>177</v>
      </c>
      <c r="L330" s="614"/>
      <c r="M330" s="580" t="str">
        <f t="shared" si="36"/>
        <v>W60B1</v>
      </c>
      <c r="N330" s="580" t="str">
        <f t="shared" si="39"/>
        <v>W61D1</v>
      </c>
      <c r="O330" s="580" t="str">
        <f t="shared" si="39"/>
        <v>W62F1</v>
      </c>
      <c r="P330" s="580" t="str">
        <f t="shared" si="39"/>
        <v>W6411</v>
      </c>
      <c r="Q330" s="580" t="str">
        <f t="shared" si="39"/>
        <v>W6531</v>
      </c>
      <c r="R330" s="580" t="str">
        <f t="shared" si="39"/>
        <v>W6651</v>
      </c>
      <c r="S330" s="580" t="str">
        <f t="shared" si="39"/>
        <v>W6771</v>
      </c>
      <c r="T330" s="580" t="str">
        <f t="shared" si="39"/>
        <v>W6891</v>
      </c>
      <c r="U330" s="580" t="str">
        <f t="shared" si="39"/>
        <v>W69B1</v>
      </c>
      <c r="V330" s="580" t="str">
        <f t="shared" si="39"/>
        <v>W6AD1</v>
      </c>
      <c r="W330" s="580" t="str">
        <f t="shared" si="39"/>
        <v>W6BF1</v>
      </c>
      <c r="X330" s="580" t="str">
        <f t="shared" si="39"/>
        <v>W6D11</v>
      </c>
    </row>
    <row r="331" spans="7:24" ht="13.5" customHeight="1" x14ac:dyDescent="0.25">
      <c r="G331" s="595"/>
      <c r="H331" s="599"/>
      <c r="I331" s="622" t="s">
        <v>1171</v>
      </c>
      <c r="J331" s="470"/>
      <c r="K331" s="578">
        <v>178</v>
      </c>
      <c r="L331" s="614"/>
      <c r="M331" s="580" t="str">
        <f t="shared" si="36"/>
        <v>W60B2</v>
      </c>
      <c r="N331" s="580" t="str">
        <f t="shared" ref="N331:X346" si="40">"W"&amp;DEC2HEX(HEX2DEC(SUBSTITUTE(N330,"W",""))+1)</f>
        <v>W61D2</v>
      </c>
      <c r="O331" s="580" t="str">
        <f t="shared" si="40"/>
        <v>W62F2</v>
      </c>
      <c r="P331" s="580" t="str">
        <f t="shared" si="40"/>
        <v>W6412</v>
      </c>
      <c r="Q331" s="580" t="str">
        <f t="shared" si="40"/>
        <v>W6532</v>
      </c>
      <c r="R331" s="580" t="str">
        <f t="shared" si="40"/>
        <v>W6652</v>
      </c>
      <c r="S331" s="580" t="str">
        <f t="shared" si="40"/>
        <v>W6772</v>
      </c>
      <c r="T331" s="580" t="str">
        <f t="shared" si="40"/>
        <v>W6892</v>
      </c>
      <c r="U331" s="580" t="str">
        <f t="shared" si="40"/>
        <v>W69B2</v>
      </c>
      <c r="V331" s="580" t="str">
        <f t="shared" si="40"/>
        <v>W6AD2</v>
      </c>
      <c r="W331" s="580" t="str">
        <f t="shared" si="40"/>
        <v>W6BF2</v>
      </c>
      <c r="X331" s="580" t="str">
        <f t="shared" si="40"/>
        <v>W6D12</v>
      </c>
    </row>
    <row r="332" spans="7:24" ht="13.5" customHeight="1" x14ac:dyDescent="0.25">
      <c r="G332" s="595"/>
      <c r="H332" s="599"/>
      <c r="I332" s="622" t="s">
        <v>1172</v>
      </c>
      <c r="J332" s="470"/>
      <c r="K332" s="578">
        <v>179</v>
      </c>
      <c r="L332" s="614"/>
      <c r="M332" s="580" t="str">
        <f t="shared" si="36"/>
        <v>W60B3</v>
      </c>
      <c r="N332" s="580" t="str">
        <f t="shared" si="40"/>
        <v>W61D3</v>
      </c>
      <c r="O332" s="580" t="str">
        <f t="shared" si="40"/>
        <v>W62F3</v>
      </c>
      <c r="P332" s="580" t="str">
        <f t="shared" si="40"/>
        <v>W6413</v>
      </c>
      <c r="Q332" s="580" t="str">
        <f t="shared" si="40"/>
        <v>W6533</v>
      </c>
      <c r="R332" s="580" t="str">
        <f t="shared" si="40"/>
        <v>W6653</v>
      </c>
      <c r="S332" s="580" t="str">
        <f t="shared" si="40"/>
        <v>W6773</v>
      </c>
      <c r="T332" s="580" t="str">
        <f t="shared" si="40"/>
        <v>W6893</v>
      </c>
      <c r="U332" s="580" t="str">
        <f t="shared" si="40"/>
        <v>W69B3</v>
      </c>
      <c r="V332" s="580" t="str">
        <f t="shared" si="40"/>
        <v>W6AD3</v>
      </c>
      <c r="W332" s="580" t="str">
        <f t="shared" si="40"/>
        <v>W6BF3</v>
      </c>
      <c r="X332" s="580" t="str">
        <f t="shared" si="40"/>
        <v>W6D13</v>
      </c>
    </row>
    <row r="333" spans="7:24" ht="13.5" customHeight="1" x14ac:dyDescent="0.25">
      <c r="G333" s="595"/>
      <c r="H333" s="599"/>
      <c r="I333" s="622" t="s">
        <v>1173</v>
      </c>
      <c r="J333" s="470"/>
      <c r="K333" s="578">
        <v>180</v>
      </c>
      <c r="L333" s="614"/>
      <c r="M333" s="580" t="str">
        <f t="shared" si="36"/>
        <v>W60B4</v>
      </c>
      <c r="N333" s="580" t="str">
        <f t="shared" si="40"/>
        <v>W61D4</v>
      </c>
      <c r="O333" s="580" t="str">
        <f t="shared" si="40"/>
        <v>W62F4</v>
      </c>
      <c r="P333" s="580" t="str">
        <f t="shared" si="40"/>
        <v>W6414</v>
      </c>
      <c r="Q333" s="580" t="str">
        <f t="shared" si="40"/>
        <v>W6534</v>
      </c>
      <c r="R333" s="580" t="str">
        <f t="shared" si="40"/>
        <v>W6654</v>
      </c>
      <c r="S333" s="580" t="str">
        <f t="shared" si="40"/>
        <v>W6774</v>
      </c>
      <c r="T333" s="580" t="str">
        <f t="shared" si="40"/>
        <v>W6894</v>
      </c>
      <c r="U333" s="580" t="str">
        <f t="shared" si="40"/>
        <v>W69B4</v>
      </c>
      <c r="V333" s="580" t="str">
        <f t="shared" si="40"/>
        <v>W6AD4</v>
      </c>
      <c r="W333" s="580" t="str">
        <f t="shared" si="40"/>
        <v>W6BF4</v>
      </c>
      <c r="X333" s="580" t="str">
        <f t="shared" si="40"/>
        <v>W6D14</v>
      </c>
    </row>
    <row r="334" spans="7:24" ht="13.5" customHeight="1" x14ac:dyDescent="0.25">
      <c r="G334" s="595"/>
      <c r="H334" s="599"/>
      <c r="I334" s="622" t="s">
        <v>1174</v>
      </c>
      <c r="J334" s="470"/>
      <c r="K334" s="578">
        <v>181</v>
      </c>
      <c r="L334" s="614"/>
      <c r="M334" s="580" t="str">
        <f t="shared" si="36"/>
        <v>W60B5</v>
      </c>
      <c r="N334" s="580" t="str">
        <f t="shared" si="40"/>
        <v>W61D5</v>
      </c>
      <c r="O334" s="580" t="str">
        <f t="shared" si="40"/>
        <v>W62F5</v>
      </c>
      <c r="P334" s="580" t="str">
        <f t="shared" si="40"/>
        <v>W6415</v>
      </c>
      <c r="Q334" s="580" t="str">
        <f t="shared" si="40"/>
        <v>W6535</v>
      </c>
      <c r="R334" s="580" t="str">
        <f t="shared" si="40"/>
        <v>W6655</v>
      </c>
      <c r="S334" s="580" t="str">
        <f t="shared" si="40"/>
        <v>W6775</v>
      </c>
      <c r="T334" s="580" t="str">
        <f t="shared" si="40"/>
        <v>W6895</v>
      </c>
      <c r="U334" s="580" t="str">
        <f t="shared" si="40"/>
        <v>W69B5</v>
      </c>
      <c r="V334" s="580" t="str">
        <f t="shared" si="40"/>
        <v>W6AD5</v>
      </c>
      <c r="W334" s="580" t="str">
        <f t="shared" si="40"/>
        <v>W6BF5</v>
      </c>
      <c r="X334" s="580" t="str">
        <f t="shared" si="40"/>
        <v>W6D15</v>
      </c>
    </row>
    <row r="335" spans="7:24" ht="13.5" customHeight="1" x14ac:dyDescent="0.25">
      <c r="G335" s="595"/>
      <c r="H335" s="599"/>
      <c r="I335" s="622" t="s">
        <v>1175</v>
      </c>
      <c r="J335" s="470"/>
      <c r="K335" s="578">
        <v>182</v>
      </c>
      <c r="L335" s="614"/>
      <c r="M335" s="580" t="str">
        <f t="shared" si="36"/>
        <v>W60B6</v>
      </c>
      <c r="N335" s="580" t="str">
        <f t="shared" si="40"/>
        <v>W61D6</v>
      </c>
      <c r="O335" s="580" t="str">
        <f t="shared" si="40"/>
        <v>W62F6</v>
      </c>
      <c r="P335" s="580" t="str">
        <f t="shared" si="40"/>
        <v>W6416</v>
      </c>
      <c r="Q335" s="580" t="str">
        <f t="shared" si="40"/>
        <v>W6536</v>
      </c>
      <c r="R335" s="580" t="str">
        <f t="shared" si="40"/>
        <v>W6656</v>
      </c>
      <c r="S335" s="580" t="str">
        <f t="shared" si="40"/>
        <v>W6776</v>
      </c>
      <c r="T335" s="580" t="str">
        <f t="shared" si="40"/>
        <v>W6896</v>
      </c>
      <c r="U335" s="580" t="str">
        <f t="shared" si="40"/>
        <v>W69B6</v>
      </c>
      <c r="V335" s="580" t="str">
        <f t="shared" si="40"/>
        <v>W6AD6</v>
      </c>
      <c r="W335" s="580" t="str">
        <f t="shared" si="40"/>
        <v>W6BF6</v>
      </c>
      <c r="X335" s="580" t="str">
        <f t="shared" si="40"/>
        <v>W6D16</v>
      </c>
    </row>
    <row r="336" spans="7:24" ht="13.5" customHeight="1" x14ac:dyDescent="0.25">
      <c r="G336" s="595"/>
      <c r="H336" s="599"/>
      <c r="I336" s="622" t="s">
        <v>1176</v>
      </c>
      <c r="J336" s="470"/>
      <c r="K336" s="578">
        <v>183</v>
      </c>
      <c r="L336" s="614"/>
      <c r="M336" s="580" t="str">
        <f t="shared" si="36"/>
        <v>W60B7</v>
      </c>
      <c r="N336" s="580" t="str">
        <f t="shared" si="40"/>
        <v>W61D7</v>
      </c>
      <c r="O336" s="580" t="str">
        <f t="shared" si="40"/>
        <v>W62F7</v>
      </c>
      <c r="P336" s="580" t="str">
        <f t="shared" si="40"/>
        <v>W6417</v>
      </c>
      <c r="Q336" s="580" t="str">
        <f t="shared" si="40"/>
        <v>W6537</v>
      </c>
      <c r="R336" s="580" t="str">
        <f t="shared" si="40"/>
        <v>W6657</v>
      </c>
      <c r="S336" s="580" t="str">
        <f t="shared" si="40"/>
        <v>W6777</v>
      </c>
      <c r="T336" s="580" t="str">
        <f t="shared" si="40"/>
        <v>W6897</v>
      </c>
      <c r="U336" s="580" t="str">
        <f t="shared" si="40"/>
        <v>W69B7</v>
      </c>
      <c r="V336" s="580" t="str">
        <f t="shared" si="40"/>
        <v>W6AD7</v>
      </c>
      <c r="W336" s="580" t="str">
        <f t="shared" si="40"/>
        <v>W6BF7</v>
      </c>
      <c r="X336" s="580" t="str">
        <f t="shared" si="40"/>
        <v>W6D17</v>
      </c>
    </row>
    <row r="337" spans="1:24" ht="13.5" customHeight="1" x14ac:dyDescent="0.25">
      <c r="G337" s="595"/>
      <c r="H337" s="599"/>
      <c r="I337" s="622" t="s">
        <v>1177</v>
      </c>
      <c r="J337" s="470"/>
      <c r="K337" s="578">
        <v>184</v>
      </c>
      <c r="L337" s="614"/>
      <c r="M337" s="580" t="str">
        <f t="shared" si="36"/>
        <v>W60B8</v>
      </c>
      <c r="N337" s="580" t="str">
        <f t="shared" si="40"/>
        <v>W61D8</v>
      </c>
      <c r="O337" s="580" t="str">
        <f t="shared" si="40"/>
        <v>W62F8</v>
      </c>
      <c r="P337" s="580" t="str">
        <f t="shared" si="40"/>
        <v>W6418</v>
      </c>
      <c r="Q337" s="580" t="str">
        <f t="shared" si="40"/>
        <v>W6538</v>
      </c>
      <c r="R337" s="580" t="str">
        <f t="shared" si="40"/>
        <v>W6658</v>
      </c>
      <c r="S337" s="580" t="str">
        <f t="shared" si="40"/>
        <v>W6778</v>
      </c>
      <c r="T337" s="580" t="str">
        <f t="shared" si="40"/>
        <v>W6898</v>
      </c>
      <c r="U337" s="580" t="str">
        <f t="shared" si="40"/>
        <v>W69B8</v>
      </c>
      <c r="V337" s="580" t="str">
        <f t="shared" si="40"/>
        <v>W6AD8</v>
      </c>
      <c r="W337" s="580" t="str">
        <f t="shared" si="40"/>
        <v>W6BF8</v>
      </c>
      <c r="X337" s="580" t="str">
        <f t="shared" si="40"/>
        <v>W6D18</v>
      </c>
    </row>
    <row r="338" spans="1:24" ht="13.5" customHeight="1" x14ac:dyDescent="0.25">
      <c r="G338" s="595"/>
      <c r="H338" s="599"/>
      <c r="I338" s="622" t="s">
        <v>1178</v>
      </c>
      <c r="J338" s="470"/>
      <c r="K338" s="578">
        <v>185</v>
      </c>
      <c r="L338" s="614"/>
      <c r="M338" s="580" t="str">
        <f t="shared" si="36"/>
        <v>W60B9</v>
      </c>
      <c r="N338" s="580" t="str">
        <f t="shared" si="40"/>
        <v>W61D9</v>
      </c>
      <c r="O338" s="580" t="str">
        <f t="shared" si="40"/>
        <v>W62F9</v>
      </c>
      <c r="P338" s="580" t="str">
        <f t="shared" si="40"/>
        <v>W6419</v>
      </c>
      <c r="Q338" s="580" t="str">
        <f t="shared" si="40"/>
        <v>W6539</v>
      </c>
      <c r="R338" s="580" t="str">
        <f t="shared" si="40"/>
        <v>W6659</v>
      </c>
      <c r="S338" s="580" t="str">
        <f t="shared" si="40"/>
        <v>W6779</v>
      </c>
      <c r="T338" s="580" t="str">
        <f t="shared" si="40"/>
        <v>W6899</v>
      </c>
      <c r="U338" s="580" t="str">
        <f t="shared" si="40"/>
        <v>W69B9</v>
      </c>
      <c r="V338" s="580" t="str">
        <f t="shared" si="40"/>
        <v>W6AD9</v>
      </c>
      <c r="W338" s="580" t="str">
        <f t="shared" si="40"/>
        <v>W6BF9</v>
      </c>
      <c r="X338" s="580" t="str">
        <f t="shared" si="40"/>
        <v>W6D19</v>
      </c>
    </row>
    <row r="339" spans="1:24" ht="13.5" customHeight="1" x14ac:dyDescent="0.25">
      <c r="G339" s="581"/>
      <c r="H339" s="599"/>
      <c r="I339" s="582" t="s">
        <v>742</v>
      </c>
      <c r="J339" s="470"/>
      <c r="K339" s="578">
        <v>186</v>
      </c>
      <c r="L339" s="614"/>
      <c r="M339" s="580" t="str">
        <f t="shared" si="36"/>
        <v>W60BA</v>
      </c>
      <c r="N339" s="580" t="str">
        <f t="shared" si="40"/>
        <v>W61DA</v>
      </c>
      <c r="O339" s="580" t="str">
        <f t="shared" si="40"/>
        <v>W62FA</v>
      </c>
      <c r="P339" s="580" t="str">
        <f t="shared" si="40"/>
        <v>W641A</v>
      </c>
      <c r="Q339" s="580" t="str">
        <f t="shared" si="40"/>
        <v>W653A</v>
      </c>
      <c r="R339" s="580" t="str">
        <f t="shared" si="40"/>
        <v>W665A</v>
      </c>
      <c r="S339" s="580" t="str">
        <f t="shared" si="40"/>
        <v>W677A</v>
      </c>
      <c r="T339" s="580" t="str">
        <f t="shared" si="40"/>
        <v>W689A</v>
      </c>
      <c r="U339" s="580" t="str">
        <f t="shared" si="40"/>
        <v>W69BA</v>
      </c>
      <c r="V339" s="580" t="str">
        <f t="shared" si="40"/>
        <v>W6ADA</v>
      </c>
      <c r="W339" s="580" t="str">
        <f t="shared" si="40"/>
        <v>W6BFA</v>
      </c>
      <c r="X339" s="580" t="str">
        <f t="shared" si="40"/>
        <v>W6D1A</v>
      </c>
    </row>
    <row r="340" spans="1:24" ht="13.5" customHeight="1" thickBot="1" x14ac:dyDescent="0.3">
      <c r="G340" s="581"/>
      <c r="H340" s="599"/>
      <c r="I340" s="582" t="s">
        <v>742</v>
      </c>
      <c r="J340" s="470"/>
      <c r="K340" s="578">
        <v>187</v>
      </c>
      <c r="L340" s="614"/>
      <c r="M340" s="580" t="str">
        <f t="shared" si="36"/>
        <v>W60BB</v>
      </c>
      <c r="N340" s="580" t="str">
        <f t="shared" si="40"/>
        <v>W61DB</v>
      </c>
      <c r="O340" s="580" t="str">
        <f t="shared" si="40"/>
        <v>W62FB</v>
      </c>
      <c r="P340" s="580" t="str">
        <f t="shared" si="40"/>
        <v>W641B</v>
      </c>
      <c r="Q340" s="580" t="str">
        <f t="shared" si="40"/>
        <v>W653B</v>
      </c>
      <c r="R340" s="580" t="str">
        <f t="shared" si="40"/>
        <v>W665B</v>
      </c>
      <c r="S340" s="580" t="str">
        <f t="shared" si="40"/>
        <v>W677B</v>
      </c>
      <c r="T340" s="580" t="str">
        <f t="shared" si="40"/>
        <v>W689B</v>
      </c>
      <c r="U340" s="580" t="str">
        <f t="shared" si="40"/>
        <v>W69BB</v>
      </c>
      <c r="V340" s="580" t="str">
        <f t="shared" si="40"/>
        <v>W6ADB</v>
      </c>
      <c r="W340" s="580" t="str">
        <f t="shared" si="40"/>
        <v>W6BFB</v>
      </c>
      <c r="X340" s="580" t="str">
        <f t="shared" si="40"/>
        <v>W6D1B</v>
      </c>
    </row>
    <row r="341" spans="1:24" ht="13.5" customHeight="1" thickBot="1" x14ac:dyDescent="0.3">
      <c r="A341" s="563" t="s">
        <v>196</v>
      </c>
      <c r="B341" s="585" t="s">
        <v>878</v>
      </c>
      <c r="C341" s="507"/>
      <c r="D341" s="508" t="s">
        <v>879</v>
      </c>
      <c r="E341" s="586"/>
      <c r="F341" s="586"/>
      <c r="G341" s="296" t="s">
        <v>1106</v>
      </c>
      <c r="H341" s="599"/>
      <c r="I341" s="622" t="s">
        <v>1179</v>
      </c>
      <c r="J341" s="470"/>
      <c r="K341" s="578">
        <v>188</v>
      </c>
      <c r="L341" s="614"/>
      <c r="M341" s="580" t="str">
        <f t="shared" si="36"/>
        <v>W60BC</v>
      </c>
      <c r="N341" s="580" t="str">
        <f t="shared" si="40"/>
        <v>W61DC</v>
      </c>
      <c r="O341" s="580" t="str">
        <f t="shared" si="40"/>
        <v>W62FC</v>
      </c>
      <c r="P341" s="580" t="str">
        <f t="shared" si="40"/>
        <v>W641C</v>
      </c>
      <c r="Q341" s="580" t="str">
        <f t="shared" si="40"/>
        <v>W653C</v>
      </c>
      <c r="R341" s="580" t="str">
        <f t="shared" si="40"/>
        <v>W665C</v>
      </c>
      <c r="S341" s="580" t="str">
        <f t="shared" si="40"/>
        <v>W677C</v>
      </c>
      <c r="T341" s="580" t="str">
        <f t="shared" si="40"/>
        <v>W689C</v>
      </c>
      <c r="U341" s="580" t="str">
        <f t="shared" si="40"/>
        <v>W69BC</v>
      </c>
      <c r="V341" s="580" t="str">
        <f t="shared" si="40"/>
        <v>W6ADC</v>
      </c>
      <c r="W341" s="580" t="str">
        <f t="shared" si="40"/>
        <v>W6BFC</v>
      </c>
      <c r="X341" s="580" t="str">
        <f t="shared" si="40"/>
        <v>W6D1C</v>
      </c>
    </row>
    <row r="342" spans="1:24" ht="13.5" customHeight="1" x14ac:dyDescent="0.25">
      <c r="A342" s="605" t="s">
        <v>1049</v>
      </c>
      <c r="B342" s="644" t="s">
        <v>1086</v>
      </c>
      <c r="C342" s="645" t="s">
        <v>889</v>
      </c>
      <c r="D342" s="646" t="s">
        <v>1087</v>
      </c>
      <c r="E342" s="609"/>
      <c r="F342" s="609"/>
      <c r="G342" s="296"/>
      <c r="H342" s="599"/>
      <c r="I342" s="622" t="s">
        <v>1180</v>
      </c>
      <c r="J342" s="470"/>
      <c r="K342" s="578">
        <v>189</v>
      </c>
      <c r="L342" s="614"/>
      <c r="M342" s="580" t="str">
        <f t="shared" si="36"/>
        <v>W60BD</v>
      </c>
      <c r="N342" s="580" t="str">
        <f t="shared" si="40"/>
        <v>W61DD</v>
      </c>
      <c r="O342" s="580" t="str">
        <f t="shared" si="40"/>
        <v>W62FD</v>
      </c>
      <c r="P342" s="580" t="str">
        <f t="shared" si="40"/>
        <v>W641D</v>
      </c>
      <c r="Q342" s="580" t="str">
        <f t="shared" si="40"/>
        <v>W653D</v>
      </c>
      <c r="R342" s="580" t="str">
        <f t="shared" si="40"/>
        <v>W665D</v>
      </c>
      <c r="S342" s="580" t="str">
        <f t="shared" si="40"/>
        <v>W677D</v>
      </c>
      <c r="T342" s="580" t="str">
        <f t="shared" si="40"/>
        <v>W689D</v>
      </c>
      <c r="U342" s="580" t="str">
        <f t="shared" si="40"/>
        <v>W69BD</v>
      </c>
      <c r="V342" s="580" t="str">
        <f t="shared" si="40"/>
        <v>W6ADD</v>
      </c>
      <c r="W342" s="580" t="str">
        <f t="shared" si="40"/>
        <v>W6BFD</v>
      </c>
      <c r="X342" s="580" t="str">
        <f t="shared" si="40"/>
        <v>W6D1D</v>
      </c>
    </row>
    <row r="343" spans="1:24" ht="13.5" customHeight="1" x14ac:dyDescent="0.25">
      <c r="A343" s="605" t="s">
        <v>1049</v>
      </c>
      <c r="B343" s="647" t="s">
        <v>1089</v>
      </c>
      <c r="C343" s="631" t="s">
        <v>889</v>
      </c>
      <c r="D343" s="648" t="s">
        <v>1090</v>
      </c>
      <c r="E343" s="609"/>
      <c r="F343" s="609"/>
      <c r="G343" s="581"/>
      <c r="H343" s="599"/>
      <c r="I343" s="622" t="s">
        <v>1181</v>
      </c>
      <c r="J343" s="470"/>
      <c r="K343" s="578">
        <v>190</v>
      </c>
      <c r="L343" s="614"/>
      <c r="M343" s="580" t="str">
        <f t="shared" si="36"/>
        <v>W60BE</v>
      </c>
      <c r="N343" s="580" t="str">
        <f t="shared" si="40"/>
        <v>W61DE</v>
      </c>
      <c r="O343" s="580" t="str">
        <f t="shared" si="40"/>
        <v>W62FE</v>
      </c>
      <c r="P343" s="580" t="str">
        <f t="shared" si="40"/>
        <v>W641E</v>
      </c>
      <c r="Q343" s="580" t="str">
        <f t="shared" si="40"/>
        <v>W653E</v>
      </c>
      <c r="R343" s="580" t="str">
        <f t="shared" si="40"/>
        <v>W665E</v>
      </c>
      <c r="S343" s="580" t="str">
        <f t="shared" si="40"/>
        <v>W677E</v>
      </c>
      <c r="T343" s="580" t="str">
        <f t="shared" si="40"/>
        <v>W689E</v>
      </c>
      <c r="U343" s="580" t="str">
        <f t="shared" si="40"/>
        <v>W69BE</v>
      </c>
      <c r="V343" s="580" t="str">
        <f t="shared" si="40"/>
        <v>W6ADE</v>
      </c>
      <c r="W343" s="580" t="str">
        <f t="shared" si="40"/>
        <v>W6BFE</v>
      </c>
      <c r="X343" s="580" t="str">
        <f t="shared" si="40"/>
        <v>W6D1E</v>
      </c>
    </row>
    <row r="344" spans="1:24" ht="13.5" customHeight="1" thickBot="1" x14ac:dyDescent="0.3">
      <c r="A344" s="592" t="s">
        <v>1049</v>
      </c>
      <c r="B344" s="626" t="s">
        <v>1092</v>
      </c>
      <c r="C344" s="627" t="s">
        <v>889</v>
      </c>
      <c r="D344" s="635" t="s">
        <v>1092</v>
      </c>
      <c r="E344" s="609"/>
      <c r="F344" s="609"/>
      <c r="G344" s="581"/>
      <c r="H344" s="615"/>
      <c r="I344" s="588" t="s">
        <v>742</v>
      </c>
      <c r="J344" s="490"/>
      <c r="K344" s="611">
        <v>191</v>
      </c>
      <c r="L344" s="617"/>
      <c r="M344" s="591" t="str">
        <f t="shared" si="36"/>
        <v>W60BF</v>
      </c>
      <c r="N344" s="591" t="str">
        <f t="shared" si="40"/>
        <v>W61DF</v>
      </c>
      <c r="O344" s="591" t="str">
        <f t="shared" si="40"/>
        <v>W62FF</v>
      </c>
      <c r="P344" s="591" t="str">
        <f t="shared" si="40"/>
        <v>W641F</v>
      </c>
      <c r="Q344" s="591" t="str">
        <f t="shared" si="40"/>
        <v>W653F</v>
      </c>
      <c r="R344" s="591" t="str">
        <f t="shared" si="40"/>
        <v>W665F</v>
      </c>
      <c r="S344" s="591" t="str">
        <f t="shared" si="40"/>
        <v>W677F</v>
      </c>
      <c r="T344" s="591" t="str">
        <f t="shared" si="40"/>
        <v>W689F</v>
      </c>
      <c r="U344" s="591" t="str">
        <f t="shared" si="40"/>
        <v>W69BF</v>
      </c>
      <c r="V344" s="591" t="str">
        <f t="shared" si="40"/>
        <v>W6ADF</v>
      </c>
      <c r="W344" s="591" t="str">
        <f t="shared" si="40"/>
        <v>W6BFF</v>
      </c>
      <c r="X344" s="591" t="str">
        <f t="shared" si="40"/>
        <v>W6D1F</v>
      </c>
    </row>
    <row r="345" spans="1:24" ht="13.5" customHeight="1" thickTop="1" x14ac:dyDescent="0.25">
      <c r="A345" s="605"/>
      <c r="B345" s="606" t="s">
        <v>888</v>
      </c>
      <c r="C345" s="530" t="s">
        <v>889</v>
      </c>
      <c r="D345" s="607"/>
      <c r="E345" s="594"/>
      <c r="F345" s="594"/>
      <c r="G345" s="581"/>
      <c r="H345" s="575"/>
      <c r="I345" s="649" t="s">
        <v>1182</v>
      </c>
      <c r="J345" s="464"/>
      <c r="K345" s="572">
        <v>192</v>
      </c>
      <c r="L345" s="613">
        <v>13</v>
      </c>
      <c r="M345" s="574" t="str">
        <f t="shared" si="36"/>
        <v>W60C0</v>
      </c>
      <c r="N345" s="574" t="str">
        <f t="shared" si="40"/>
        <v>W61E0</v>
      </c>
      <c r="O345" s="574" t="str">
        <f t="shared" si="40"/>
        <v>W6300</v>
      </c>
      <c r="P345" s="574" t="str">
        <f t="shared" si="40"/>
        <v>W6420</v>
      </c>
      <c r="Q345" s="574" t="str">
        <f t="shared" si="40"/>
        <v>W6540</v>
      </c>
      <c r="R345" s="574" t="str">
        <f t="shared" si="40"/>
        <v>W6660</v>
      </c>
      <c r="S345" s="574" t="str">
        <f t="shared" si="40"/>
        <v>W6780</v>
      </c>
      <c r="T345" s="574" t="str">
        <f t="shared" si="40"/>
        <v>W68A0</v>
      </c>
      <c r="U345" s="574" t="str">
        <f t="shared" si="40"/>
        <v>W69C0</v>
      </c>
      <c r="V345" s="574" t="str">
        <f t="shared" si="40"/>
        <v>W6AE0</v>
      </c>
      <c r="W345" s="574" t="str">
        <f t="shared" si="40"/>
        <v>W6C00</v>
      </c>
      <c r="X345" s="574" t="str">
        <f t="shared" si="40"/>
        <v>W6D20</v>
      </c>
    </row>
    <row r="346" spans="1:24" ht="13.5" customHeight="1" x14ac:dyDescent="0.25">
      <c r="A346" s="605"/>
      <c r="B346" s="606" t="s">
        <v>888</v>
      </c>
      <c r="C346" s="530" t="s">
        <v>889</v>
      </c>
      <c r="D346" s="607"/>
      <c r="E346" s="594"/>
      <c r="F346" s="594"/>
      <c r="G346" s="581"/>
      <c r="H346" s="575"/>
      <c r="I346" s="650" t="s">
        <v>1183</v>
      </c>
      <c r="J346" s="470"/>
      <c r="K346" s="578">
        <v>193</v>
      </c>
      <c r="L346" s="614"/>
      <c r="M346" s="580" t="str">
        <f t="shared" si="36"/>
        <v>W60C1</v>
      </c>
      <c r="N346" s="580" t="str">
        <f t="shared" si="40"/>
        <v>W61E1</v>
      </c>
      <c r="O346" s="580" t="str">
        <f t="shared" si="40"/>
        <v>W6301</v>
      </c>
      <c r="P346" s="580" t="str">
        <f t="shared" si="40"/>
        <v>W6421</v>
      </c>
      <c r="Q346" s="580" t="str">
        <f t="shared" si="40"/>
        <v>W6541</v>
      </c>
      <c r="R346" s="580" t="str">
        <f t="shared" si="40"/>
        <v>W6661</v>
      </c>
      <c r="S346" s="580" t="str">
        <f t="shared" si="40"/>
        <v>W6781</v>
      </c>
      <c r="T346" s="580" t="str">
        <f t="shared" si="40"/>
        <v>W68A1</v>
      </c>
      <c r="U346" s="580" t="str">
        <f t="shared" si="40"/>
        <v>W69C1</v>
      </c>
      <c r="V346" s="580" t="str">
        <f t="shared" si="40"/>
        <v>W6AE1</v>
      </c>
      <c r="W346" s="580" t="str">
        <f t="shared" si="40"/>
        <v>W6C01</v>
      </c>
      <c r="X346" s="580" t="str">
        <f t="shared" si="40"/>
        <v>W6D21</v>
      </c>
    </row>
    <row r="347" spans="1:24" ht="13.5" customHeight="1" x14ac:dyDescent="0.25">
      <c r="A347" s="605"/>
      <c r="B347" s="606" t="s">
        <v>1096</v>
      </c>
      <c r="C347" s="530" t="s">
        <v>889</v>
      </c>
      <c r="D347" s="607"/>
      <c r="E347" s="609"/>
      <c r="F347" s="609"/>
      <c r="G347" s="581"/>
      <c r="H347" s="575"/>
      <c r="I347" s="650" t="s">
        <v>1184</v>
      </c>
      <c r="J347" s="470"/>
      <c r="K347" s="578">
        <v>194</v>
      </c>
      <c r="L347" s="614"/>
      <c r="M347" s="580" t="str">
        <f t="shared" ref="M347:M410" si="41">"W"&amp;DEC2HEX((HEX2DEC(SUBSTITUTE(M346,"W",""))+1))</f>
        <v>W60C2</v>
      </c>
      <c r="N347" s="580" t="str">
        <f t="shared" ref="N347:X362" si="42">"W"&amp;DEC2HEX(HEX2DEC(SUBSTITUTE(N346,"W",""))+1)</f>
        <v>W61E2</v>
      </c>
      <c r="O347" s="580" t="str">
        <f t="shared" si="42"/>
        <v>W6302</v>
      </c>
      <c r="P347" s="580" t="str">
        <f t="shared" si="42"/>
        <v>W6422</v>
      </c>
      <c r="Q347" s="580" t="str">
        <f t="shared" si="42"/>
        <v>W6542</v>
      </c>
      <c r="R347" s="580" t="str">
        <f t="shared" si="42"/>
        <v>W6662</v>
      </c>
      <c r="S347" s="580" t="str">
        <f t="shared" si="42"/>
        <v>W6782</v>
      </c>
      <c r="T347" s="580" t="str">
        <f t="shared" si="42"/>
        <v>W68A2</v>
      </c>
      <c r="U347" s="580" t="str">
        <f t="shared" si="42"/>
        <v>W69C2</v>
      </c>
      <c r="V347" s="580" t="str">
        <f t="shared" si="42"/>
        <v>W6AE2</v>
      </c>
      <c r="W347" s="580" t="str">
        <f t="shared" si="42"/>
        <v>W6C02</v>
      </c>
      <c r="X347" s="580" t="str">
        <f t="shared" si="42"/>
        <v>W6D22</v>
      </c>
    </row>
    <row r="348" spans="1:24" ht="13.5" customHeight="1" x14ac:dyDescent="0.25">
      <c r="A348" s="592" t="s">
        <v>1049</v>
      </c>
      <c r="B348" s="598" t="s">
        <v>1099</v>
      </c>
      <c r="C348" s="519" t="s">
        <v>889</v>
      </c>
      <c r="D348" s="636" t="s">
        <v>1185</v>
      </c>
      <c r="E348" s="594"/>
      <c r="F348" s="594"/>
      <c r="G348" s="581"/>
      <c r="H348" s="575"/>
      <c r="I348" s="650" t="s">
        <v>1186</v>
      </c>
      <c r="J348" s="470"/>
      <c r="K348" s="578">
        <v>195</v>
      </c>
      <c r="L348" s="614"/>
      <c r="M348" s="580" t="str">
        <f t="shared" si="41"/>
        <v>W60C3</v>
      </c>
      <c r="N348" s="580" t="str">
        <f t="shared" si="42"/>
        <v>W61E3</v>
      </c>
      <c r="O348" s="580" t="str">
        <f t="shared" si="42"/>
        <v>W6303</v>
      </c>
      <c r="P348" s="580" t="str">
        <f t="shared" si="42"/>
        <v>W6423</v>
      </c>
      <c r="Q348" s="580" t="str">
        <f t="shared" si="42"/>
        <v>W6543</v>
      </c>
      <c r="R348" s="580" t="str">
        <f t="shared" si="42"/>
        <v>W6663</v>
      </c>
      <c r="S348" s="580" t="str">
        <f t="shared" si="42"/>
        <v>W6783</v>
      </c>
      <c r="T348" s="580" t="str">
        <f t="shared" si="42"/>
        <v>W68A3</v>
      </c>
      <c r="U348" s="580" t="str">
        <f t="shared" si="42"/>
        <v>W69C3</v>
      </c>
      <c r="V348" s="580" t="str">
        <f t="shared" si="42"/>
        <v>W6AE3</v>
      </c>
      <c r="W348" s="580" t="str">
        <f t="shared" si="42"/>
        <v>W6C03</v>
      </c>
      <c r="X348" s="580" t="str">
        <f t="shared" si="42"/>
        <v>W6D23</v>
      </c>
    </row>
    <row r="349" spans="1:24" ht="13.5" customHeight="1" x14ac:dyDescent="0.25">
      <c r="A349" s="602"/>
      <c r="B349" s="598" t="s">
        <v>1187</v>
      </c>
      <c r="C349" s="519" t="s">
        <v>889</v>
      </c>
      <c r="D349" s="636" t="s">
        <v>1188</v>
      </c>
      <c r="E349" s="594"/>
      <c r="F349" s="594"/>
      <c r="G349" s="581"/>
      <c r="H349" s="575"/>
      <c r="I349" s="650" t="s">
        <v>1189</v>
      </c>
      <c r="J349" s="470"/>
      <c r="K349" s="578">
        <v>196</v>
      </c>
      <c r="L349" s="614"/>
      <c r="M349" s="580" t="str">
        <f t="shared" si="41"/>
        <v>W60C4</v>
      </c>
      <c r="N349" s="580" t="str">
        <f t="shared" si="42"/>
        <v>W61E4</v>
      </c>
      <c r="O349" s="580" t="str">
        <f t="shared" si="42"/>
        <v>W6304</v>
      </c>
      <c r="P349" s="580" t="str">
        <f t="shared" si="42"/>
        <v>W6424</v>
      </c>
      <c r="Q349" s="580" t="str">
        <f t="shared" si="42"/>
        <v>W6544</v>
      </c>
      <c r="R349" s="580" t="str">
        <f t="shared" si="42"/>
        <v>W6664</v>
      </c>
      <c r="S349" s="580" t="str">
        <f t="shared" si="42"/>
        <v>W6784</v>
      </c>
      <c r="T349" s="580" t="str">
        <f t="shared" si="42"/>
        <v>W68A4</v>
      </c>
      <c r="U349" s="580" t="str">
        <f t="shared" si="42"/>
        <v>W69C4</v>
      </c>
      <c r="V349" s="580" t="str">
        <f t="shared" si="42"/>
        <v>W6AE4</v>
      </c>
      <c r="W349" s="580" t="str">
        <f t="shared" si="42"/>
        <v>W6C04</v>
      </c>
      <c r="X349" s="580" t="str">
        <f t="shared" si="42"/>
        <v>W6D24</v>
      </c>
    </row>
    <row r="350" spans="1:24" ht="13.5" customHeight="1" x14ac:dyDescent="0.45">
      <c r="A350" s="602"/>
      <c r="B350" s="598" t="s">
        <v>1190</v>
      </c>
      <c r="C350" s="519" t="s">
        <v>889</v>
      </c>
      <c r="D350" s="651" t="s">
        <v>1191</v>
      </c>
      <c r="E350" s="594"/>
      <c r="F350" s="594"/>
      <c r="G350" s="581"/>
      <c r="H350" s="575"/>
      <c r="I350" s="650" t="s">
        <v>1192</v>
      </c>
      <c r="J350" s="470"/>
      <c r="K350" s="578">
        <v>197</v>
      </c>
      <c r="L350" s="614"/>
      <c r="M350" s="580" t="str">
        <f t="shared" si="41"/>
        <v>W60C5</v>
      </c>
      <c r="N350" s="580" t="str">
        <f t="shared" si="42"/>
        <v>W61E5</v>
      </c>
      <c r="O350" s="580" t="str">
        <f t="shared" si="42"/>
        <v>W6305</v>
      </c>
      <c r="P350" s="580" t="str">
        <f t="shared" si="42"/>
        <v>W6425</v>
      </c>
      <c r="Q350" s="580" t="str">
        <f t="shared" si="42"/>
        <v>W6545</v>
      </c>
      <c r="R350" s="580" t="str">
        <f t="shared" si="42"/>
        <v>W6665</v>
      </c>
      <c r="S350" s="580" t="str">
        <f t="shared" si="42"/>
        <v>W6785</v>
      </c>
      <c r="T350" s="580" t="str">
        <f t="shared" si="42"/>
        <v>W68A5</v>
      </c>
      <c r="U350" s="580" t="str">
        <f t="shared" si="42"/>
        <v>W69C5</v>
      </c>
      <c r="V350" s="580" t="str">
        <f t="shared" si="42"/>
        <v>W6AE5</v>
      </c>
      <c r="W350" s="580" t="str">
        <f t="shared" si="42"/>
        <v>W6C05</v>
      </c>
      <c r="X350" s="580" t="str">
        <f t="shared" si="42"/>
        <v>W6D25</v>
      </c>
    </row>
    <row r="351" spans="1:24" ht="13.5" customHeight="1" x14ac:dyDescent="0.25">
      <c r="A351" s="605"/>
      <c r="B351" s="606" t="s">
        <v>888</v>
      </c>
      <c r="C351" s="530" t="s">
        <v>889</v>
      </c>
      <c r="D351" s="607"/>
      <c r="E351" s="594"/>
      <c r="F351" s="594"/>
      <c r="G351" s="581"/>
      <c r="H351" s="575"/>
      <c r="I351" s="650" t="s">
        <v>1193</v>
      </c>
      <c r="J351" s="470"/>
      <c r="K351" s="578">
        <v>198</v>
      </c>
      <c r="L351" s="614"/>
      <c r="M351" s="580" t="str">
        <f t="shared" si="41"/>
        <v>W60C6</v>
      </c>
      <c r="N351" s="580" t="str">
        <f t="shared" si="42"/>
        <v>W61E6</v>
      </c>
      <c r="O351" s="580" t="str">
        <f t="shared" si="42"/>
        <v>W6306</v>
      </c>
      <c r="P351" s="580" t="str">
        <f t="shared" si="42"/>
        <v>W6426</v>
      </c>
      <c r="Q351" s="580" t="str">
        <f t="shared" si="42"/>
        <v>W6546</v>
      </c>
      <c r="R351" s="580" t="str">
        <f t="shared" si="42"/>
        <v>W6666</v>
      </c>
      <c r="S351" s="580" t="str">
        <f t="shared" si="42"/>
        <v>W6786</v>
      </c>
      <c r="T351" s="580" t="str">
        <f t="shared" si="42"/>
        <v>W68A6</v>
      </c>
      <c r="U351" s="580" t="str">
        <f t="shared" si="42"/>
        <v>W69C6</v>
      </c>
      <c r="V351" s="580" t="str">
        <f t="shared" si="42"/>
        <v>W6AE6</v>
      </c>
      <c r="W351" s="580" t="str">
        <f t="shared" si="42"/>
        <v>W6C06</v>
      </c>
      <c r="X351" s="580" t="str">
        <f t="shared" si="42"/>
        <v>W6D26</v>
      </c>
    </row>
    <row r="352" spans="1:24" ht="13.5" customHeight="1" x14ac:dyDescent="0.25">
      <c r="A352" s="605"/>
      <c r="B352" s="606" t="s">
        <v>888</v>
      </c>
      <c r="C352" s="530" t="s">
        <v>889</v>
      </c>
      <c r="D352" s="531"/>
      <c r="E352" s="609"/>
      <c r="F352" s="609"/>
      <c r="G352" s="581"/>
      <c r="H352" s="575"/>
      <c r="I352" s="650" t="s">
        <v>1194</v>
      </c>
      <c r="J352" s="470"/>
      <c r="K352" s="578">
        <v>199</v>
      </c>
      <c r="L352" s="614"/>
      <c r="M352" s="580" t="str">
        <f t="shared" si="41"/>
        <v>W60C7</v>
      </c>
      <c r="N352" s="580" t="str">
        <f t="shared" si="42"/>
        <v>W61E7</v>
      </c>
      <c r="O352" s="580" t="str">
        <f t="shared" si="42"/>
        <v>W6307</v>
      </c>
      <c r="P352" s="580" t="str">
        <f t="shared" si="42"/>
        <v>W6427</v>
      </c>
      <c r="Q352" s="580" t="str">
        <f t="shared" si="42"/>
        <v>W6547</v>
      </c>
      <c r="R352" s="580" t="str">
        <f t="shared" si="42"/>
        <v>W6667</v>
      </c>
      <c r="S352" s="580" t="str">
        <f t="shared" si="42"/>
        <v>W6787</v>
      </c>
      <c r="T352" s="580" t="str">
        <f t="shared" si="42"/>
        <v>W68A7</v>
      </c>
      <c r="U352" s="580" t="str">
        <f t="shared" si="42"/>
        <v>W69C7</v>
      </c>
      <c r="V352" s="580" t="str">
        <f t="shared" si="42"/>
        <v>W6AE7</v>
      </c>
      <c r="W352" s="580" t="str">
        <f t="shared" si="42"/>
        <v>W6C07</v>
      </c>
      <c r="X352" s="580" t="str">
        <f t="shared" si="42"/>
        <v>W6D27</v>
      </c>
    </row>
    <row r="353" spans="1:24" ht="13.5" customHeight="1" x14ac:dyDescent="0.25">
      <c r="A353" s="605"/>
      <c r="B353" s="606" t="s">
        <v>888</v>
      </c>
      <c r="C353" s="530" t="s">
        <v>889</v>
      </c>
      <c r="D353" s="531"/>
      <c r="E353" s="609"/>
      <c r="F353" s="609"/>
      <c r="G353" s="581"/>
      <c r="H353" s="575"/>
      <c r="I353" s="650" t="s">
        <v>1195</v>
      </c>
      <c r="J353" s="470"/>
      <c r="K353" s="578">
        <v>200</v>
      </c>
      <c r="L353" s="614"/>
      <c r="M353" s="580" t="str">
        <f t="shared" si="41"/>
        <v>W60C8</v>
      </c>
      <c r="N353" s="580" t="str">
        <f t="shared" si="42"/>
        <v>W61E8</v>
      </c>
      <c r="O353" s="580" t="str">
        <f t="shared" si="42"/>
        <v>W6308</v>
      </c>
      <c r="P353" s="580" t="str">
        <f t="shared" si="42"/>
        <v>W6428</v>
      </c>
      <c r="Q353" s="580" t="str">
        <f t="shared" si="42"/>
        <v>W6548</v>
      </c>
      <c r="R353" s="580" t="str">
        <f t="shared" si="42"/>
        <v>W6668</v>
      </c>
      <c r="S353" s="580" t="str">
        <f t="shared" si="42"/>
        <v>W6788</v>
      </c>
      <c r="T353" s="580" t="str">
        <f t="shared" si="42"/>
        <v>W68A8</v>
      </c>
      <c r="U353" s="580" t="str">
        <f t="shared" si="42"/>
        <v>W69C8</v>
      </c>
      <c r="V353" s="580" t="str">
        <f t="shared" si="42"/>
        <v>W6AE8</v>
      </c>
      <c r="W353" s="580" t="str">
        <f t="shared" si="42"/>
        <v>W6C08</v>
      </c>
      <c r="X353" s="580" t="str">
        <f t="shared" si="42"/>
        <v>W6D28</v>
      </c>
    </row>
    <row r="354" spans="1:24" ht="13.5" customHeight="1" x14ac:dyDescent="0.25">
      <c r="A354" s="602"/>
      <c r="B354" s="598" t="s">
        <v>1104</v>
      </c>
      <c r="C354" s="519" t="s">
        <v>889</v>
      </c>
      <c r="D354" s="628" t="s">
        <v>1105</v>
      </c>
      <c r="E354" s="609"/>
      <c r="F354" s="609"/>
      <c r="G354" s="581"/>
      <c r="H354" s="575"/>
      <c r="I354" s="650" t="s">
        <v>1196</v>
      </c>
      <c r="J354" s="470"/>
      <c r="K354" s="578">
        <v>201</v>
      </c>
      <c r="L354" s="614"/>
      <c r="M354" s="580" t="str">
        <f t="shared" si="41"/>
        <v>W60C9</v>
      </c>
      <c r="N354" s="580" t="str">
        <f t="shared" si="42"/>
        <v>W61E9</v>
      </c>
      <c r="O354" s="580" t="str">
        <f t="shared" si="42"/>
        <v>W6309</v>
      </c>
      <c r="P354" s="580" t="str">
        <f t="shared" si="42"/>
        <v>W6429</v>
      </c>
      <c r="Q354" s="580" t="str">
        <f t="shared" si="42"/>
        <v>W6549</v>
      </c>
      <c r="R354" s="580" t="str">
        <f t="shared" si="42"/>
        <v>W6669</v>
      </c>
      <c r="S354" s="580" t="str">
        <f t="shared" si="42"/>
        <v>W6789</v>
      </c>
      <c r="T354" s="580" t="str">
        <f t="shared" si="42"/>
        <v>W68A9</v>
      </c>
      <c r="U354" s="580" t="str">
        <f t="shared" si="42"/>
        <v>W69C9</v>
      </c>
      <c r="V354" s="580" t="str">
        <f t="shared" si="42"/>
        <v>W6AE9</v>
      </c>
      <c r="W354" s="580" t="str">
        <f t="shared" si="42"/>
        <v>W6C09</v>
      </c>
      <c r="X354" s="580" t="str">
        <f t="shared" si="42"/>
        <v>W6D29</v>
      </c>
    </row>
    <row r="355" spans="1:24" ht="13.5" customHeight="1" x14ac:dyDescent="0.25">
      <c r="A355" s="602"/>
      <c r="B355" s="598" t="s">
        <v>1108</v>
      </c>
      <c r="C355" s="519" t="s">
        <v>889</v>
      </c>
      <c r="D355" s="628" t="s">
        <v>1109</v>
      </c>
      <c r="E355" s="609"/>
      <c r="F355" s="609"/>
      <c r="G355" s="581"/>
      <c r="H355" s="575"/>
      <c r="I355" s="650" t="s">
        <v>1197</v>
      </c>
      <c r="J355" s="470"/>
      <c r="K355" s="578">
        <v>202</v>
      </c>
      <c r="L355" s="614"/>
      <c r="M355" s="580" t="str">
        <f t="shared" si="41"/>
        <v>W60CA</v>
      </c>
      <c r="N355" s="580" t="str">
        <f t="shared" si="42"/>
        <v>W61EA</v>
      </c>
      <c r="O355" s="580" t="str">
        <f t="shared" si="42"/>
        <v>W630A</v>
      </c>
      <c r="P355" s="580" t="str">
        <f t="shared" si="42"/>
        <v>W642A</v>
      </c>
      <c r="Q355" s="580" t="str">
        <f t="shared" si="42"/>
        <v>W654A</v>
      </c>
      <c r="R355" s="580" t="str">
        <f t="shared" si="42"/>
        <v>W666A</v>
      </c>
      <c r="S355" s="580" t="str">
        <f t="shared" si="42"/>
        <v>W678A</v>
      </c>
      <c r="T355" s="580" t="str">
        <f t="shared" si="42"/>
        <v>W68AA</v>
      </c>
      <c r="U355" s="580" t="str">
        <f t="shared" si="42"/>
        <v>W69CA</v>
      </c>
      <c r="V355" s="580" t="str">
        <f t="shared" si="42"/>
        <v>W6AEA</v>
      </c>
      <c r="W355" s="580" t="str">
        <f t="shared" si="42"/>
        <v>W6C0A</v>
      </c>
      <c r="X355" s="580" t="str">
        <f t="shared" si="42"/>
        <v>W6D2A</v>
      </c>
    </row>
    <row r="356" spans="1:24" ht="13.5" customHeight="1" x14ac:dyDescent="0.25">
      <c r="A356" s="605"/>
      <c r="B356" s="606" t="s">
        <v>888</v>
      </c>
      <c r="C356" s="530" t="s">
        <v>889</v>
      </c>
      <c r="D356" s="531"/>
      <c r="E356" s="609"/>
      <c r="F356" s="609"/>
      <c r="G356" s="581"/>
      <c r="H356" s="575"/>
      <c r="I356" s="650" t="s">
        <v>1198</v>
      </c>
      <c r="J356" s="470"/>
      <c r="K356" s="578">
        <v>203</v>
      </c>
      <c r="L356" s="614"/>
      <c r="M356" s="580" t="str">
        <f t="shared" si="41"/>
        <v>W60CB</v>
      </c>
      <c r="N356" s="580" t="str">
        <f t="shared" si="42"/>
        <v>W61EB</v>
      </c>
      <c r="O356" s="580" t="str">
        <f t="shared" si="42"/>
        <v>W630B</v>
      </c>
      <c r="P356" s="580" t="str">
        <f t="shared" si="42"/>
        <v>W642B</v>
      </c>
      <c r="Q356" s="580" t="str">
        <f t="shared" si="42"/>
        <v>W654B</v>
      </c>
      <c r="R356" s="580" t="str">
        <f t="shared" si="42"/>
        <v>W666B</v>
      </c>
      <c r="S356" s="580" t="str">
        <f t="shared" si="42"/>
        <v>W678B</v>
      </c>
      <c r="T356" s="580" t="str">
        <f t="shared" si="42"/>
        <v>W68AB</v>
      </c>
      <c r="U356" s="580" t="str">
        <f t="shared" si="42"/>
        <v>W69CB</v>
      </c>
      <c r="V356" s="580" t="str">
        <f t="shared" si="42"/>
        <v>W6AEB</v>
      </c>
      <c r="W356" s="580" t="str">
        <f t="shared" si="42"/>
        <v>W6C0B</v>
      </c>
      <c r="X356" s="580" t="str">
        <f t="shared" si="42"/>
        <v>W6D2B</v>
      </c>
    </row>
    <row r="357" spans="1:24" ht="13.5" customHeight="1" thickBot="1" x14ac:dyDescent="0.3">
      <c r="A357" s="605"/>
      <c r="B357" s="610" t="s">
        <v>888</v>
      </c>
      <c r="C357" s="534" t="s">
        <v>889</v>
      </c>
      <c r="D357" s="535"/>
      <c r="E357" s="609"/>
      <c r="F357" s="609"/>
      <c r="G357" s="581"/>
      <c r="H357" s="575"/>
      <c r="I357" s="650" t="s">
        <v>1199</v>
      </c>
      <c r="J357" s="470"/>
      <c r="K357" s="578">
        <v>204</v>
      </c>
      <c r="L357" s="614"/>
      <c r="M357" s="580" t="str">
        <f t="shared" si="41"/>
        <v>W60CC</v>
      </c>
      <c r="N357" s="580" t="str">
        <f t="shared" si="42"/>
        <v>W61EC</v>
      </c>
      <c r="O357" s="580" t="str">
        <f t="shared" si="42"/>
        <v>W630C</v>
      </c>
      <c r="P357" s="580" t="str">
        <f t="shared" si="42"/>
        <v>W642C</v>
      </c>
      <c r="Q357" s="580" t="str">
        <f t="shared" si="42"/>
        <v>W654C</v>
      </c>
      <c r="R357" s="580" t="str">
        <f t="shared" si="42"/>
        <v>W666C</v>
      </c>
      <c r="S357" s="580" t="str">
        <f t="shared" si="42"/>
        <v>W678C</v>
      </c>
      <c r="T357" s="580" t="str">
        <f t="shared" si="42"/>
        <v>W68AC</v>
      </c>
      <c r="U357" s="580" t="str">
        <f t="shared" si="42"/>
        <v>W69CC</v>
      </c>
      <c r="V357" s="580" t="str">
        <f t="shared" si="42"/>
        <v>W6AEC</v>
      </c>
      <c r="W357" s="580" t="str">
        <f t="shared" si="42"/>
        <v>W6C0C</v>
      </c>
      <c r="X357" s="580" t="str">
        <f t="shared" si="42"/>
        <v>W6D2C</v>
      </c>
    </row>
    <row r="358" spans="1:24" ht="13.5" customHeight="1" x14ac:dyDescent="0.25">
      <c r="G358" s="581"/>
      <c r="H358" s="575"/>
      <c r="I358" s="650" t="s">
        <v>1200</v>
      </c>
      <c r="J358" s="470"/>
      <c r="K358" s="578">
        <v>205</v>
      </c>
      <c r="L358" s="614"/>
      <c r="M358" s="580" t="str">
        <f t="shared" si="41"/>
        <v>W60CD</v>
      </c>
      <c r="N358" s="580" t="str">
        <f t="shared" si="42"/>
        <v>W61ED</v>
      </c>
      <c r="O358" s="580" t="str">
        <f t="shared" si="42"/>
        <v>W630D</v>
      </c>
      <c r="P358" s="580" t="str">
        <f t="shared" si="42"/>
        <v>W642D</v>
      </c>
      <c r="Q358" s="580" t="str">
        <f t="shared" si="42"/>
        <v>W654D</v>
      </c>
      <c r="R358" s="580" t="str">
        <f t="shared" si="42"/>
        <v>W666D</v>
      </c>
      <c r="S358" s="580" t="str">
        <f t="shared" si="42"/>
        <v>W678D</v>
      </c>
      <c r="T358" s="580" t="str">
        <f t="shared" si="42"/>
        <v>W68AD</v>
      </c>
      <c r="U358" s="580" t="str">
        <f t="shared" si="42"/>
        <v>W69CD</v>
      </c>
      <c r="V358" s="580" t="str">
        <f t="shared" si="42"/>
        <v>W6AED</v>
      </c>
      <c r="W358" s="580" t="str">
        <f t="shared" si="42"/>
        <v>W6C0D</v>
      </c>
      <c r="X358" s="580" t="str">
        <f t="shared" si="42"/>
        <v>W6D2D</v>
      </c>
    </row>
    <row r="359" spans="1:24" ht="13.5" customHeight="1" x14ac:dyDescent="0.25">
      <c r="G359" s="581"/>
      <c r="H359" s="575"/>
      <c r="I359" s="650" t="s">
        <v>1201</v>
      </c>
      <c r="J359" s="470"/>
      <c r="K359" s="578">
        <v>206</v>
      </c>
      <c r="L359" s="614"/>
      <c r="M359" s="580" t="str">
        <f t="shared" si="41"/>
        <v>W60CE</v>
      </c>
      <c r="N359" s="580" t="str">
        <f t="shared" si="42"/>
        <v>W61EE</v>
      </c>
      <c r="O359" s="580" t="str">
        <f t="shared" si="42"/>
        <v>W630E</v>
      </c>
      <c r="P359" s="580" t="str">
        <f t="shared" si="42"/>
        <v>W642E</v>
      </c>
      <c r="Q359" s="580" t="str">
        <f t="shared" si="42"/>
        <v>W654E</v>
      </c>
      <c r="R359" s="580" t="str">
        <f t="shared" si="42"/>
        <v>W666E</v>
      </c>
      <c r="S359" s="580" t="str">
        <f t="shared" si="42"/>
        <v>W678E</v>
      </c>
      <c r="T359" s="580" t="str">
        <f t="shared" si="42"/>
        <v>W68AE</v>
      </c>
      <c r="U359" s="580" t="str">
        <f t="shared" si="42"/>
        <v>W69CE</v>
      </c>
      <c r="V359" s="580" t="str">
        <f t="shared" si="42"/>
        <v>W6AEE</v>
      </c>
      <c r="W359" s="580" t="str">
        <f t="shared" si="42"/>
        <v>W6C0E</v>
      </c>
      <c r="X359" s="580" t="str">
        <f t="shared" si="42"/>
        <v>W6D2E</v>
      </c>
    </row>
    <row r="360" spans="1:24" ht="13.5" customHeight="1" thickBot="1" x14ac:dyDescent="0.3">
      <c r="G360" s="581"/>
      <c r="H360" s="587"/>
      <c r="I360" s="652" t="s">
        <v>1202</v>
      </c>
      <c r="J360" s="490"/>
      <c r="K360" s="611">
        <v>207</v>
      </c>
      <c r="L360" s="617"/>
      <c r="M360" s="591" t="str">
        <f t="shared" si="41"/>
        <v>W60CF</v>
      </c>
      <c r="N360" s="591" t="str">
        <f t="shared" si="42"/>
        <v>W61EF</v>
      </c>
      <c r="O360" s="591" t="str">
        <f t="shared" si="42"/>
        <v>W630F</v>
      </c>
      <c r="P360" s="591" t="str">
        <f t="shared" si="42"/>
        <v>W642F</v>
      </c>
      <c r="Q360" s="591" t="str">
        <f t="shared" si="42"/>
        <v>W654F</v>
      </c>
      <c r="R360" s="591" t="str">
        <f t="shared" si="42"/>
        <v>W666F</v>
      </c>
      <c r="S360" s="591" t="str">
        <f t="shared" si="42"/>
        <v>W678F</v>
      </c>
      <c r="T360" s="591" t="str">
        <f t="shared" si="42"/>
        <v>W68AF</v>
      </c>
      <c r="U360" s="591" t="str">
        <f t="shared" si="42"/>
        <v>W69CF</v>
      </c>
      <c r="V360" s="591" t="str">
        <f t="shared" si="42"/>
        <v>W6AEF</v>
      </c>
      <c r="W360" s="591" t="str">
        <f t="shared" si="42"/>
        <v>W6C0F</v>
      </c>
      <c r="X360" s="591" t="str">
        <f t="shared" si="42"/>
        <v>W6D2F</v>
      </c>
    </row>
    <row r="361" spans="1:24" ht="13.5" customHeight="1" thickTop="1" thickBot="1" x14ac:dyDescent="0.3">
      <c r="G361" s="581"/>
      <c r="H361" s="575"/>
      <c r="I361" s="649" t="s">
        <v>1203</v>
      </c>
      <c r="J361" s="464"/>
      <c r="K361" s="572">
        <v>208</v>
      </c>
      <c r="L361" s="613">
        <v>14</v>
      </c>
      <c r="M361" s="574" t="str">
        <f t="shared" si="41"/>
        <v>W60D0</v>
      </c>
      <c r="N361" s="574" t="str">
        <f t="shared" si="42"/>
        <v>W61F0</v>
      </c>
      <c r="O361" s="574" t="str">
        <f t="shared" si="42"/>
        <v>W6310</v>
      </c>
      <c r="P361" s="574" t="str">
        <f t="shared" si="42"/>
        <v>W6430</v>
      </c>
      <c r="Q361" s="574" t="str">
        <f t="shared" si="42"/>
        <v>W6550</v>
      </c>
      <c r="R361" s="574" t="str">
        <f t="shared" si="42"/>
        <v>W6670</v>
      </c>
      <c r="S361" s="574" t="str">
        <f t="shared" si="42"/>
        <v>W6790</v>
      </c>
      <c r="T361" s="574" t="str">
        <f t="shared" si="42"/>
        <v>W68B0</v>
      </c>
      <c r="U361" s="574" t="str">
        <f t="shared" si="42"/>
        <v>W69D0</v>
      </c>
      <c r="V361" s="574" t="str">
        <f t="shared" si="42"/>
        <v>W6AF0</v>
      </c>
      <c r="W361" s="574" t="str">
        <f t="shared" si="42"/>
        <v>W6C10</v>
      </c>
      <c r="X361" s="574" t="str">
        <f t="shared" si="42"/>
        <v>W6D30</v>
      </c>
    </row>
    <row r="362" spans="1:24" ht="13.5" customHeight="1" thickBot="1" x14ac:dyDescent="0.3">
      <c r="B362" s="506" t="s">
        <v>878</v>
      </c>
      <c r="C362" s="507"/>
      <c r="D362" s="508" t="s">
        <v>879</v>
      </c>
      <c r="G362" s="581"/>
      <c r="H362" s="575"/>
      <c r="I362" s="650" t="s">
        <v>1204</v>
      </c>
      <c r="J362" s="470"/>
      <c r="K362" s="578">
        <v>209</v>
      </c>
      <c r="L362" s="614"/>
      <c r="M362" s="580" t="str">
        <f t="shared" si="41"/>
        <v>W60D1</v>
      </c>
      <c r="N362" s="580" t="str">
        <f t="shared" si="42"/>
        <v>W61F1</v>
      </c>
      <c r="O362" s="580" t="str">
        <f t="shared" si="42"/>
        <v>W6311</v>
      </c>
      <c r="P362" s="580" t="str">
        <f t="shared" si="42"/>
        <v>W6431</v>
      </c>
      <c r="Q362" s="580" t="str">
        <f t="shared" si="42"/>
        <v>W6551</v>
      </c>
      <c r="R362" s="580" t="str">
        <f t="shared" si="42"/>
        <v>W6671</v>
      </c>
      <c r="S362" s="580" t="str">
        <f t="shared" si="42"/>
        <v>W6791</v>
      </c>
      <c r="T362" s="580" t="str">
        <f t="shared" si="42"/>
        <v>W68B1</v>
      </c>
      <c r="U362" s="580" t="str">
        <f t="shared" si="42"/>
        <v>W69D1</v>
      </c>
      <c r="V362" s="580" t="str">
        <f t="shared" si="42"/>
        <v>W6AF1</v>
      </c>
      <c r="W362" s="580" t="str">
        <f t="shared" si="42"/>
        <v>W6C11</v>
      </c>
      <c r="X362" s="580" t="str">
        <f t="shared" si="42"/>
        <v>W6D31</v>
      </c>
    </row>
    <row r="363" spans="1:24" ht="13.5" customHeight="1" x14ac:dyDescent="0.25">
      <c r="B363" s="640" t="s">
        <v>1205</v>
      </c>
      <c r="C363" s="624" t="s">
        <v>889</v>
      </c>
      <c r="D363" s="625" t="s">
        <v>1119</v>
      </c>
      <c r="G363" s="581"/>
      <c r="H363" s="575"/>
      <c r="I363" s="650" t="s">
        <v>1206</v>
      </c>
      <c r="J363" s="470"/>
      <c r="K363" s="578">
        <v>210</v>
      </c>
      <c r="L363" s="614"/>
      <c r="M363" s="580" t="str">
        <f t="shared" si="41"/>
        <v>W60D2</v>
      </c>
      <c r="N363" s="580" t="str">
        <f t="shared" ref="N363:X378" si="43">"W"&amp;DEC2HEX(HEX2DEC(SUBSTITUTE(N362,"W",""))+1)</f>
        <v>W61F2</v>
      </c>
      <c r="O363" s="580" t="str">
        <f t="shared" si="43"/>
        <v>W6312</v>
      </c>
      <c r="P363" s="580" t="str">
        <f t="shared" si="43"/>
        <v>W6432</v>
      </c>
      <c r="Q363" s="580" t="str">
        <f t="shared" si="43"/>
        <v>W6552</v>
      </c>
      <c r="R363" s="580" t="str">
        <f t="shared" si="43"/>
        <v>W6672</v>
      </c>
      <c r="S363" s="580" t="str">
        <f t="shared" si="43"/>
        <v>W6792</v>
      </c>
      <c r="T363" s="580" t="str">
        <f t="shared" si="43"/>
        <v>W68B2</v>
      </c>
      <c r="U363" s="580" t="str">
        <f t="shared" si="43"/>
        <v>W69D2</v>
      </c>
      <c r="V363" s="580" t="str">
        <f t="shared" si="43"/>
        <v>W6AF2</v>
      </c>
      <c r="W363" s="580" t="str">
        <f t="shared" si="43"/>
        <v>W6C12</v>
      </c>
      <c r="X363" s="580" t="str">
        <f t="shared" si="43"/>
        <v>W6D32</v>
      </c>
    </row>
    <row r="364" spans="1:24" ht="13.5" customHeight="1" x14ac:dyDescent="0.25">
      <c r="B364" s="653" t="s">
        <v>1207</v>
      </c>
      <c r="C364" s="631" t="s">
        <v>889</v>
      </c>
      <c r="D364" s="648" t="s">
        <v>1122</v>
      </c>
      <c r="G364" s="581"/>
      <c r="H364" s="575"/>
      <c r="I364" s="650" t="s">
        <v>1208</v>
      </c>
      <c r="J364" s="470"/>
      <c r="K364" s="578">
        <v>211</v>
      </c>
      <c r="L364" s="614"/>
      <c r="M364" s="580" t="str">
        <f t="shared" si="41"/>
        <v>W60D3</v>
      </c>
      <c r="N364" s="580" t="str">
        <f t="shared" si="43"/>
        <v>W61F3</v>
      </c>
      <c r="O364" s="580" t="str">
        <f t="shared" si="43"/>
        <v>W6313</v>
      </c>
      <c r="P364" s="580" t="str">
        <f t="shared" si="43"/>
        <v>W6433</v>
      </c>
      <c r="Q364" s="580" t="str">
        <f t="shared" si="43"/>
        <v>W6553</v>
      </c>
      <c r="R364" s="580" t="str">
        <f t="shared" si="43"/>
        <v>W6673</v>
      </c>
      <c r="S364" s="580" t="str">
        <f t="shared" si="43"/>
        <v>W6793</v>
      </c>
      <c r="T364" s="580" t="str">
        <f t="shared" si="43"/>
        <v>W68B3</v>
      </c>
      <c r="U364" s="580" t="str">
        <f t="shared" si="43"/>
        <v>W69D3</v>
      </c>
      <c r="V364" s="580" t="str">
        <f t="shared" si="43"/>
        <v>W6AF3</v>
      </c>
      <c r="W364" s="580" t="str">
        <f t="shared" si="43"/>
        <v>W6C13</v>
      </c>
      <c r="X364" s="580" t="str">
        <f t="shared" si="43"/>
        <v>W6D33</v>
      </c>
    </row>
    <row r="365" spans="1:24" ht="13.5" customHeight="1" x14ac:dyDescent="0.25">
      <c r="B365" s="642" t="s">
        <v>1209</v>
      </c>
      <c r="C365" s="627" t="s">
        <v>889</v>
      </c>
      <c r="D365" s="635" t="s">
        <v>1125</v>
      </c>
      <c r="G365" s="581"/>
      <c r="H365" s="575"/>
      <c r="I365" s="650" t="s">
        <v>1210</v>
      </c>
      <c r="J365" s="470"/>
      <c r="K365" s="578">
        <v>212</v>
      </c>
      <c r="L365" s="614"/>
      <c r="M365" s="580" t="str">
        <f t="shared" si="41"/>
        <v>W60D4</v>
      </c>
      <c r="N365" s="580" t="str">
        <f t="shared" si="43"/>
        <v>W61F4</v>
      </c>
      <c r="O365" s="580" t="str">
        <f t="shared" si="43"/>
        <v>W6314</v>
      </c>
      <c r="P365" s="580" t="str">
        <f t="shared" si="43"/>
        <v>W6434</v>
      </c>
      <c r="Q365" s="580" t="str">
        <f t="shared" si="43"/>
        <v>W6554</v>
      </c>
      <c r="R365" s="580" t="str">
        <f t="shared" si="43"/>
        <v>W6674</v>
      </c>
      <c r="S365" s="580" t="str">
        <f t="shared" si="43"/>
        <v>W6794</v>
      </c>
      <c r="T365" s="580" t="str">
        <f t="shared" si="43"/>
        <v>W68B4</v>
      </c>
      <c r="U365" s="580" t="str">
        <f t="shared" si="43"/>
        <v>W69D4</v>
      </c>
      <c r="V365" s="580" t="str">
        <f t="shared" si="43"/>
        <v>W6AF4</v>
      </c>
      <c r="W365" s="580" t="str">
        <f t="shared" si="43"/>
        <v>W6C14</v>
      </c>
      <c r="X365" s="580" t="str">
        <f t="shared" si="43"/>
        <v>W6D34</v>
      </c>
    </row>
    <row r="366" spans="1:24" ht="13.5" customHeight="1" x14ac:dyDescent="0.25">
      <c r="B366" s="529" t="s">
        <v>1211</v>
      </c>
      <c r="C366" s="530" t="s">
        <v>889</v>
      </c>
      <c r="D366" s="607"/>
      <c r="G366" s="581"/>
      <c r="H366" s="575"/>
      <c r="I366" s="650" t="s">
        <v>1212</v>
      </c>
      <c r="J366" s="470"/>
      <c r="K366" s="578">
        <v>213</v>
      </c>
      <c r="L366" s="614"/>
      <c r="M366" s="580" t="str">
        <f t="shared" si="41"/>
        <v>W60D5</v>
      </c>
      <c r="N366" s="580" t="str">
        <f t="shared" si="43"/>
        <v>W61F5</v>
      </c>
      <c r="O366" s="580" t="str">
        <f t="shared" si="43"/>
        <v>W6315</v>
      </c>
      <c r="P366" s="580" t="str">
        <f t="shared" si="43"/>
        <v>W6435</v>
      </c>
      <c r="Q366" s="580" t="str">
        <f t="shared" si="43"/>
        <v>W6555</v>
      </c>
      <c r="R366" s="580" t="str">
        <f t="shared" si="43"/>
        <v>W6675</v>
      </c>
      <c r="S366" s="580" t="str">
        <f t="shared" si="43"/>
        <v>W6795</v>
      </c>
      <c r="T366" s="580" t="str">
        <f t="shared" si="43"/>
        <v>W68B5</v>
      </c>
      <c r="U366" s="580" t="str">
        <f t="shared" si="43"/>
        <v>W69D5</v>
      </c>
      <c r="V366" s="580" t="str">
        <f t="shared" si="43"/>
        <v>W6AF5</v>
      </c>
      <c r="W366" s="580" t="str">
        <f t="shared" si="43"/>
        <v>W6C15</v>
      </c>
      <c r="X366" s="580" t="str">
        <f t="shared" si="43"/>
        <v>W6D35</v>
      </c>
    </row>
    <row r="367" spans="1:24" ht="13.5" customHeight="1" x14ac:dyDescent="0.25">
      <c r="B367" s="518" t="s">
        <v>1213</v>
      </c>
      <c r="C367" s="519" t="s">
        <v>889</v>
      </c>
      <c r="D367" s="520"/>
      <c r="G367" s="581"/>
      <c r="H367" s="575"/>
      <c r="I367" s="650" t="s">
        <v>1214</v>
      </c>
      <c r="J367" s="470"/>
      <c r="K367" s="578">
        <v>214</v>
      </c>
      <c r="L367" s="614"/>
      <c r="M367" s="580" t="str">
        <f t="shared" si="41"/>
        <v>W60D6</v>
      </c>
      <c r="N367" s="580" t="str">
        <f t="shared" si="43"/>
        <v>W61F6</v>
      </c>
      <c r="O367" s="580" t="str">
        <f t="shared" si="43"/>
        <v>W6316</v>
      </c>
      <c r="P367" s="580" t="str">
        <f t="shared" si="43"/>
        <v>W6436</v>
      </c>
      <c r="Q367" s="580" t="str">
        <f t="shared" si="43"/>
        <v>W6556</v>
      </c>
      <c r="R367" s="580" t="str">
        <f t="shared" si="43"/>
        <v>W6676</v>
      </c>
      <c r="S367" s="580" t="str">
        <f t="shared" si="43"/>
        <v>W6796</v>
      </c>
      <c r="T367" s="580" t="str">
        <f t="shared" si="43"/>
        <v>W68B6</v>
      </c>
      <c r="U367" s="580" t="str">
        <f t="shared" si="43"/>
        <v>W69D6</v>
      </c>
      <c r="V367" s="580" t="str">
        <f t="shared" si="43"/>
        <v>W6AF6</v>
      </c>
      <c r="W367" s="580" t="str">
        <f t="shared" si="43"/>
        <v>W6C16</v>
      </c>
      <c r="X367" s="580" t="str">
        <f t="shared" si="43"/>
        <v>W6D36</v>
      </c>
    </row>
    <row r="368" spans="1:24" ht="13.5" customHeight="1" x14ac:dyDescent="0.25">
      <c r="B368" s="518" t="s">
        <v>1215</v>
      </c>
      <c r="C368" s="519" t="s">
        <v>889</v>
      </c>
      <c r="D368" s="520"/>
      <c r="G368" s="581"/>
      <c r="H368" s="575"/>
      <c r="I368" s="650" t="s">
        <v>1216</v>
      </c>
      <c r="J368" s="470"/>
      <c r="K368" s="578">
        <v>215</v>
      </c>
      <c r="L368" s="614"/>
      <c r="M368" s="580" t="str">
        <f t="shared" si="41"/>
        <v>W60D7</v>
      </c>
      <c r="N368" s="580" t="str">
        <f t="shared" si="43"/>
        <v>W61F7</v>
      </c>
      <c r="O368" s="580" t="str">
        <f t="shared" si="43"/>
        <v>W6317</v>
      </c>
      <c r="P368" s="580" t="str">
        <f t="shared" si="43"/>
        <v>W6437</v>
      </c>
      <c r="Q368" s="580" t="str">
        <f t="shared" si="43"/>
        <v>W6557</v>
      </c>
      <c r="R368" s="580" t="str">
        <f t="shared" si="43"/>
        <v>W6677</v>
      </c>
      <c r="S368" s="580" t="str">
        <f t="shared" si="43"/>
        <v>W6797</v>
      </c>
      <c r="T368" s="580" t="str">
        <f t="shared" si="43"/>
        <v>W68B7</v>
      </c>
      <c r="U368" s="580" t="str">
        <f t="shared" si="43"/>
        <v>W69D7</v>
      </c>
      <c r="V368" s="580" t="str">
        <f t="shared" si="43"/>
        <v>W6AF7</v>
      </c>
      <c r="W368" s="580" t="str">
        <f t="shared" si="43"/>
        <v>W6C17</v>
      </c>
      <c r="X368" s="580" t="str">
        <f t="shared" si="43"/>
        <v>W6D37</v>
      </c>
    </row>
    <row r="369" spans="2:24" ht="13.5" customHeight="1" x14ac:dyDescent="0.25">
      <c r="B369" s="518" t="s">
        <v>1217</v>
      </c>
      <c r="C369" s="519" t="s">
        <v>889</v>
      </c>
      <c r="D369" s="636"/>
      <c r="G369" s="581"/>
      <c r="H369" s="575"/>
      <c r="I369" s="650" t="s">
        <v>1218</v>
      </c>
      <c r="J369" s="470"/>
      <c r="K369" s="578">
        <v>216</v>
      </c>
      <c r="L369" s="614"/>
      <c r="M369" s="580" t="str">
        <f t="shared" si="41"/>
        <v>W60D8</v>
      </c>
      <c r="N369" s="580" t="str">
        <f t="shared" si="43"/>
        <v>W61F8</v>
      </c>
      <c r="O369" s="580" t="str">
        <f t="shared" si="43"/>
        <v>W6318</v>
      </c>
      <c r="P369" s="580" t="str">
        <f t="shared" si="43"/>
        <v>W6438</v>
      </c>
      <c r="Q369" s="580" t="str">
        <f t="shared" si="43"/>
        <v>W6558</v>
      </c>
      <c r="R369" s="580" t="str">
        <f t="shared" si="43"/>
        <v>W6678</v>
      </c>
      <c r="S369" s="580" t="str">
        <f t="shared" si="43"/>
        <v>W6798</v>
      </c>
      <c r="T369" s="580" t="str">
        <f t="shared" si="43"/>
        <v>W68B8</v>
      </c>
      <c r="U369" s="580" t="str">
        <f t="shared" si="43"/>
        <v>W69D8</v>
      </c>
      <c r="V369" s="580" t="str">
        <f t="shared" si="43"/>
        <v>W6AF8</v>
      </c>
      <c r="W369" s="580" t="str">
        <f t="shared" si="43"/>
        <v>W6C18</v>
      </c>
      <c r="X369" s="580" t="str">
        <f t="shared" si="43"/>
        <v>W6D38</v>
      </c>
    </row>
    <row r="370" spans="2:24" ht="13.5" customHeight="1" x14ac:dyDescent="0.25">
      <c r="B370" s="518" t="s">
        <v>1219</v>
      </c>
      <c r="C370" s="519" t="s">
        <v>889</v>
      </c>
      <c r="D370" s="636"/>
      <c r="G370" s="581"/>
      <c r="H370" s="575"/>
      <c r="I370" s="650" t="s">
        <v>1220</v>
      </c>
      <c r="J370" s="470"/>
      <c r="K370" s="578">
        <v>217</v>
      </c>
      <c r="L370" s="614"/>
      <c r="M370" s="580" t="str">
        <f t="shared" si="41"/>
        <v>W60D9</v>
      </c>
      <c r="N370" s="580" t="str">
        <f t="shared" si="43"/>
        <v>W61F9</v>
      </c>
      <c r="O370" s="580" t="str">
        <f t="shared" si="43"/>
        <v>W6319</v>
      </c>
      <c r="P370" s="580" t="str">
        <f t="shared" si="43"/>
        <v>W6439</v>
      </c>
      <c r="Q370" s="580" t="str">
        <f t="shared" si="43"/>
        <v>W6559</v>
      </c>
      <c r="R370" s="580" t="str">
        <f t="shared" si="43"/>
        <v>W6679</v>
      </c>
      <c r="S370" s="580" t="str">
        <f t="shared" si="43"/>
        <v>W6799</v>
      </c>
      <c r="T370" s="580" t="str">
        <f t="shared" si="43"/>
        <v>W68B9</v>
      </c>
      <c r="U370" s="580" t="str">
        <f t="shared" si="43"/>
        <v>W69D9</v>
      </c>
      <c r="V370" s="580" t="str">
        <f t="shared" si="43"/>
        <v>W6AF9</v>
      </c>
      <c r="W370" s="580" t="str">
        <f t="shared" si="43"/>
        <v>W6C19</v>
      </c>
      <c r="X370" s="580" t="str">
        <f t="shared" si="43"/>
        <v>W6D39</v>
      </c>
    </row>
    <row r="371" spans="2:24" ht="13.5" customHeight="1" x14ac:dyDescent="0.25">
      <c r="B371" s="529" t="s">
        <v>1211</v>
      </c>
      <c r="C371" s="530" t="s">
        <v>889</v>
      </c>
      <c r="D371" s="607"/>
      <c r="G371" s="581"/>
      <c r="H371" s="575"/>
      <c r="I371" s="650" t="s">
        <v>1221</v>
      </c>
      <c r="J371" s="411"/>
      <c r="K371" s="578">
        <v>218</v>
      </c>
      <c r="L371" s="614"/>
      <c r="M371" s="580" t="str">
        <f t="shared" si="41"/>
        <v>W60DA</v>
      </c>
      <c r="N371" s="580" t="str">
        <f t="shared" si="43"/>
        <v>W61FA</v>
      </c>
      <c r="O371" s="580" t="str">
        <f t="shared" si="43"/>
        <v>W631A</v>
      </c>
      <c r="P371" s="580" t="str">
        <f t="shared" si="43"/>
        <v>W643A</v>
      </c>
      <c r="Q371" s="580" t="str">
        <f t="shared" si="43"/>
        <v>W655A</v>
      </c>
      <c r="R371" s="580" t="str">
        <f t="shared" si="43"/>
        <v>W667A</v>
      </c>
      <c r="S371" s="580" t="str">
        <f t="shared" si="43"/>
        <v>W679A</v>
      </c>
      <c r="T371" s="580" t="str">
        <f t="shared" si="43"/>
        <v>W68BA</v>
      </c>
      <c r="U371" s="580" t="str">
        <f t="shared" si="43"/>
        <v>W69DA</v>
      </c>
      <c r="V371" s="580" t="str">
        <f t="shared" si="43"/>
        <v>W6AFA</v>
      </c>
      <c r="W371" s="580" t="str">
        <f t="shared" si="43"/>
        <v>W6C1A</v>
      </c>
      <c r="X371" s="580" t="str">
        <f t="shared" si="43"/>
        <v>W6D3A</v>
      </c>
    </row>
    <row r="372" spans="2:24" ht="13.5" customHeight="1" x14ac:dyDescent="0.25">
      <c r="B372" s="529" t="s">
        <v>1211</v>
      </c>
      <c r="C372" s="530" t="s">
        <v>889</v>
      </c>
      <c r="D372" s="607"/>
      <c r="G372" s="581"/>
      <c r="H372" s="575"/>
      <c r="I372" s="650" t="s">
        <v>1222</v>
      </c>
      <c r="J372" s="411"/>
      <c r="K372" s="578">
        <v>219</v>
      </c>
      <c r="L372" s="614"/>
      <c r="M372" s="580" t="str">
        <f t="shared" si="41"/>
        <v>W60DB</v>
      </c>
      <c r="N372" s="580" t="str">
        <f t="shared" si="43"/>
        <v>W61FB</v>
      </c>
      <c r="O372" s="580" t="str">
        <f t="shared" si="43"/>
        <v>W631B</v>
      </c>
      <c r="P372" s="580" t="str">
        <f t="shared" si="43"/>
        <v>W643B</v>
      </c>
      <c r="Q372" s="580" t="str">
        <f t="shared" si="43"/>
        <v>W655B</v>
      </c>
      <c r="R372" s="580" t="str">
        <f t="shared" si="43"/>
        <v>W667B</v>
      </c>
      <c r="S372" s="580" t="str">
        <f t="shared" si="43"/>
        <v>W679B</v>
      </c>
      <c r="T372" s="580" t="str">
        <f t="shared" si="43"/>
        <v>W68BB</v>
      </c>
      <c r="U372" s="580" t="str">
        <f t="shared" si="43"/>
        <v>W69DB</v>
      </c>
      <c r="V372" s="580" t="str">
        <f t="shared" si="43"/>
        <v>W6AFB</v>
      </c>
      <c r="W372" s="580" t="str">
        <f t="shared" si="43"/>
        <v>W6C1B</v>
      </c>
      <c r="X372" s="580" t="str">
        <f t="shared" si="43"/>
        <v>W6D3B</v>
      </c>
    </row>
    <row r="373" spans="2:24" ht="13.5" customHeight="1" x14ac:dyDescent="0.25">
      <c r="B373" s="518" t="s">
        <v>1134</v>
      </c>
      <c r="C373" s="519" t="s">
        <v>889</v>
      </c>
      <c r="D373" s="643"/>
      <c r="G373" s="581"/>
      <c r="H373" s="575"/>
      <c r="I373" s="650" t="s">
        <v>1223</v>
      </c>
      <c r="J373" s="470"/>
      <c r="K373" s="578">
        <v>220</v>
      </c>
      <c r="L373" s="614"/>
      <c r="M373" s="580" t="str">
        <f t="shared" si="41"/>
        <v>W60DC</v>
      </c>
      <c r="N373" s="580" t="str">
        <f t="shared" si="43"/>
        <v>W61FC</v>
      </c>
      <c r="O373" s="580" t="str">
        <f t="shared" si="43"/>
        <v>W631C</v>
      </c>
      <c r="P373" s="580" t="str">
        <f t="shared" si="43"/>
        <v>W643C</v>
      </c>
      <c r="Q373" s="580" t="str">
        <f t="shared" si="43"/>
        <v>W655C</v>
      </c>
      <c r="R373" s="580" t="str">
        <f t="shared" si="43"/>
        <v>W667C</v>
      </c>
      <c r="S373" s="580" t="str">
        <f t="shared" si="43"/>
        <v>W679C</v>
      </c>
      <c r="T373" s="580" t="str">
        <f t="shared" si="43"/>
        <v>W68BC</v>
      </c>
      <c r="U373" s="580" t="str">
        <f t="shared" si="43"/>
        <v>W69DC</v>
      </c>
      <c r="V373" s="580" t="str">
        <f t="shared" si="43"/>
        <v>W6AFC</v>
      </c>
      <c r="W373" s="580" t="str">
        <f t="shared" si="43"/>
        <v>W6C1C</v>
      </c>
      <c r="X373" s="580" t="str">
        <f t="shared" si="43"/>
        <v>W6D3C</v>
      </c>
    </row>
    <row r="374" spans="2:24" ht="13.5" customHeight="1" x14ac:dyDescent="0.25">
      <c r="B374" s="518" t="s">
        <v>1136</v>
      </c>
      <c r="C374" s="519" t="s">
        <v>889</v>
      </c>
      <c r="D374" s="643"/>
      <c r="G374" s="581"/>
      <c r="H374" s="575"/>
      <c r="I374" s="650" t="s">
        <v>1208</v>
      </c>
      <c r="J374" s="470"/>
      <c r="K374" s="578">
        <v>221</v>
      </c>
      <c r="L374" s="614"/>
      <c r="M374" s="580" t="str">
        <f t="shared" si="41"/>
        <v>W60DD</v>
      </c>
      <c r="N374" s="580" t="str">
        <f t="shared" si="43"/>
        <v>W61FD</v>
      </c>
      <c r="O374" s="580" t="str">
        <f t="shared" si="43"/>
        <v>W631D</v>
      </c>
      <c r="P374" s="580" t="str">
        <f t="shared" si="43"/>
        <v>W643D</v>
      </c>
      <c r="Q374" s="580" t="str">
        <f t="shared" si="43"/>
        <v>W655D</v>
      </c>
      <c r="R374" s="580" t="str">
        <f t="shared" si="43"/>
        <v>W667D</v>
      </c>
      <c r="S374" s="580" t="str">
        <f t="shared" si="43"/>
        <v>W679D</v>
      </c>
      <c r="T374" s="580" t="str">
        <f t="shared" si="43"/>
        <v>W68BD</v>
      </c>
      <c r="U374" s="580" t="str">
        <f t="shared" si="43"/>
        <v>W69DD</v>
      </c>
      <c r="V374" s="580" t="str">
        <f t="shared" si="43"/>
        <v>W6AFD</v>
      </c>
      <c r="W374" s="580" t="str">
        <f t="shared" si="43"/>
        <v>W6C1D</v>
      </c>
      <c r="X374" s="580" t="str">
        <f t="shared" si="43"/>
        <v>W6D3D</v>
      </c>
    </row>
    <row r="375" spans="2:24" ht="13.5" customHeight="1" x14ac:dyDescent="0.25">
      <c r="B375" s="529" t="s">
        <v>1104</v>
      </c>
      <c r="C375" s="530" t="s">
        <v>889</v>
      </c>
      <c r="D375" s="638" t="s">
        <v>1105</v>
      </c>
      <c r="G375" s="581"/>
      <c r="H375" s="575"/>
      <c r="I375" s="650" t="s">
        <v>1210</v>
      </c>
      <c r="J375" s="470"/>
      <c r="K375" s="578">
        <v>222</v>
      </c>
      <c r="L375" s="614"/>
      <c r="M375" s="580" t="str">
        <f t="shared" si="41"/>
        <v>W60DE</v>
      </c>
      <c r="N375" s="580" t="str">
        <f t="shared" si="43"/>
        <v>W61FE</v>
      </c>
      <c r="O375" s="580" t="str">
        <f t="shared" si="43"/>
        <v>W631E</v>
      </c>
      <c r="P375" s="580" t="str">
        <f t="shared" si="43"/>
        <v>W643E</v>
      </c>
      <c r="Q375" s="580" t="str">
        <f t="shared" si="43"/>
        <v>W655E</v>
      </c>
      <c r="R375" s="580" t="str">
        <f t="shared" si="43"/>
        <v>W667E</v>
      </c>
      <c r="S375" s="580" t="str">
        <f t="shared" si="43"/>
        <v>W679E</v>
      </c>
      <c r="T375" s="580" t="str">
        <f t="shared" si="43"/>
        <v>W68BE</v>
      </c>
      <c r="U375" s="580" t="str">
        <f t="shared" si="43"/>
        <v>W69DE</v>
      </c>
      <c r="V375" s="580" t="str">
        <f t="shared" si="43"/>
        <v>W6AFE</v>
      </c>
      <c r="W375" s="580" t="str">
        <f t="shared" si="43"/>
        <v>W6C1E</v>
      </c>
      <c r="X375" s="580" t="str">
        <f t="shared" si="43"/>
        <v>W6D3E</v>
      </c>
    </row>
    <row r="376" spans="2:24" ht="13.5" customHeight="1" thickBot="1" x14ac:dyDescent="0.3">
      <c r="B376" s="529" t="s">
        <v>1108</v>
      </c>
      <c r="C376" s="530" t="s">
        <v>889</v>
      </c>
      <c r="D376" s="638" t="s">
        <v>1109</v>
      </c>
      <c r="G376" s="581"/>
      <c r="H376" s="587"/>
      <c r="I376" s="652" t="s">
        <v>1212</v>
      </c>
      <c r="J376" s="414"/>
      <c r="K376" s="611">
        <v>223</v>
      </c>
      <c r="L376" s="617"/>
      <c r="M376" s="591" t="str">
        <f t="shared" si="41"/>
        <v>W60DF</v>
      </c>
      <c r="N376" s="591" t="str">
        <f t="shared" si="43"/>
        <v>W61FF</v>
      </c>
      <c r="O376" s="591" t="str">
        <f t="shared" si="43"/>
        <v>W631F</v>
      </c>
      <c r="P376" s="591" t="str">
        <f t="shared" si="43"/>
        <v>W643F</v>
      </c>
      <c r="Q376" s="591" t="str">
        <f t="shared" si="43"/>
        <v>W655F</v>
      </c>
      <c r="R376" s="591" t="str">
        <f t="shared" si="43"/>
        <v>W667F</v>
      </c>
      <c r="S376" s="591" t="str">
        <f t="shared" si="43"/>
        <v>W679F</v>
      </c>
      <c r="T376" s="591" t="str">
        <f t="shared" si="43"/>
        <v>W68BF</v>
      </c>
      <c r="U376" s="591" t="str">
        <f t="shared" si="43"/>
        <v>W69DF</v>
      </c>
      <c r="V376" s="591" t="str">
        <f t="shared" si="43"/>
        <v>W6AFF</v>
      </c>
      <c r="W376" s="591" t="str">
        <f t="shared" si="43"/>
        <v>W6C1F</v>
      </c>
      <c r="X376" s="591" t="str">
        <f t="shared" si="43"/>
        <v>W6D3F</v>
      </c>
    </row>
    <row r="377" spans="2:24" ht="13.5" customHeight="1" thickTop="1" x14ac:dyDescent="0.25">
      <c r="B377" s="529" t="s">
        <v>888</v>
      </c>
      <c r="C377" s="530" t="s">
        <v>889</v>
      </c>
      <c r="D377" s="531"/>
      <c r="G377" s="581"/>
      <c r="H377" s="575"/>
      <c r="I377" s="649" t="s">
        <v>1214</v>
      </c>
      <c r="J377" s="464"/>
      <c r="K377" s="572">
        <v>224</v>
      </c>
      <c r="L377" s="613">
        <v>15</v>
      </c>
      <c r="M377" s="574" t="str">
        <f t="shared" si="41"/>
        <v>W60E0</v>
      </c>
      <c r="N377" s="574" t="str">
        <f t="shared" si="43"/>
        <v>W6200</v>
      </c>
      <c r="O377" s="574" t="str">
        <f t="shared" si="43"/>
        <v>W6320</v>
      </c>
      <c r="P377" s="574" t="str">
        <f t="shared" si="43"/>
        <v>W6440</v>
      </c>
      <c r="Q377" s="574" t="str">
        <f t="shared" si="43"/>
        <v>W6560</v>
      </c>
      <c r="R377" s="574" t="str">
        <f t="shared" si="43"/>
        <v>W6680</v>
      </c>
      <c r="S377" s="574" t="str">
        <f t="shared" si="43"/>
        <v>W67A0</v>
      </c>
      <c r="T377" s="574" t="str">
        <f t="shared" si="43"/>
        <v>W68C0</v>
      </c>
      <c r="U377" s="574" t="str">
        <f t="shared" si="43"/>
        <v>W69E0</v>
      </c>
      <c r="V377" s="574" t="str">
        <f t="shared" si="43"/>
        <v>W6B00</v>
      </c>
      <c r="W377" s="574" t="str">
        <f t="shared" si="43"/>
        <v>W6C20</v>
      </c>
      <c r="X377" s="574" t="str">
        <f t="shared" si="43"/>
        <v>W6D40</v>
      </c>
    </row>
    <row r="378" spans="2:24" ht="13.5" customHeight="1" thickBot="1" x14ac:dyDescent="0.3">
      <c r="B378" s="533" t="s">
        <v>888</v>
      </c>
      <c r="C378" s="534" t="s">
        <v>889</v>
      </c>
      <c r="D378" s="535"/>
      <c r="G378" s="581"/>
      <c r="H378" s="575"/>
      <c r="I378" s="650" t="s">
        <v>1216</v>
      </c>
      <c r="J378" s="470"/>
      <c r="K378" s="578">
        <v>225</v>
      </c>
      <c r="L378" s="614"/>
      <c r="M378" s="580" t="str">
        <f t="shared" si="41"/>
        <v>W60E1</v>
      </c>
      <c r="N378" s="580" t="str">
        <f t="shared" si="43"/>
        <v>W6201</v>
      </c>
      <c r="O378" s="580" t="str">
        <f t="shared" si="43"/>
        <v>W6321</v>
      </c>
      <c r="P378" s="580" t="str">
        <f t="shared" si="43"/>
        <v>W6441</v>
      </c>
      <c r="Q378" s="580" t="str">
        <f t="shared" si="43"/>
        <v>W6561</v>
      </c>
      <c r="R378" s="580" t="str">
        <f t="shared" si="43"/>
        <v>W6681</v>
      </c>
      <c r="S378" s="580" t="str">
        <f t="shared" si="43"/>
        <v>W67A1</v>
      </c>
      <c r="T378" s="580" t="str">
        <f t="shared" si="43"/>
        <v>W68C1</v>
      </c>
      <c r="U378" s="580" t="str">
        <f t="shared" si="43"/>
        <v>W69E1</v>
      </c>
      <c r="V378" s="580" t="str">
        <f t="shared" si="43"/>
        <v>W6B01</v>
      </c>
      <c r="W378" s="580" t="str">
        <f t="shared" si="43"/>
        <v>W6C21</v>
      </c>
      <c r="X378" s="580" t="str">
        <f t="shared" si="43"/>
        <v>W6D41</v>
      </c>
    </row>
    <row r="379" spans="2:24" ht="13.5" customHeight="1" x14ac:dyDescent="0.25">
      <c r="G379" s="581"/>
      <c r="H379" s="575"/>
      <c r="I379" s="650" t="s">
        <v>1218</v>
      </c>
      <c r="J379" s="470"/>
      <c r="K379" s="578">
        <v>226</v>
      </c>
      <c r="L379" s="614"/>
      <c r="M379" s="580" t="str">
        <f t="shared" si="41"/>
        <v>W60E2</v>
      </c>
      <c r="N379" s="580" t="str">
        <f t="shared" ref="N379:X394" si="44">"W"&amp;DEC2HEX(HEX2DEC(SUBSTITUTE(N378,"W",""))+1)</f>
        <v>W6202</v>
      </c>
      <c r="O379" s="580" t="str">
        <f t="shared" si="44"/>
        <v>W6322</v>
      </c>
      <c r="P379" s="580" t="str">
        <f t="shared" si="44"/>
        <v>W6442</v>
      </c>
      <c r="Q379" s="580" t="str">
        <f t="shared" si="44"/>
        <v>W6562</v>
      </c>
      <c r="R379" s="580" t="str">
        <f t="shared" si="44"/>
        <v>W6682</v>
      </c>
      <c r="S379" s="580" t="str">
        <f t="shared" si="44"/>
        <v>W67A2</v>
      </c>
      <c r="T379" s="580" t="str">
        <f t="shared" si="44"/>
        <v>W68C2</v>
      </c>
      <c r="U379" s="580" t="str">
        <f t="shared" si="44"/>
        <v>W69E2</v>
      </c>
      <c r="V379" s="580" t="str">
        <f t="shared" si="44"/>
        <v>W6B02</v>
      </c>
      <c r="W379" s="580" t="str">
        <f t="shared" si="44"/>
        <v>W6C22</v>
      </c>
      <c r="X379" s="580" t="str">
        <f t="shared" si="44"/>
        <v>W6D42</v>
      </c>
    </row>
    <row r="380" spans="2:24" ht="13.5" customHeight="1" x14ac:dyDescent="0.25">
      <c r="G380" s="581"/>
      <c r="H380" s="575"/>
      <c r="I380" s="650" t="s">
        <v>1220</v>
      </c>
      <c r="J380" s="470"/>
      <c r="K380" s="578">
        <v>227</v>
      </c>
      <c r="L380" s="614"/>
      <c r="M380" s="580" t="str">
        <f t="shared" si="41"/>
        <v>W60E3</v>
      </c>
      <c r="N380" s="580" t="str">
        <f t="shared" si="44"/>
        <v>W6203</v>
      </c>
      <c r="O380" s="580" t="str">
        <f t="shared" si="44"/>
        <v>W6323</v>
      </c>
      <c r="P380" s="580" t="str">
        <f t="shared" si="44"/>
        <v>W6443</v>
      </c>
      <c r="Q380" s="580" t="str">
        <f t="shared" si="44"/>
        <v>W6563</v>
      </c>
      <c r="R380" s="580" t="str">
        <f t="shared" si="44"/>
        <v>W6683</v>
      </c>
      <c r="S380" s="580" t="str">
        <f t="shared" si="44"/>
        <v>W67A3</v>
      </c>
      <c r="T380" s="580" t="str">
        <f t="shared" si="44"/>
        <v>W68C3</v>
      </c>
      <c r="U380" s="580" t="str">
        <f t="shared" si="44"/>
        <v>W69E3</v>
      </c>
      <c r="V380" s="580" t="str">
        <f t="shared" si="44"/>
        <v>W6B03</v>
      </c>
      <c r="W380" s="580" t="str">
        <f t="shared" si="44"/>
        <v>W6C23</v>
      </c>
      <c r="X380" s="580" t="str">
        <f t="shared" si="44"/>
        <v>W6D43</v>
      </c>
    </row>
    <row r="381" spans="2:24" ht="13.5" customHeight="1" x14ac:dyDescent="0.25">
      <c r="G381" s="581"/>
      <c r="H381" s="575"/>
      <c r="I381" s="650" t="s">
        <v>1221</v>
      </c>
      <c r="J381" s="470"/>
      <c r="K381" s="578">
        <v>228</v>
      </c>
      <c r="L381" s="614"/>
      <c r="M381" s="580" t="str">
        <f t="shared" si="41"/>
        <v>W60E4</v>
      </c>
      <c r="N381" s="580" t="str">
        <f t="shared" si="44"/>
        <v>W6204</v>
      </c>
      <c r="O381" s="580" t="str">
        <f t="shared" si="44"/>
        <v>W6324</v>
      </c>
      <c r="P381" s="580" t="str">
        <f t="shared" si="44"/>
        <v>W6444</v>
      </c>
      <c r="Q381" s="580" t="str">
        <f t="shared" si="44"/>
        <v>W6564</v>
      </c>
      <c r="R381" s="580" t="str">
        <f t="shared" si="44"/>
        <v>W6684</v>
      </c>
      <c r="S381" s="580" t="str">
        <f t="shared" si="44"/>
        <v>W67A4</v>
      </c>
      <c r="T381" s="580" t="str">
        <f t="shared" si="44"/>
        <v>W68C4</v>
      </c>
      <c r="U381" s="580" t="str">
        <f t="shared" si="44"/>
        <v>W69E4</v>
      </c>
      <c r="V381" s="580" t="str">
        <f t="shared" si="44"/>
        <v>W6B04</v>
      </c>
      <c r="W381" s="580" t="str">
        <f t="shared" si="44"/>
        <v>W6C24</v>
      </c>
      <c r="X381" s="580" t="str">
        <f t="shared" si="44"/>
        <v>W6D44</v>
      </c>
    </row>
    <row r="382" spans="2:24" ht="13.5" customHeight="1" x14ac:dyDescent="0.25">
      <c r="G382" s="581"/>
      <c r="H382" s="575"/>
      <c r="I382" s="650" t="s">
        <v>1222</v>
      </c>
      <c r="J382" s="470"/>
      <c r="K382" s="578">
        <v>229</v>
      </c>
      <c r="L382" s="614"/>
      <c r="M382" s="580" t="str">
        <f t="shared" si="41"/>
        <v>W60E5</v>
      </c>
      <c r="N382" s="580" t="str">
        <f t="shared" si="44"/>
        <v>W6205</v>
      </c>
      <c r="O382" s="580" t="str">
        <f t="shared" si="44"/>
        <v>W6325</v>
      </c>
      <c r="P382" s="580" t="str">
        <f t="shared" si="44"/>
        <v>W6445</v>
      </c>
      <c r="Q382" s="580" t="str">
        <f t="shared" si="44"/>
        <v>W6565</v>
      </c>
      <c r="R382" s="580" t="str">
        <f t="shared" si="44"/>
        <v>W6685</v>
      </c>
      <c r="S382" s="580" t="str">
        <f t="shared" si="44"/>
        <v>W67A5</v>
      </c>
      <c r="T382" s="580" t="str">
        <f t="shared" si="44"/>
        <v>W68C5</v>
      </c>
      <c r="U382" s="580" t="str">
        <f t="shared" si="44"/>
        <v>W69E5</v>
      </c>
      <c r="V382" s="580" t="str">
        <f t="shared" si="44"/>
        <v>W6B05</v>
      </c>
      <c r="W382" s="580" t="str">
        <f t="shared" si="44"/>
        <v>W6C25</v>
      </c>
      <c r="X382" s="580" t="str">
        <f t="shared" si="44"/>
        <v>W6D45</v>
      </c>
    </row>
    <row r="383" spans="2:24" ht="13.5" customHeight="1" x14ac:dyDescent="0.25">
      <c r="G383" s="581"/>
      <c r="H383" s="575"/>
      <c r="I383" s="650" t="s">
        <v>1223</v>
      </c>
      <c r="J383" s="470"/>
      <c r="K383" s="578">
        <v>230</v>
      </c>
      <c r="L383" s="614"/>
      <c r="M383" s="580" t="str">
        <f t="shared" si="41"/>
        <v>W60E6</v>
      </c>
      <c r="N383" s="580" t="str">
        <f t="shared" si="44"/>
        <v>W6206</v>
      </c>
      <c r="O383" s="580" t="str">
        <f t="shared" si="44"/>
        <v>W6326</v>
      </c>
      <c r="P383" s="580" t="str">
        <f t="shared" si="44"/>
        <v>W6446</v>
      </c>
      <c r="Q383" s="580" t="str">
        <f t="shared" si="44"/>
        <v>W6566</v>
      </c>
      <c r="R383" s="580" t="str">
        <f t="shared" si="44"/>
        <v>W6686</v>
      </c>
      <c r="S383" s="580" t="str">
        <f t="shared" si="44"/>
        <v>W67A6</v>
      </c>
      <c r="T383" s="580" t="str">
        <f t="shared" si="44"/>
        <v>W68C6</v>
      </c>
      <c r="U383" s="580" t="str">
        <f t="shared" si="44"/>
        <v>W69E6</v>
      </c>
      <c r="V383" s="580" t="str">
        <f t="shared" si="44"/>
        <v>W6B06</v>
      </c>
      <c r="W383" s="580" t="str">
        <f t="shared" si="44"/>
        <v>W6C26</v>
      </c>
      <c r="X383" s="580" t="str">
        <f t="shared" si="44"/>
        <v>W6D46</v>
      </c>
    </row>
    <row r="384" spans="2:24" ht="13.5" customHeight="1" x14ac:dyDescent="0.25">
      <c r="G384" s="581"/>
      <c r="H384" s="575"/>
      <c r="I384" s="650" t="s">
        <v>1224</v>
      </c>
      <c r="J384" s="470"/>
      <c r="K384" s="578">
        <v>231</v>
      </c>
      <c r="L384" s="614"/>
      <c r="M384" s="580" t="str">
        <f t="shared" si="41"/>
        <v>W60E7</v>
      </c>
      <c r="N384" s="580" t="str">
        <f t="shared" si="44"/>
        <v>W6207</v>
      </c>
      <c r="O384" s="580" t="str">
        <f t="shared" si="44"/>
        <v>W6327</v>
      </c>
      <c r="P384" s="580" t="str">
        <f t="shared" si="44"/>
        <v>W6447</v>
      </c>
      <c r="Q384" s="580" t="str">
        <f t="shared" si="44"/>
        <v>W6567</v>
      </c>
      <c r="R384" s="580" t="str">
        <f t="shared" si="44"/>
        <v>W6687</v>
      </c>
      <c r="S384" s="580" t="str">
        <f t="shared" si="44"/>
        <v>W67A7</v>
      </c>
      <c r="T384" s="580" t="str">
        <f t="shared" si="44"/>
        <v>W68C7</v>
      </c>
      <c r="U384" s="580" t="str">
        <f t="shared" si="44"/>
        <v>W69E7</v>
      </c>
      <c r="V384" s="580" t="str">
        <f t="shared" si="44"/>
        <v>W6B07</v>
      </c>
      <c r="W384" s="580" t="str">
        <f t="shared" si="44"/>
        <v>W6C27</v>
      </c>
      <c r="X384" s="580" t="str">
        <f t="shared" si="44"/>
        <v>W6D47</v>
      </c>
    </row>
    <row r="385" spans="7:24" ht="13.5" customHeight="1" x14ac:dyDescent="0.25">
      <c r="G385" s="581"/>
      <c r="H385" s="575"/>
      <c r="I385" s="650" t="s">
        <v>1225</v>
      </c>
      <c r="J385" s="470"/>
      <c r="K385" s="578">
        <v>232</v>
      </c>
      <c r="L385" s="614"/>
      <c r="M385" s="580" t="str">
        <f t="shared" si="41"/>
        <v>W60E8</v>
      </c>
      <c r="N385" s="580" t="str">
        <f t="shared" si="44"/>
        <v>W6208</v>
      </c>
      <c r="O385" s="580" t="str">
        <f t="shared" si="44"/>
        <v>W6328</v>
      </c>
      <c r="P385" s="580" t="str">
        <f t="shared" si="44"/>
        <v>W6448</v>
      </c>
      <c r="Q385" s="580" t="str">
        <f t="shared" si="44"/>
        <v>W6568</v>
      </c>
      <c r="R385" s="580" t="str">
        <f t="shared" si="44"/>
        <v>W6688</v>
      </c>
      <c r="S385" s="580" t="str">
        <f t="shared" si="44"/>
        <v>W67A8</v>
      </c>
      <c r="T385" s="580" t="str">
        <f t="shared" si="44"/>
        <v>W68C8</v>
      </c>
      <c r="U385" s="580" t="str">
        <f t="shared" si="44"/>
        <v>W69E8</v>
      </c>
      <c r="V385" s="580" t="str">
        <f t="shared" si="44"/>
        <v>W6B08</v>
      </c>
      <c r="W385" s="580" t="str">
        <f t="shared" si="44"/>
        <v>W6C28</v>
      </c>
      <c r="X385" s="580" t="str">
        <f t="shared" si="44"/>
        <v>W6D48</v>
      </c>
    </row>
    <row r="386" spans="7:24" ht="13.5" customHeight="1" x14ac:dyDescent="0.25">
      <c r="G386" s="581"/>
      <c r="H386" s="575"/>
      <c r="I386" s="650" t="s">
        <v>1226</v>
      </c>
      <c r="J386" s="470"/>
      <c r="K386" s="578">
        <v>233</v>
      </c>
      <c r="L386" s="614"/>
      <c r="M386" s="580" t="str">
        <f t="shared" si="41"/>
        <v>W60E9</v>
      </c>
      <c r="N386" s="580" t="str">
        <f t="shared" si="44"/>
        <v>W6209</v>
      </c>
      <c r="O386" s="580" t="str">
        <f t="shared" si="44"/>
        <v>W6329</v>
      </c>
      <c r="P386" s="580" t="str">
        <f t="shared" si="44"/>
        <v>W6449</v>
      </c>
      <c r="Q386" s="580" t="str">
        <f t="shared" si="44"/>
        <v>W6569</v>
      </c>
      <c r="R386" s="580" t="str">
        <f t="shared" si="44"/>
        <v>W6689</v>
      </c>
      <c r="S386" s="580" t="str">
        <f t="shared" si="44"/>
        <v>W67A9</v>
      </c>
      <c r="T386" s="580" t="str">
        <f t="shared" si="44"/>
        <v>W68C9</v>
      </c>
      <c r="U386" s="580" t="str">
        <f t="shared" si="44"/>
        <v>W69E9</v>
      </c>
      <c r="V386" s="580" t="str">
        <f t="shared" si="44"/>
        <v>W6B09</v>
      </c>
      <c r="W386" s="580" t="str">
        <f t="shared" si="44"/>
        <v>W6C29</v>
      </c>
      <c r="X386" s="580" t="str">
        <f t="shared" si="44"/>
        <v>W6D49</v>
      </c>
    </row>
    <row r="387" spans="7:24" ht="13.5" customHeight="1" x14ac:dyDescent="0.25">
      <c r="G387" s="581"/>
      <c r="H387" s="575"/>
      <c r="I387" s="650" t="s">
        <v>1227</v>
      </c>
      <c r="J387" s="470"/>
      <c r="K387" s="578">
        <v>234</v>
      </c>
      <c r="L387" s="614"/>
      <c r="M387" s="580" t="str">
        <f t="shared" si="41"/>
        <v>W60EA</v>
      </c>
      <c r="N387" s="580" t="str">
        <f t="shared" si="44"/>
        <v>W620A</v>
      </c>
      <c r="O387" s="580" t="str">
        <f t="shared" si="44"/>
        <v>W632A</v>
      </c>
      <c r="P387" s="580" t="str">
        <f t="shared" si="44"/>
        <v>W644A</v>
      </c>
      <c r="Q387" s="580" t="str">
        <f t="shared" si="44"/>
        <v>W656A</v>
      </c>
      <c r="R387" s="580" t="str">
        <f t="shared" si="44"/>
        <v>W668A</v>
      </c>
      <c r="S387" s="580" t="str">
        <f t="shared" si="44"/>
        <v>W67AA</v>
      </c>
      <c r="T387" s="580" t="str">
        <f t="shared" si="44"/>
        <v>W68CA</v>
      </c>
      <c r="U387" s="580" t="str">
        <f t="shared" si="44"/>
        <v>W69EA</v>
      </c>
      <c r="V387" s="580" t="str">
        <f t="shared" si="44"/>
        <v>W6B0A</v>
      </c>
      <c r="W387" s="580" t="str">
        <f t="shared" si="44"/>
        <v>W6C2A</v>
      </c>
      <c r="X387" s="580" t="str">
        <f t="shared" si="44"/>
        <v>W6D4A</v>
      </c>
    </row>
    <row r="388" spans="7:24" ht="13.5" customHeight="1" x14ac:dyDescent="0.25">
      <c r="G388" s="581"/>
      <c r="H388" s="575"/>
      <c r="I388" s="650" t="s">
        <v>1228</v>
      </c>
      <c r="J388" s="470"/>
      <c r="K388" s="578">
        <v>235</v>
      </c>
      <c r="L388" s="614"/>
      <c r="M388" s="580" t="str">
        <f t="shared" si="41"/>
        <v>W60EB</v>
      </c>
      <c r="N388" s="580" t="str">
        <f t="shared" si="44"/>
        <v>W620B</v>
      </c>
      <c r="O388" s="580" t="str">
        <f t="shared" si="44"/>
        <v>W632B</v>
      </c>
      <c r="P388" s="580" t="str">
        <f t="shared" si="44"/>
        <v>W644B</v>
      </c>
      <c r="Q388" s="580" t="str">
        <f t="shared" si="44"/>
        <v>W656B</v>
      </c>
      <c r="R388" s="580" t="str">
        <f t="shared" si="44"/>
        <v>W668B</v>
      </c>
      <c r="S388" s="580" t="str">
        <f t="shared" si="44"/>
        <v>W67AB</v>
      </c>
      <c r="T388" s="580" t="str">
        <f t="shared" si="44"/>
        <v>W68CB</v>
      </c>
      <c r="U388" s="580" t="str">
        <f t="shared" si="44"/>
        <v>W69EB</v>
      </c>
      <c r="V388" s="580" t="str">
        <f t="shared" si="44"/>
        <v>W6B0B</v>
      </c>
      <c r="W388" s="580" t="str">
        <f t="shared" si="44"/>
        <v>W6C2B</v>
      </c>
      <c r="X388" s="580" t="str">
        <f t="shared" si="44"/>
        <v>W6D4B</v>
      </c>
    </row>
    <row r="389" spans="7:24" ht="13.5" customHeight="1" x14ac:dyDescent="0.25">
      <c r="G389" s="581"/>
      <c r="H389" s="575"/>
      <c r="I389" s="650" t="s">
        <v>1229</v>
      </c>
      <c r="J389" s="470"/>
      <c r="K389" s="578">
        <v>236</v>
      </c>
      <c r="L389" s="614"/>
      <c r="M389" s="580" t="str">
        <f t="shared" si="41"/>
        <v>W60EC</v>
      </c>
      <c r="N389" s="580" t="str">
        <f t="shared" si="44"/>
        <v>W620C</v>
      </c>
      <c r="O389" s="580" t="str">
        <f t="shared" si="44"/>
        <v>W632C</v>
      </c>
      <c r="P389" s="580" t="str">
        <f t="shared" si="44"/>
        <v>W644C</v>
      </c>
      <c r="Q389" s="580" t="str">
        <f t="shared" si="44"/>
        <v>W656C</v>
      </c>
      <c r="R389" s="580" t="str">
        <f t="shared" si="44"/>
        <v>W668C</v>
      </c>
      <c r="S389" s="580" t="str">
        <f t="shared" si="44"/>
        <v>W67AC</v>
      </c>
      <c r="T389" s="580" t="str">
        <f t="shared" si="44"/>
        <v>W68CC</v>
      </c>
      <c r="U389" s="580" t="str">
        <f t="shared" si="44"/>
        <v>W69EC</v>
      </c>
      <c r="V389" s="580" t="str">
        <f t="shared" si="44"/>
        <v>W6B0C</v>
      </c>
      <c r="W389" s="580" t="str">
        <f t="shared" si="44"/>
        <v>W6C2C</v>
      </c>
      <c r="X389" s="580" t="str">
        <f t="shared" si="44"/>
        <v>W6D4C</v>
      </c>
    </row>
    <row r="390" spans="7:24" ht="13.5" customHeight="1" x14ac:dyDescent="0.25">
      <c r="G390" s="581"/>
      <c r="H390" s="575"/>
      <c r="I390" s="650" t="s">
        <v>1230</v>
      </c>
      <c r="J390" s="470"/>
      <c r="K390" s="578">
        <v>237</v>
      </c>
      <c r="L390" s="614"/>
      <c r="M390" s="580" t="str">
        <f t="shared" si="41"/>
        <v>W60ED</v>
      </c>
      <c r="N390" s="580" t="str">
        <f t="shared" si="44"/>
        <v>W620D</v>
      </c>
      <c r="O390" s="580" t="str">
        <f t="shared" si="44"/>
        <v>W632D</v>
      </c>
      <c r="P390" s="580" t="str">
        <f t="shared" si="44"/>
        <v>W644D</v>
      </c>
      <c r="Q390" s="580" t="str">
        <f t="shared" si="44"/>
        <v>W656D</v>
      </c>
      <c r="R390" s="580" t="str">
        <f t="shared" si="44"/>
        <v>W668D</v>
      </c>
      <c r="S390" s="580" t="str">
        <f t="shared" si="44"/>
        <v>W67AD</v>
      </c>
      <c r="T390" s="580" t="str">
        <f t="shared" si="44"/>
        <v>W68CD</v>
      </c>
      <c r="U390" s="580" t="str">
        <f t="shared" si="44"/>
        <v>W69ED</v>
      </c>
      <c r="V390" s="580" t="str">
        <f t="shared" si="44"/>
        <v>W6B0D</v>
      </c>
      <c r="W390" s="580" t="str">
        <f t="shared" si="44"/>
        <v>W6C2D</v>
      </c>
      <c r="X390" s="580" t="str">
        <f t="shared" si="44"/>
        <v>W6D4D</v>
      </c>
    </row>
    <row r="391" spans="7:24" ht="13.5" customHeight="1" x14ac:dyDescent="0.25">
      <c r="G391" s="581"/>
      <c r="H391" s="575"/>
      <c r="I391" s="650" t="s">
        <v>1231</v>
      </c>
      <c r="J391" s="470"/>
      <c r="K391" s="578">
        <v>238</v>
      </c>
      <c r="L391" s="614"/>
      <c r="M391" s="580" t="str">
        <f t="shared" si="41"/>
        <v>W60EE</v>
      </c>
      <c r="N391" s="580" t="str">
        <f t="shared" si="44"/>
        <v>W620E</v>
      </c>
      <c r="O391" s="580" t="str">
        <f t="shared" si="44"/>
        <v>W632E</v>
      </c>
      <c r="P391" s="580" t="str">
        <f t="shared" si="44"/>
        <v>W644E</v>
      </c>
      <c r="Q391" s="580" t="str">
        <f t="shared" si="44"/>
        <v>W656E</v>
      </c>
      <c r="R391" s="580" t="str">
        <f t="shared" si="44"/>
        <v>W668E</v>
      </c>
      <c r="S391" s="580" t="str">
        <f t="shared" si="44"/>
        <v>W67AE</v>
      </c>
      <c r="T391" s="580" t="str">
        <f t="shared" si="44"/>
        <v>W68CE</v>
      </c>
      <c r="U391" s="580" t="str">
        <f t="shared" si="44"/>
        <v>W69EE</v>
      </c>
      <c r="V391" s="580" t="str">
        <f t="shared" si="44"/>
        <v>W6B0E</v>
      </c>
      <c r="W391" s="580" t="str">
        <f t="shared" si="44"/>
        <v>W6C2E</v>
      </c>
      <c r="X391" s="580" t="str">
        <f t="shared" si="44"/>
        <v>W6D4E</v>
      </c>
    </row>
    <row r="392" spans="7:24" ht="13.5" customHeight="1" thickBot="1" x14ac:dyDescent="0.3">
      <c r="G392" s="581"/>
      <c r="H392" s="587"/>
      <c r="I392" s="652" t="s">
        <v>1232</v>
      </c>
      <c r="J392" s="490"/>
      <c r="K392" s="611">
        <v>239</v>
      </c>
      <c r="L392" s="617"/>
      <c r="M392" s="591" t="str">
        <f t="shared" si="41"/>
        <v>W60EF</v>
      </c>
      <c r="N392" s="591" t="str">
        <f t="shared" si="44"/>
        <v>W620F</v>
      </c>
      <c r="O392" s="591" t="str">
        <f t="shared" si="44"/>
        <v>W632F</v>
      </c>
      <c r="P392" s="591" t="str">
        <f t="shared" si="44"/>
        <v>W644F</v>
      </c>
      <c r="Q392" s="591" t="str">
        <f t="shared" si="44"/>
        <v>W656F</v>
      </c>
      <c r="R392" s="591" t="str">
        <f t="shared" si="44"/>
        <v>W668F</v>
      </c>
      <c r="S392" s="591" t="str">
        <f t="shared" si="44"/>
        <v>W67AF</v>
      </c>
      <c r="T392" s="591" t="str">
        <f t="shared" si="44"/>
        <v>W68CF</v>
      </c>
      <c r="U392" s="591" t="str">
        <f t="shared" si="44"/>
        <v>W69EF</v>
      </c>
      <c r="V392" s="591" t="str">
        <f t="shared" si="44"/>
        <v>W6B0F</v>
      </c>
      <c r="W392" s="591" t="str">
        <f t="shared" si="44"/>
        <v>W6C2F</v>
      </c>
      <c r="X392" s="591" t="str">
        <f t="shared" si="44"/>
        <v>W6D4F</v>
      </c>
    </row>
    <row r="393" spans="7:24" ht="13.5" customHeight="1" thickTop="1" x14ac:dyDescent="0.25">
      <c r="G393" s="581"/>
      <c r="H393" s="575"/>
      <c r="I393" s="649" t="s">
        <v>1233</v>
      </c>
      <c r="J393" s="464"/>
      <c r="K393" s="572">
        <v>240</v>
      </c>
      <c r="L393" s="613">
        <v>16</v>
      </c>
      <c r="M393" s="574" t="str">
        <f t="shared" si="41"/>
        <v>W60F0</v>
      </c>
      <c r="N393" s="574" t="str">
        <f t="shared" si="44"/>
        <v>W6210</v>
      </c>
      <c r="O393" s="574" t="str">
        <f t="shared" si="44"/>
        <v>W6330</v>
      </c>
      <c r="P393" s="574" t="str">
        <f t="shared" si="44"/>
        <v>W6450</v>
      </c>
      <c r="Q393" s="574" t="str">
        <f t="shared" si="44"/>
        <v>W6570</v>
      </c>
      <c r="R393" s="574" t="str">
        <f t="shared" si="44"/>
        <v>W6690</v>
      </c>
      <c r="S393" s="574" t="str">
        <f t="shared" si="44"/>
        <v>W67B0</v>
      </c>
      <c r="T393" s="574" t="str">
        <f t="shared" si="44"/>
        <v>W68D0</v>
      </c>
      <c r="U393" s="574" t="str">
        <f t="shared" si="44"/>
        <v>W69F0</v>
      </c>
      <c r="V393" s="574" t="str">
        <f t="shared" si="44"/>
        <v>W6B10</v>
      </c>
      <c r="W393" s="574" t="str">
        <f t="shared" si="44"/>
        <v>W6C30</v>
      </c>
      <c r="X393" s="574" t="str">
        <f t="shared" si="44"/>
        <v>W6D50</v>
      </c>
    </row>
    <row r="394" spans="7:24" ht="13.5" customHeight="1" x14ac:dyDescent="0.25">
      <c r="G394" s="581"/>
      <c r="H394" s="575"/>
      <c r="I394" s="650" t="s">
        <v>1234</v>
      </c>
      <c r="J394" s="470"/>
      <c r="K394" s="578">
        <v>241</v>
      </c>
      <c r="L394" s="614"/>
      <c r="M394" s="580" t="str">
        <f t="shared" si="41"/>
        <v>W60F1</v>
      </c>
      <c r="N394" s="580" t="str">
        <f t="shared" si="44"/>
        <v>W6211</v>
      </c>
      <c r="O394" s="580" t="str">
        <f t="shared" si="44"/>
        <v>W6331</v>
      </c>
      <c r="P394" s="580" t="str">
        <f t="shared" si="44"/>
        <v>W6451</v>
      </c>
      <c r="Q394" s="580" t="str">
        <f t="shared" si="44"/>
        <v>W6571</v>
      </c>
      <c r="R394" s="580" t="str">
        <f t="shared" si="44"/>
        <v>W6691</v>
      </c>
      <c r="S394" s="580" t="str">
        <f t="shared" si="44"/>
        <v>W67B1</v>
      </c>
      <c r="T394" s="580" t="str">
        <f t="shared" si="44"/>
        <v>W68D1</v>
      </c>
      <c r="U394" s="580" t="str">
        <f t="shared" si="44"/>
        <v>W69F1</v>
      </c>
      <c r="V394" s="580" t="str">
        <f t="shared" si="44"/>
        <v>W6B11</v>
      </c>
      <c r="W394" s="580" t="str">
        <f t="shared" si="44"/>
        <v>W6C31</v>
      </c>
      <c r="X394" s="580" t="str">
        <f t="shared" si="44"/>
        <v>W6D51</v>
      </c>
    </row>
    <row r="395" spans="7:24" ht="13.5" customHeight="1" x14ac:dyDescent="0.25">
      <c r="G395" s="581"/>
      <c r="H395" s="575"/>
      <c r="I395" s="650" t="s">
        <v>1235</v>
      </c>
      <c r="J395" s="470"/>
      <c r="K395" s="578">
        <v>242</v>
      </c>
      <c r="L395" s="614"/>
      <c r="M395" s="580" t="str">
        <f t="shared" si="41"/>
        <v>W60F2</v>
      </c>
      <c r="N395" s="580" t="str">
        <f t="shared" ref="N395:X410" si="45">"W"&amp;DEC2HEX(HEX2DEC(SUBSTITUTE(N394,"W",""))+1)</f>
        <v>W6212</v>
      </c>
      <c r="O395" s="580" t="str">
        <f t="shared" si="45"/>
        <v>W6332</v>
      </c>
      <c r="P395" s="580" t="str">
        <f t="shared" si="45"/>
        <v>W6452</v>
      </c>
      <c r="Q395" s="580" t="str">
        <f t="shared" si="45"/>
        <v>W6572</v>
      </c>
      <c r="R395" s="580" t="str">
        <f t="shared" si="45"/>
        <v>W6692</v>
      </c>
      <c r="S395" s="580" t="str">
        <f t="shared" si="45"/>
        <v>W67B2</v>
      </c>
      <c r="T395" s="580" t="str">
        <f t="shared" si="45"/>
        <v>W68D2</v>
      </c>
      <c r="U395" s="580" t="str">
        <f t="shared" si="45"/>
        <v>W69F2</v>
      </c>
      <c r="V395" s="580" t="str">
        <f t="shared" si="45"/>
        <v>W6B12</v>
      </c>
      <c r="W395" s="580" t="str">
        <f t="shared" si="45"/>
        <v>W6C32</v>
      </c>
      <c r="X395" s="580" t="str">
        <f t="shared" si="45"/>
        <v>W6D52</v>
      </c>
    </row>
    <row r="396" spans="7:24" ht="13.5" customHeight="1" x14ac:dyDescent="0.25">
      <c r="G396" s="581"/>
      <c r="H396" s="575"/>
      <c r="I396" s="650" t="s">
        <v>1236</v>
      </c>
      <c r="J396" s="470"/>
      <c r="K396" s="578">
        <v>243</v>
      </c>
      <c r="L396" s="614"/>
      <c r="M396" s="580" t="str">
        <f t="shared" si="41"/>
        <v>W60F3</v>
      </c>
      <c r="N396" s="580" t="str">
        <f t="shared" si="45"/>
        <v>W6213</v>
      </c>
      <c r="O396" s="580" t="str">
        <f t="shared" si="45"/>
        <v>W6333</v>
      </c>
      <c r="P396" s="580" t="str">
        <f t="shared" si="45"/>
        <v>W6453</v>
      </c>
      <c r="Q396" s="580" t="str">
        <f t="shared" si="45"/>
        <v>W6573</v>
      </c>
      <c r="R396" s="580" t="str">
        <f t="shared" si="45"/>
        <v>W6693</v>
      </c>
      <c r="S396" s="580" t="str">
        <f t="shared" si="45"/>
        <v>W67B3</v>
      </c>
      <c r="T396" s="580" t="str">
        <f t="shared" si="45"/>
        <v>W68D3</v>
      </c>
      <c r="U396" s="580" t="str">
        <f t="shared" si="45"/>
        <v>W69F3</v>
      </c>
      <c r="V396" s="580" t="str">
        <f t="shared" si="45"/>
        <v>W6B13</v>
      </c>
      <c r="W396" s="580" t="str">
        <f t="shared" si="45"/>
        <v>W6C33</v>
      </c>
      <c r="X396" s="580" t="str">
        <f t="shared" si="45"/>
        <v>W6D53</v>
      </c>
    </row>
    <row r="397" spans="7:24" ht="13.5" customHeight="1" x14ac:dyDescent="0.25">
      <c r="G397" s="581"/>
      <c r="H397" s="575"/>
      <c r="I397" s="650" t="s">
        <v>1237</v>
      </c>
      <c r="J397" s="470"/>
      <c r="K397" s="578">
        <v>244</v>
      </c>
      <c r="L397" s="614"/>
      <c r="M397" s="580" t="str">
        <f t="shared" si="41"/>
        <v>W60F4</v>
      </c>
      <c r="N397" s="580" t="str">
        <f t="shared" si="45"/>
        <v>W6214</v>
      </c>
      <c r="O397" s="580" t="str">
        <f t="shared" si="45"/>
        <v>W6334</v>
      </c>
      <c r="P397" s="580" t="str">
        <f t="shared" si="45"/>
        <v>W6454</v>
      </c>
      <c r="Q397" s="580" t="str">
        <f t="shared" si="45"/>
        <v>W6574</v>
      </c>
      <c r="R397" s="580" t="str">
        <f t="shared" si="45"/>
        <v>W6694</v>
      </c>
      <c r="S397" s="580" t="str">
        <f t="shared" si="45"/>
        <v>W67B4</v>
      </c>
      <c r="T397" s="580" t="str">
        <f t="shared" si="45"/>
        <v>W68D4</v>
      </c>
      <c r="U397" s="580" t="str">
        <f t="shared" si="45"/>
        <v>W69F4</v>
      </c>
      <c r="V397" s="580" t="str">
        <f t="shared" si="45"/>
        <v>W6B14</v>
      </c>
      <c r="W397" s="580" t="str">
        <f t="shared" si="45"/>
        <v>W6C34</v>
      </c>
      <c r="X397" s="580" t="str">
        <f t="shared" si="45"/>
        <v>W6D54</v>
      </c>
    </row>
    <row r="398" spans="7:24" ht="13.5" customHeight="1" x14ac:dyDescent="0.25">
      <c r="G398" s="581"/>
      <c r="H398" s="575"/>
      <c r="I398" s="650" t="s">
        <v>1238</v>
      </c>
      <c r="J398" s="470"/>
      <c r="K398" s="578">
        <v>245</v>
      </c>
      <c r="L398" s="614"/>
      <c r="M398" s="580" t="str">
        <f t="shared" si="41"/>
        <v>W60F5</v>
      </c>
      <c r="N398" s="580" t="str">
        <f t="shared" si="45"/>
        <v>W6215</v>
      </c>
      <c r="O398" s="580" t="str">
        <f t="shared" si="45"/>
        <v>W6335</v>
      </c>
      <c r="P398" s="580" t="str">
        <f t="shared" si="45"/>
        <v>W6455</v>
      </c>
      <c r="Q398" s="580" t="str">
        <f t="shared" si="45"/>
        <v>W6575</v>
      </c>
      <c r="R398" s="580" t="str">
        <f t="shared" si="45"/>
        <v>W6695</v>
      </c>
      <c r="S398" s="580" t="str">
        <f t="shared" si="45"/>
        <v>W67B5</v>
      </c>
      <c r="T398" s="580" t="str">
        <f t="shared" si="45"/>
        <v>W68D5</v>
      </c>
      <c r="U398" s="580" t="str">
        <f t="shared" si="45"/>
        <v>W69F5</v>
      </c>
      <c r="V398" s="580" t="str">
        <f t="shared" si="45"/>
        <v>W6B15</v>
      </c>
      <c r="W398" s="580" t="str">
        <f t="shared" si="45"/>
        <v>W6C35</v>
      </c>
      <c r="X398" s="580" t="str">
        <f t="shared" si="45"/>
        <v>W6D55</v>
      </c>
    </row>
    <row r="399" spans="7:24" ht="13.5" customHeight="1" x14ac:dyDescent="0.25">
      <c r="G399" s="581"/>
      <c r="H399" s="575"/>
      <c r="I399" s="650" t="s">
        <v>1239</v>
      </c>
      <c r="J399" s="470"/>
      <c r="K399" s="578">
        <v>246</v>
      </c>
      <c r="L399" s="614"/>
      <c r="M399" s="580" t="str">
        <f t="shared" si="41"/>
        <v>W60F6</v>
      </c>
      <c r="N399" s="580" t="str">
        <f t="shared" si="45"/>
        <v>W6216</v>
      </c>
      <c r="O399" s="580" t="str">
        <f t="shared" si="45"/>
        <v>W6336</v>
      </c>
      <c r="P399" s="580" t="str">
        <f t="shared" si="45"/>
        <v>W6456</v>
      </c>
      <c r="Q399" s="580" t="str">
        <f t="shared" si="45"/>
        <v>W6576</v>
      </c>
      <c r="R399" s="580" t="str">
        <f t="shared" si="45"/>
        <v>W6696</v>
      </c>
      <c r="S399" s="580" t="str">
        <f t="shared" si="45"/>
        <v>W67B6</v>
      </c>
      <c r="T399" s="580" t="str">
        <f t="shared" si="45"/>
        <v>W68D6</v>
      </c>
      <c r="U399" s="580" t="str">
        <f t="shared" si="45"/>
        <v>W69F6</v>
      </c>
      <c r="V399" s="580" t="str">
        <f t="shared" si="45"/>
        <v>W6B16</v>
      </c>
      <c r="W399" s="580" t="str">
        <f t="shared" si="45"/>
        <v>W6C36</v>
      </c>
      <c r="X399" s="580" t="str">
        <f t="shared" si="45"/>
        <v>W6D56</v>
      </c>
    </row>
    <row r="400" spans="7:24" ht="13.5" customHeight="1" x14ac:dyDescent="0.25">
      <c r="G400" s="581"/>
      <c r="H400" s="575"/>
      <c r="I400" s="650" t="s">
        <v>1240</v>
      </c>
      <c r="J400" s="470"/>
      <c r="K400" s="578">
        <v>247</v>
      </c>
      <c r="L400" s="614"/>
      <c r="M400" s="580" t="str">
        <f t="shared" si="41"/>
        <v>W60F7</v>
      </c>
      <c r="N400" s="580" t="str">
        <f t="shared" si="45"/>
        <v>W6217</v>
      </c>
      <c r="O400" s="580" t="str">
        <f t="shared" si="45"/>
        <v>W6337</v>
      </c>
      <c r="P400" s="580" t="str">
        <f t="shared" si="45"/>
        <v>W6457</v>
      </c>
      <c r="Q400" s="580" t="str">
        <f t="shared" si="45"/>
        <v>W6577</v>
      </c>
      <c r="R400" s="580" t="str">
        <f t="shared" si="45"/>
        <v>W6697</v>
      </c>
      <c r="S400" s="580" t="str">
        <f t="shared" si="45"/>
        <v>W67B7</v>
      </c>
      <c r="T400" s="580" t="str">
        <f t="shared" si="45"/>
        <v>W68D7</v>
      </c>
      <c r="U400" s="580" t="str">
        <f t="shared" si="45"/>
        <v>W69F7</v>
      </c>
      <c r="V400" s="580" t="str">
        <f t="shared" si="45"/>
        <v>W6B17</v>
      </c>
      <c r="W400" s="580" t="str">
        <f t="shared" si="45"/>
        <v>W6C37</v>
      </c>
      <c r="X400" s="580" t="str">
        <f t="shared" si="45"/>
        <v>W6D57</v>
      </c>
    </row>
    <row r="401" spans="7:24" ht="13.5" customHeight="1" x14ac:dyDescent="0.25">
      <c r="G401" s="581"/>
      <c r="H401" s="575"/>
      <c r="I401" s="650" t="s">
        <v>1241</v>
      </c>
      <c r="J401" s="470"/>
      <c r="K401" s="578">
        <v>248</v>
      </c>
      <c r="L401" s="614"/>
      <c r="M401" s="580" t="str">
        <f t="shared" si="41"/>
        <v>W60F8</v>
      </c>
      <c r="N401" s="580" t="str">
        <f t="shared" si="45"/>
        <v>W6218</v>
      </c>
      <c r="O401" s="580" t="str">
        <f t="shared" si="45"/>
        <v>W6338</v>
      </c>
      <c r="P401" s="580" t="str">
        <f t="shared" si="45"/>
        <v>W6458</v>
      </c>
      <c r="Q401" s="580" t="str">
        <f t="shared" si="45"/>
        <v>W6578</v>
      </c>
      <c r="R401" s="580" t="str">
        <f t="shared" si="45"/>
        <v>W6698</v>
      </c>
      <c r="S401" s="580" t="str">
        <f t="shared" si="45"/>
        <v>W67B8</v>
      </c>
      <c r="T401" s="580" t="str">
        <f t="shared" si="45"/>
        <v>W68D8</v>
      </c>
      <c r="U401" s="580" t="str">
        <f t="shared" si="45"/>
        <v>W69F8</v>
      </c>
      <c r="V401" s="580" t="str">
        <f t="shared" si="45"/>
        <v>W6B18</v>
      </c>
      <c r="W401" s="580" t="str">
        <f t="shared" si="45"/>
        <v>W6C38</v>
      </c>
      <c r="X401" s="580" t="str">
        <f t="shared" si="45"/>
        <v>W6D58</v>
      </c>
    </row>
    <row r="402" spans="7:24" ht="13.5" customHeight="1" x14ac:dyDescent="0.25">
      <c r="G402" s="581"/>
      <c r="H402" s="575"/>
      <c r="I402" s="650" t="s">
        <v>1241</v>
      </c>
      <c r="J402" s="470"/>
      <c r="K402" s="578">
        <v>249</v>
      </c>
      <c r="L402" s="614"/>
      <c r="M402" s="580" t="str">
        <f t="shared" si="41"/>
        <v>W60F9</v>
      </c>
      <c r="N402" s="580" t="str">
        <f t="shared" si="45"/>
        <v>W6219</v>
      </c>
      <c r="O402" s="580" t="str">
        <f t="shared" si="45"/>
        <v>W6339</v>
      </c>
      <c r="P402" s="580" t="str">
        <f t="shared" si="45"/>
        <v>W6459</v>
      </c>
      <c r="Q402" s="580" t="str">
        <f t="shared" si="45"/>
        <v>W6579</v>
      </c>
      <c r="R402" s="580" t="str">
        <f t="shared" si="45"/>
        <v>W6699</v>
      </c>
      <c r="S402" s="580" t="str">
        <f t="shared" si="45"/>
        <v>W67B9</v>
      </c>
      <c r="T402" s="580" t="str">
        <f t="shared" si="45"/>
        <v>W68D9</v>
      </c>
      <c r="U402" s="580" t="str">
        <f t="shared" si="45"/>
        <v>W69F9</v>
      </c>
      <c r="V402" s="580" t="str">
        <f t="shared" si="45"/>
        <v>W6B19</v>
      </c>
      <c r="W402" s="580" t="str">
        <f t="shared" si="45"/>
        <v>W6C39</v>
      </c>
      <c r="X402" s="580" t="str">
        <f t="shared" si="45"/>
        <v>W6D59</v>
      </c>
    </row>
    <row r="403" spans="7:24" ht="13.5" customHeight="1" x14ac:dyDescent="0.25">
      <c r="G403" s="581"/>
      <c r="H403" s="575"/>
      <c r="I403" s="650" t="s">
        <v>742</v>
      </c>
      <c r="J403" s="470"/>
      <c r="K403" s="578">
        <v>250</v>
      </c>
      <c r="L403" s="614"/>
      <c r="M403" s="580" t="str">
        <f t="shared" si="41"/>
        <v>W60FA</v>
      </c>
      <c r="N403" s="580" t="str">
        <f t="shared" si="45"/>
        <v>W621A</v>
      </c>
      <c r="O403" s="580" t="str">
        <f t="shared" si="45"/>
        <v>W633A</v>
      </c>
      <c r="P403" s="580" t="str">
        <f t="shared" si="45"/>
        <v>W645A</v>
      </c>
      <c r="Q403" s="580" t="str">
        <f t="shared" si="45"/>
        <v>W657A</v>
      </c>
      <c r="R403" s="580" t="str">
        <f t="shared" si="45"/>
        <v>W669A</v>
      </c>
      <c r="S403" s="580" t="str">
        <f t="shared" si="45"/>
        <v>W67BA</v>
      </c>
      <c r="T403" s="580" t="str">
        <f t="shared" si="45"/>
        <v>W68DA</v>
      </c>
      <c r="U403" s="580" t="str">
        <f t="shared" si="45"/>
        <v>W69FA</v>
      </c>
      <c r="V403" s="580" t="str">
        <f t="shared" si="45"/>
        <v>W6B1A</v>
      </c>
      <c r="W403" s="580" t="str">
        <f t="shared" si="45"/>
        <v>W6C3A</v>
      </c>
      <c r="X403" s="580" t="str">
        <f t="shared" si="45"/>
        <v>W6D5A</v>
      </c>
    </row>
    <row r="404" spans="7:24" ht="13.5" customHeight="1" x14ac:dyDescent="0.25">
      <c r="G404" s="581"/>
      <c r="H404" s="575"/>
      <c r="I404" s="650" t="s">
        <v>742</v>
      </c>
      <c r="J404" s="470"/>
      <c r="K404" s="578">
        <v>251</v>
      </c>
      <c r="L404" s="614"/>
      <c r="M404" s="580" t="str">
        <f t="shared" si="41"/>
        <v>W60FB</v>
      </c>
      <c r="N404" s="580" t="str">
        <f t="shared" si="45"/>
        <v>W621B</v>
      </c>
      <c r="O404" s="580" t="str">
        <f t="shared" si="45"/>
        <v>W633B</v>
      </c>
      <c r="P404" s="580" t="str">
        <f t="shared" si="45"/>
        <v>W645B</v>
      </c>
      <c r="Q404" s="580" t="str">
        <f t="shared" si="45"/>
        <v>W657B</v>
      </c>
      <c r="R404" s="580" t="str">
        <f t="shared" si="45"/>
        <v>W669B</v>
      </c>
      <c r="S404" s="580" t="str">
        <f t="shared" si="45"/>
        <v>W67BB</v>
      </c>
      <c r="T404" s="580" t="str">
        <f t="shared" si="45"/>
        <v>W68DB</v>
      </c>
      <c r="U404" s="580" t="str">
        <f t="shared" si="45"/>
        <v>W69FB</v>
      </c>
      <c r="V404" s="580" t="str">
        <f t="shared" si="45"/>
        <v>W6B1B</v>
      </c>
      <c r="W404" s="580" t="str">
        <f t="shared" si="45"/>
        <v>W6C3B</v>
      </c>
      <c r="X404" s="580" t="str">
        <f t="shared" si="45"/>
        <v>W6D5B</v>
      </c>
    </row>
    <row r="405" spans="7:24" ht="13.5" customHeight="1" x14ac:dyDescent="0.25">
      <c r="G405" s="581"/>
      <c r="H405" s="575"/>
      <c r="I405" s="650" t="s">
        <v>1242</v>
      </c>
      <c r="J405" s="470"/>
      <c r="K405" s="578">
        <v>252</v>
      </c>
      <c r="L405" s="614"/>
      <c r="M405" s="580" t="str">
        <f t="shared" si="41"/>
        <v>W60FC</v>
      </c>
      <c r="N405" s="580" t="str">
        <f t="shared" si="45"/>
        <v>W621C</v>
      </c>
      <c r="O405" s="580" t="str">
        <f t="shared" si="45"/>
        <v>W633C</v>
      </c>
      <c r="P405" s="580" t="str">
        <f t="shared" si="45"/>
        <v>W645C</v>
      </c>
      <c r="Q405" s="580" t="str">
        <f t="shared" si="45"/>
        <v>W657C</v>
      </c>
      <c r="R405" s="580" t="str">
        <f t="shared" si="45"/>
        <v>W669C</v>
      </c>
      <c r="S405" s="580" t="str">
        <f t="shared" si="45"/>
        <v>W67BC</v>
      </c>
      <c r="T405" s="580" t="str">
        <f t="shared" si="45"/>
        <v>W68DC</v>
      </c>
      <c r="U405" s="580" t="str">
        <f t="shared" si="45"/>
        <v>W69FC</v>
      </c>
      <c r="V405" s="580" t="str">
        <f t="shared" si="45"/>
        <v>W6B1C</v>
      </c>
      <c r="W405" s="580" t="str">
        <f t="shared" si="45"/>
        <v>W6C3C</v>
      </c>
      <c r="X405" s="580" t="str">
        <f t="shared" si="45"/>
        <v>W6D5C</v>
      </c>
    </row>
    <row r="406" spans="7:24" ht="13.5" customHeight="1" x14ac:dyDescent="0.25">
      <c r="G406" s="581"/>
      <c r="H406" s="575"/>
      <c r="I406" s="650" t="s">
        <v>1243</v>
      </c>
      <c r="J406" s="470"/>
      <c r="K406" s="578">
        <v>253</v>
      </c>
      <c r="L406" s="614"/>
      <c r="M406" s="580" t="str">
        <f t="shared" si="41"/>
        <v>W60FD</v>
      </c>
      <c r="N406" s="580" t="str">
        <f t="shared" si="45"/>
        <v>W621D</v>
      </c>
      <c r="O406" s="580" t="str">
        <f t="shared" si="45"/>
        <v>W633D</v>
      </c>
      <c r="P406" s="580" t="str">
        <f t="shared" si="45"/>
        <v>W645D</v>
      </c>
      <c r="Q406" s="580" t="str">
        <f t="shared" si="45"/>
        <v>W657D</v>
      </c>
      <c r="R406" s="580" t="str">
        <f t="shared" si="45"/>
        <v>W669D</v>
      </c>
      <c r="S406" s="580" t="str">
        <f t="shared" si="45"/>
        <v>W67BD</v>
      </c>
      <c r="T406" s="580" t="str">
        <f t="shared" si="45"/>
        <v>W68DD</v>
      </c>
      <c r="U406" s="580" t="str">
        <f t="shared" si="45"/>
        <v>W69FD</v>
      </c>
      <c r="V406" s="580" t="str">
        <f t="shared" si="45"/>
        <v>W6B1D</v>
      </c>
      <c r="W406" s="580" t="str">
        <f t="shared" si="45"/>
        <v>W6C3D</v>
      </c>
      <c r="X406" s="580" t="str">
        <f t="shared" si="45"/>
        <v>W6D5D</v>
      </c>
    </row>
    <row r="407" spans="7:24" ht="13.5" customHeight="1" x14ac:dyDescent="0.25">
      <c r="G407" s="581"/>
      <c r="H407" s="575"/>
      <c r="I407" s="650" t="s">
        <v>1244</v>
      </c>
      <c r="J407" s="470"/>
      <c r="K407" s="578">
        <v>254</v>
      </c>
      <c r="L407" s="614"/>
      <c r="M407" s="580" t="str">
        <f t="shared" si="41"/>
        <v>W60FE</v>
      </c>
      <c r="N407" s="580" t="str">
        <f t="shared" si="45"/>
        <v>W621E</v>
      </c>
      <c r="O407" s="580" t="str">
        <f t="shared" si="45"/>
        <v>W633E</v>
      </c>
      <c r="P407" s="580" t="str">
        <f t="shared" si="45"/>
        <v>W645E</v>
      </c>
      <c r="Q407" s="580" t="str">
        <f t="shared" si="45"/>
        <v>W657E</v>
      </c>
      <c r="R407" s="580" t="str">
        <f t="shared" si="45"/>
        <v>W669E</v>
      </c>
      <c r="S407" s="580" t="str">
        <f t="shared" si="45"/>
        <v>W67BE</v>
      </c>
      <c r="T407" s="580" t="str">
        <f t="shared" si="45"/>
        <v>W68DE</v>
      </c>
      <c r="U407" s="580" t="str">
        <f t="shared" si="45"/>
        <v>W69FE</v>
      </c>
      <c r="V407" s="580" t="str">
        <f t="shared" si="45"/>
        <v>W6B1E</v>
      </c>
      <c r="W407" s="580" t="str">
        <f t="shared" si="45"/>
        <v>W6C3E</v>
      </c>
      <c r="X407" s="580" t="str">
        <f t="shared" si="45"/>
        <v>W6D5E</v>
      </c>
    </row>
    <row r="408" spans="7:24" ht="13.5" customHeight="1" thickBot="1" x14ac:dyDescent="0.3">
      <c r="G408" s="581"/>
      <c r="H408" s="587"/>
      <c r="I408" s="652" t="s">
        <v>742</v>
      </c>
      <c r="J408" s="490"/>
      <c r="K408" s="611">
        <v>255</v>
      </c>
      <c r="L408" s="617"/>
      <c r="M408" s="591" t="str">
        <f t="shared" si="41"/>
        <v>W60FF</v>
      </c>
      <c r="N408" s="591" t="str">
        <f t="shared" si="45"/>
        <v>W621F</v>
      </c>
      <c r="O408" s="591" t="str">
        <f t="shared" si="45"/>
        <v>W633F</v>
      </c>
      <c r="P408" s="591" t="str">
        <f t="shared" si="45"/>
        <v>W645F</v>
      </c>
      <c r="Q408" s="591" t="str">
        <f t="shared" si="45"/>
        <v>W657F</v>
      </c>
      <c r="R408" s="591" t="str">
        <f t="shared" si="45"/>
        <v>W669F</v>
      </c>
      <c r="S408" s="591" t="str">
        <f t="shared" si="45"/>
        <v>W67BF</v>
      </c>
      <c r="T408" s="591" t="str">
        <f t="shared" si="45"/>
        <v>W68DF</v>
      </c>
      <c r="U408" s="591" t="str">
        <f t="shared" si="45"/>
        <v>W69FF</v>
      </c>
      <c r="V408" s="591" t="str">
        <f t="shared" si="45"/>
        <v>W6B1F</v>
      </c>
      <c r="W408" s="591" t="str">
        <f t="shared" si="45"/>
        <v>W6C3F</v>
      </c>
      <c r="X408" s="591" t="str">
        <f t="shared" si="45"/>
        <v>W6D5F</v>
      </c>
    </row>
    <row r="409" spans="7:24" ht="13.5" customHeight="1" thickTop="1" x14ac:dyDescent="0.25">
      <c r="G409" s="581"/>
      <c r="H409" s="575"/>
      <c r="I409" s="649" t="s">
        <v>742</v>
      </c>
      <c r="J409" s="464"/>
      <c r="K409" s="572">
        <v>256</v>
      </c>
      <c r="L409" s="613">
        <v>17</v>
      </c>
      <c r="M409" s="574" t="str">
        <f t="shared" si="41"/>
        <v>W6100</v>
      </c>
      <c r="N409" s="574" t="str">
        <f t="shared" si="45"/>
        <v>W6220</v>
      </c>
      <c r="O409" s="574" t="str">
        <f t="shared" si="45"/>
        <v>W6340</v>
      </c>
      <c r="P409" s="574" t="str">
        <f t="shared" si="45"/>
        <v>W6460</v>
      </c>
      <c r="Q409" s="574" t="str">
        <f t="shared" si="45"/>
        <v>W6580</v>
      </c>
      <c r="R409" s="574" t="str">
        <f t="shared" si="45"/>
        <v>W66A0</v>
      </c>
      <c r="S409" s="574" t="str">
        <f t="shared" si="45"/>
        <v>W67C0</v>
      </c>
      <c r="T409" s="574" t="str">
        <f t="shared" si="45"/>
        <v>W68E0</v>
      </c>
      <c r="U409" s="574" t="str">
        <f t="shared" si="45"/>
        <v>W6A00</v>
      </c>
      <c r="V409" s="574" t="str">
        <f t="shared" si="45"/>
        <v>W6B20</v>
      </c>
      <c r="W409" s="574" t="str">
        <f t="shared" si="45"/>
        <v>W6C40</v>
      </c>
      <c r="X409" s="574" t="str">
        <f t="shared" si="45"/>
        <v>W6D60</v>
      </c>
    </row>
    <row r="410" spans="7:24" ht="13.5" customHeight="1" x14ac:dyDescent="0.25">
      <c r="G410" s="581"/>
      <c r="H410" s="575"/>
      <c r="I410" s="650" t="s">
        <v>742</v>
      </c>
      <c r="J410" s="470"/>
      <c r="K410" s="578">
        <v>257</v>
      </c>
      <c r="L410" s="614"/>
      <c r="M410" s="580" t="str">
        <f t="shared" si="41"/>
        <v>W6101</v>
      </c>
      <c r="N410" s="580" t="str">
        <f t="shared" si="45"/>
        <v>W6221</v>
      </c>
      <c r="O410" s="580" t="str">
        <f t="shared" si="45"/>
        <v>W6341</v>
      </c>
      <c r="P410" s="580" t="str">
        <f t="shared" si="45"/>
        <v>W6461</v>
      </c>
      <c r="Q410" s="580" t="str">
        <f t="shared" si="45"/>
        <v>W6581</v>
      </c>
      <c r="R410" s="580" t="str">
        <f t="shared" si="45"/>
        <v>W66A1</v>
      </c>
      <c r="S410" s="580" t="str">
        <f t="shared" si="45"/>
        <v>W67C1</v>
      </c>
      <c r="T410" s="580" t="str">
        <f t="shared" si="45"/>
        <v>W68E1</v>
      </c>
      <c r="U410" s="580" t="str">
        <f t="shared" si="45"/>
        <v>W6A01</v>
      </c>
      <c r="V410" s="580" t="str">
        <f t="shared" si="45"/>
        <v>W6B21</v>
      </c>
      <c r="W410" s="580" t="str">
        <f t="shared" si="45"/>
        <v>W6C41</v>
      </c>
      <c r="X410" s="580" t="str">
        <f t="shared" si="45"/>
        <v>W6D61</v>
      </c>
    </row>
    <row r="411" spans="7:24" ht="13.5" customHeight="1" x14ac:dyDescent="0.25">
      <c r="G411" s="605"/>
      <c r="H411" s="575"/>
      <c r="I411" s="650" t="s">
        <v>742</v>
      </c>
      <c r="J411" s="470"/>
      <c r="K411" s="578">
        <v>258</v>
      </c>
      <c r="L411" s="614"/>
      <c r="M411" s="580" t="str">
        <f t="shared" ref="M411:M440" si="46">"W"&amp;DEC2HEX((HEX2DEC(SUBSTITUTE(M410,"W",""))+1))</f>
        <v>W6102</v>
      </c>
      <c r="N411" s="580" t="str">
        <f t="shared" ref="N411:X426" si="47">"W"&amp;DEC2HEX(HEX2DEC(SUBSTITUTE(N410,"W",""))+1)</f>
        <v>W6222</v>
      </c>
      <c r="O411" s="580" t="str">
        <f t="shared" si="47"/>
        <v>W6342</v>
      </c>
      <c r="P411" s="580" t="str">
        <f t="shared" si="47"/>
        <v>W6462</v>
      </c>
      <c r="Q411" s="580" t="str">
        <f t="shared" si="47"/>
        <v>W6582</v>
      </c>
      <c r="R411" s="580" t="str">
        <f t="shared" si="47"/>
        <v>W66A2</v>
      </c>
      <c r="S411" s="580" t="str">
        <f t="shared" si="47"/>
        <v>W67C2</v>
      </c>
      <c r="T411" s="580" t="str">
        <f t="shared" si="47"/>
        <v>W68E2</v>
      </c>
      <c r="U411" s="580" t="str">
        <f t="shared" si="47"/>
        <v>W6A02</v>
      </c>
      <c r="V411" s="580" t="str">
        <f t="shared" si="47"/>
        <v>W6B22</v>
      </c>
      <c r="W411" s="580" t="str">
        <f t="shared" si="47"/>
        <v>W6C42</v>
      </c>
      <c r="X411" s="580" t="str">
        <f t="shared" si="47"/>
        <v>W6D62</v>
      </c>
    </row>
    <row r="412" spans="7:24" ht="13.5" customHeight="1" x14ac:dyDescent="0.25">
      <c r="G412" s="605"/>
      <c r="H412" s="575"/>
      <c r="I412" s="650" t="s">
        <v>742</v>
      </c>
      <c r="J412" s="470"/>
      <c r="K412" s="578">
        <v>259</v>
      </c>
      <c r="L412" s="614"/>
      <c r="M412" s="580" t="str">
        <f t="shared" si="46"/>
        <v>W6103</v>
      </c>
      <c r="N412" s="580" t="str">
        <f t="shared" si="47"/>
        <v>W6223</v>
      </c>
      <c r="O412" s="580" t="str">
        <f t="shared" si="47"/>
        <v>W6343</v>
      </c>
      <c r="P412" s="580" t="str">
        <f t="shared" si="47"/>
        <v>W6463</v>
      </c>
      <c r="Q412" s="580" t="str">
        <f t="shared" si="47"/>
        <v>W6583</v>
      </c>
      <c r="R412" s="580" t="str">
        <f t="shared" si="47"/>
        <v>W66A3</v>
      </c>
      <c r="S412" s="580" t="str">
        <f t="shared" si="47"/>
        <v>W67C3</v>
      </c>
      <c r="T412" s="580" t="str">
        <f t="shared" si="47"/>
        <v>W68E3</v>
      </c>
      <c r="U412" s="580" t="str">
        <f t="shared" si="47"/>
        <v>W6A03</v>
      </c>
      <c r="V412" s="580" t="str">
        <f t="shared" si="47"/>
        <v>W6B23</v>
      </c>
      <c r="W412" s="580" t="str">
        <f t="shared" si="47"/>
        <v>W6C43</v>
      </c>
      <c r="X412" s="580" t="str">
        <f t="shared" si="47"/>
        <v>W6D63</v>
      </c>
    </row>
    <row r="413" spans="7:24" ht="13.5" customHeight="1" x14ac:dyDescent="0.25">
      <c r="G413" s="605"/>
      <c r="H413" s="575"/>
      <c r="I413" s="650" t="s">
        <v>742</v>
      </c>
      <c r="J413" s="470"/>
      <c r="K413" s="578">
        <v>260</v>
      </c>
      <c r="L413" s="614"/>
      <c r="M413" s="580" t="str">
        <f t="shared" si="46"/>
        <v>W6104</v>
      </c>
      <c r="N413" s="580" t="str">
        <f t="shared" si="47"/>
        <v>W6224</v>
      </c>
      <c r="O413" s="580" t="str">
        <f t="shared" si="47"/>
        <v>W6344</v>
      </c>
      <c r="P413" s="580" t="str">
        <f t="shared" si="47"/>
        <v>W6464</v>
      </c>
      <c r="Q413" s="580" t="str">
        <f t="shared" si="47"/>
        <v>W6584</v>
      </c>
      <c r="R413" s="580" t="str">
        <f t="shared" si="47"/>
        <v>W66A4</v>
      </c>
      <c r="S413" s="580" t="str">
        <f t="shared" si="47"/>
        <v>W67C4</v>
      </c>
      <c r="T413" s="580" t="str">
        <f t="shared" si="47"/>
        <v>W68E4</v>
      </c>
      <c r="U413" s="580" t="str">
        <f t="shared" si="47"/>
        <v>W6A04</v>
      </c>
      <c r="V413" s="580" t="str">
        <f t="shared" si="47"/>
        <v>W6B24</v>
      </c>
      <c r="W413" s="580" t="str">
        <f t="shared" si="47"/>
        <v>W6C44</v>
      </c>
      <c r="X413" s="580" t="str">
        <f t="shared" si="47"/>
        <v>W6D64</v>
      </c>
    </row>
    <row r="414" spans="7:24" ht="13.5" customHeight="1" x14ac:dyDescent="0.25">
      <c r="G414" s="605"/>
      <c r="H414" s="575"/>
      <c r="I414" s="650" t="s">
        <v>742</v>
      </c>
      <c r="J414" s="470"/>
      <c r="K414" s="578">
        <v>261</v>
      </c>
      <c r="L414" s="614"/>
      <c r="M414" s="580" t="str">
        <f t="shared" si="46"/>
        <v>W6105</v>
      </c>
      <c r="N414" s="580" t="str">
        <f t="shared" si="47"/>
        <v>W6225</v>
      </c>
      <c r="O414" s="580" t="str">
        <f t="shared" si="47"/>
        <v>W6345</v>
      </c>
      <c r="P414" s="580" t="str">
        <f t="shared" si="47"/>
        <v>W6465</v>
      </c>
      <c r="Q414" s="580" t="str">
        <f t="shared" si="47"/>
        <v>W6585</v>
      </c>
      <c r="R414" s="580" t="str">
        <f t="shared" si="47"/>
        <v>W66A5</v>
      </c>
      <c r="S414" s="580" t="str">
        <f t="shared" si="47"/>
        <v>W67C5</v>
      </c>
      <c r="T414" s="580" t="str">
        <f t="shared" si="47"/>
        <v>W68E5</v>
      </c>
      <c r="U414" s="580" t="str">
        <f t="shared" si="47"/>
        <v>W6A05</v>
      </c>
      <c r="V414" s="580" t="str">
        <f t="shared" si="47"/>
        <v>W6B25</v>
      </c>
      <c r="W414" s="580" t="str">
        <f t="shared" si="47"/>
        <v>W6C45</v>
      </c>
      <c r="X414" s="580" t="str">
        <f t="shared" si="47"/>
        <v>W6D65</v>
      </c>
    </row>
    <row r="415" spans="7:24" ht="13.5" customHeight="1" x14ac:dyDescent="0.25">
      <c r="G415" s="605"/>
      <c r="H415" s="575"/>
      <c r="I415" s="650" t="s">
        <v>742</v>
      </c>
      <c r="J415" s="470"/>
      <c r="K415" s="578">
        <v>262</v>
      </c>
      <c r="L415" s="614"/>
      <c r="M415" s="580" t="str">
        <f t="shared" si="46"/>
        <v>W6106</v>
      </c>
      <c r="N415" s="580" t="str">
        <f t="shared" si="47"/>
        <v>W6226</v>
      </c>
      <c r="O415" s="580" t="str">
        <f t="shared" si="47"/>
        <v>W6346</v>
      </c>
      <c r="P415" s="580" t="str">
        <f t="shared" si="47"/>
        <v>W6466</v>
      </c>
      <c r="Q415" s="580" t="str">
        <f t="shared" si="47"/>
        <v>W6586</v>
      </c>
      <c r="R415" s="580" t="str">
        <f t="shared" si="47"/>
        <v>W66A6</v>
      </c>
      <c r="S415" s="580" t="str">
        <f t="shared" si="47"/>
        <v>W67C6</v>
      </c>
      <c r="T415" s="580" t="str">
        <f t="shared" si="47"/>
        <v>W68E6</v>
      </c>
      <c r="U415" s="580" t="str">
        <f t="shared" si="47"/>
        <v>W6A06</v>
      </c>
      <c r="V415" s="580" t="str">
        <f t="shared" si="47"/>
        <v>W6B26</v>
      </c>
      <c r="W415" s="580" t="str">
        <f t="shared" si="47"/>
        <v>W6C46</v>
      </c>
      <c r="X415" s="580" t="str">
        <f t="shared" si="47"/>
        <v>W6D66</v>
      </c>
    </row>
    <row r="416" spans="7:24" ht="13.5" customHeight="1" x14ac:dyDescent="0.25">
      <c r="G416" s="605"/>
      <c r="H416" s="575"/>
      <c r="I416" s="582" t="s">
        <v>742</v>
      </c>
      <c r="J416" s="470"/>
      <c r="K416" s="578">
        <v>263</v>
      </c>
      <c r="L416" s="614"/>
      <c r="M416" s="580" t="str">
        <f t="shared" si="46"/>
        <v>W6107</v>
      </c>
      <c r="N416" s="580" t="str">
        <f t="shared" si="47"/>
        <v>W6227</v>
      </c>
      <c r="O416" s="580" t="str">
        <f t="shared" si="47"/>
        <v>W6347</v>
      </c>
      <c r="P416" s="580" t="str">
        <f t="shared" si="47"/>
        <v>W6467</v>
      </c>
      <c r="Q416" s="580" t="str">
        <f t="shared" si="47"/>
        <v>W6587</v>
      </c>
      <c r="R416" s="580" t="str">
        <f t="shared" si="47"/>
        <v>W66A7</v>
      </c>
      <c r="S416" s="580" t="str">
        <f t="shared" si="47"/>
        <v>W67C7</v>
      </c>
      <c r="T416" s="580" t="str">
        <f t="shared" si="47"/>
        <v>W68E7</v>
      </c>
      <c r="U416" s="580" t="str">
        <f t="shared" si="47"/>
        <v>W6A07</v>
      </c>
      <c r="V416" s="580" t="str">
        <f t="shared" si="47"/>
        <v>W6B27</v>
      </c>
      <c r="W416" s="580" t="str">
        <f t="shared" si="47"/>
        <v>W6C47</v>
      </c>
      <c r="X416" s="580" t="str">
        <f t="shared" si="47"/>
        <v>W6D67</v>
      </c>
    </row>
    <row r="417" spans="7:24" ht="13.5" customHeight="1" x14ac:dyDescent="0.25">
      <c r="G417" s="605"/>
      <c r="H417" s="575"/>
      <c r="I417" s="582" t="s">
        <v>742</v>
      </c>
      <c r="J417" s="470"/>
      <c r="K417" s="578">
        <v>264</v>
      </c>
      <c r="L417" s="614"/>
      <c r="M417" s="580" t="str">
        <f t="shared" si="46"/>
        <v>W6108</v>
      </c>
      <c r="N417" s="580" t="str">
        <f t="shared" si="47"/>
        <v>W6228</v>
      </c>
      <c r="O417" s="580" t="str">
        <f t="shared" si="47"/>
        <v>W6348</v>
      </c>
      <c r="P417" s="580" t="str">
        <f t="shared" si="47"/>
        <v>W6468</v>
      </c>
      <c r="Q417" s="580" t="str">
        <f t="shared" si="47"/>
        <v>W6588</v>
      </c>
      <c r="R417" s="580" t="str">
        <f t="shared" si="47"/>
        <v>W66A8</v>
      </c>
      <c r="S417" s="580" t="str">
        <f t="shared" si="47"/>
        <v>W67C8</v>
      </c>
      <c r="T417" s="580" t="str">
        <f t="shared" si="47"/>
        <v>W68E8</v>
      </c>
      <c r="U417" s="580" t="str">
        <f t="shared" si="47"/>
        <v>W6A08</v>
      </c>
      <c r="V417" s="580" t="str">
        <f t="shared" si="47"/>
        <v>W6B28</v>
      </c>
      <c r="W417" s="580" t="str">
        <f t="shared" si="47"/>
        <v>W6C48</v>
      </c>
      <c r="X417" s="580" t="str">
        <f t="shared" si="47"/>
        <v>W6D68</v>
      </c>
    </row>
    <row r="418" spans="7:24" ht="13.5" customHeight="1" x14ac:dyDescent="0.25">
      <c r="G418" s="605"/>
      <c r="H418" s="575"/>
      <c r="I418" s="582" t="s">
        <v>742</v>
      </c>
      <c r="J418" s="470"/>
      <c r="K418" s="578">
        <v>265</v>
      </c>
      <c r="L418" s="614"/>
      <c r="M418" s="580" t="str">
        <f t="shared" si="46"/>
        <v>W6109</v>
      </c>
      <c r="N418" s="580" t="str">
        <f t="shared" si="47"/>
        <v>W6229</v>
      </c>
      <c r="O418" s="580" t="str">
        <f t="shared" si="47"/>
        <v>W6349</v>
      </c>
      <c r="P418" s="580" t="str">
        <f t="shared" si="47"/>
        <v>W6469</v>
      </c>
      <c r="Q418" s="580" t="str">
        <f t="shared" si="47"/>
        <v>W6589</v>
      </c>
      <c r="R418" s="580" t="str">
        <f t="shared" si="47"/>
        <v>W66A9</v>
      </c>
      <c r="S418" s="580" t="str">
        <f t="shared" si="47"/>
        <v>W67C9</v>
      </c>
      <c r="T418" s="580" t="str">
        <f t="shared" si="47"/>
        <v>W68E9</v>
      </c>
      <c r="U418" s="580" t="str">
        <f t="shared" si="47"/>
        <v>W6A09</v>
      </c>
      <c r="V418" s="580" t="str">
        <f t="shared" si="47"/>
        <v>W6B29</v>
      </c>
      <c r="W418" s="580" t="str">
        <f t="shared" si="47"/>
        <v>W6C49</v>
      </c>
      <c r="X418" s="580" t="str">
        <f t="shared" si="47"/>
        <v>W6D69</v>
      </c>
    </row>
    <row r="419" spans="7:24" ht="13.5" customHeight="1" x14ac:dyDescent="0.25">
      <c r="G419" s="605"/>
      <c r="H419" s="575"/>
      <c r="I419" s="582" t="s">
        <v>742</v>
      </c>
      <c r="J419" s="470"/>
      <c r="K419" s="578">
        <v>266</v>
      </c>
      <c r="L419" s="614"/>
      <c r="M419" s="580" t="str">
        <f t="shared" si="46"/>
        <v>W610A</v>
      </c>
      <c r="N419" s="580" t="str">
        <f t="shared" si="47"/>
        <v>W622A</v>
      </c>
      <c r="O419" s="580" t="str">
        <f t="shared" si="47"/>
        <v>W634A</v>
      </c>
      <c r="P419" s="580" t="str">
        <f t="shared" si="47"/>
        <v>W646A</v>
      </c>
      <c r="Q419" s="580" t="str">
        <f t="shared" si="47"/>
        <v>W658A</v>
      </c>
      <c r="R419" s="580" t="str">
        <f t="shared" si="47"/>
        <v>W66AA</v>
      </c>
      <c r="S419" s="580" t="str">
        <f t="shared" si="47"/>
        <v>W67CA</v>
      </c>
      <c r="T419" s="580" t="str">
        <f t="shared" si="47"/>
        <v>W68EA</v>
      </c>
      <c r="U419" s="580" t="str">
        <f t="shared" si="47"/>
        <v>W6A0A</v>
      </c>
      <c r="V419" s="580" t="str">
        <f t="shared" si="47"/>
        <v>W6B2A</v>
      </c>
      <c r="W419" s="580" t="str">
        <f t="shared" si="47"/>
        <v>W6C4A</v>
      </c>
      <c r="X419" s="580" t="str">
        <f t="shared" si="47"/>
        <v>W6D6A</v>
      </c>
    </row>
    <row r="420" spans="7:24" ht="13.5" customHeight="1" x14ac:dyDescent="0.25">
      <c r="G420" s="605"/>
      <c r="H420" s="575"/>
      <c r="I420" s="582" t="s">
        <v>742</v>
      </c>
      <c r="J420" s="470"/>
      <c r="K420" s="578">
        <v>267</v>
      </c>
      <c r="L420" s="614"/>
      <c r="M420" s="580" t="str">
        <f t="shared" si="46"/>
        <v>W610B</v>
      </c>
      <c r="N420" s="580" t="str">
        <f t="shared" si="47"/>
        <v>W622B</v>
      </c>
      <c r="O420" s="580" t="str">
        <f t="shared" si="47"/>
        <v>W634B</v>
      </c>
      <c r="P420" s="580" t="str">
        <f t="shared" si="47"/>
        <v>W646B</v>
      </c>
      <c r="Q420" s="580" t="str">
        <f t="shared" si="47"/>
        <v>W658B</v>
      </c>
      <c r="R420" s="580" t="str">
        <f t="shared" si="47"/>
        <v>W66AB</v>
      </c>
      <c r="S420" s="580" t="str">
        <f t="shared" si="47"/>
        <v>W67CB</v>
      </c>
      <c r="T420" s="580" t="str">
        <f t="shared" si="47"/>
        <v>W68EB</v>
      </c>
      <c r="U420" s="580" t="str">
        <f t="shared" si="47"/>
        <v>W6A0B</v>
      </c>
      <c r="V420" s="580" t="str">
        <f t="shared" si="47"/>
        <v>W6B2B</v>
      </c>
      <c r="W420" s="580" t="str">
        <f t="shared" si="47"/>
        <v>W6C4B</v>
      </c>
      <c r="X420" s="580" t="str">
        <f t="shared" si="47"/>
        <v>W6D6B</v>
      </c>
    </row>
    <row r="421" spans="7:24" ht="13.5" customHeight="1" x14ac:dyDescent="0.25">
      <c r="G421" s="605"/>
      <c r="H421" s="575"/>
      <c r="I421" s="582" t="s">
        <v>742</v>
      </c>
      <c r="J421" s="470"/>
      <c r="K421" s="578">
        <v>268</v>
      </c>
      <c r="L421" s="614"/>
      <c r="M421" s="580" t="str">
        <f t="shared" si="46"/>
        <v>W610C</v>
      </c>
      <c r="N421" s="580" t="str">
        <f t="shared" si="47"/>
        <v>W622C</v>
      </c>
      <c r="O421" s="580" t="str">
        <f t="shared" si="47"/>
        <v>W634C</v>
      </c>
      <c r="P421" s="580" t="str">
        <f t="shared" si="47"/>
        <v>W646C</v>
      </c>
      <c r="Q421" s="580" t="str">
        <f t="shared" si="47"/>
        <v>W658C</v>
      </c>
      <c r="R421" s="580" t="str">
        <f t="shared" si="47"/>
        <v>W66AC</v>
      </c>
      <c r="S421" s="580" t="str">
        <f t="shared" si="47"/>
        <v>W67CC</v>
      </c>
      <c r="T421" s="580" t="str">
        <f t="shared" si="47"/>
        <v>W68EC</v>
      </c>
      <c r="U421" s="580" t="str">
        <f t="shared" si="47"/>
        <v>W6A0C</v>
      </c>
      <c r="V421" s="580" t="str">
        <f t="shared" si="47"/>
        <v>W6B2C</v>
      </c>
      <c r="W421" s="580" t="str">
        <f t="shared" si="47"/>
        <v>W6C4C</v>
      </c>
      <c r="X421" s="580" t="str">
        <f t="shared" si="47"/>
        <v>W6D6C</v>
      </c>
    </row>
    <row r="422" spans="7:24" ht="13.5" customHeight="1" x14ac:dyDescent="0.25">
      <c r="G422" s="605"/>
      <c r="H422" s="575"/>
      <c r="I422" s="582" t="s">
        <v>742</v>
      </c>
      <c r="J422" s="470"/>
      <c r="K422" s="578">
        <v>269</v>
      </c>
      <c r="L422" s="614"/>
      <c r="M422" s="580" t="str">
        <f t="shared" si="46"/>
        <v>W610D</v>
      </c>
      <c r="N422" s="580" t="str">
        <f t="shared" si="47"/>
        <v>W622D</v>
      </c>
      <c r="O422" s="580" t="str">
        <f t="shared" si="47"/>
        <v>W634D</v>
      </c>
      <c r="P422" s="580" t="str">
        <f t="shared" si="47"/>
        <v>W646D</v>
      </c>
      <c r="Q422" s="580" t="str">
        <f t="shared" si="47"/>
        <v>W658D</v>
      </c>
      <c r="R422" s="580" t="str">
        <f t="shared" si="47"/>
        <v>W66AD</v>
      </c>
      <c r="S422" s="580" t="str">
        <f t="shared" si="47"/>
        <v>W67CD</v>
      </c>
      <c r="T422" s="580" t="str">
        <f t="shared" si="47"/>
        <v>W68ED</v>
      </c>
      <c r="U422" s="580" t="str">
        <f t="shared" si="47"/>
        <v>W6A0D</v>
      </c>
      <c r="V422" s="580" t="str">
        <f t="shared" si="47"/>
        <v>W6B2D</v>
      </c>
      <c r="W422" s="580" t="str">
        <f t="shared" si="47"/>
        <v>W6C4D</v>
      </c>
      <c r="X422" s="580" t="str">
        <f t="shared" si="47"/>
        <v>W6D6D</v>
      </c>
    </row>
    <row r="423" spans="7:24" ht="13.5" customHeight="1" x14ac:dyDescent="0.25">
      <c r="G423" s="605"/>
      <c r="H423" s="575"/>
      <c r="I423" s="582" t="s">
        <v>742</v>
      </c>
      <c r="J423" s="470"/>
      <c r="K423" s="578">
        <v>270</v>
      </c>
      <c r="L423" s="614"/>
      <c r="M423" s="580" t="str">
        <f t="shared" si="46"/>
        <v>W610E</v>
      </c>
      <c r="N423" s="580" t="str">
        <f t="shared" si="47"/>
        <v>W622E</v>
      </c>
      <c r="O423" s="580" t="str">
        <f t="shared" si="47"/>
        <v>W634E</v>
      </c>
      <c r="P423" s="580" t="str">
        <f t="shared" si="47"/>
        <v>W646E</v>
      </c>
      <c r="Q423" s="580" t="str">
        <f t="shared" si="47"/>
        <v>W658E</v>
      </c>
      <c r="R423" s="580" t="str">
        <f t="shared" si="47"/>
        <v>W66AE</v>
      </c>
      <c r="S423" s="580" t="str">
        <f t="shared" si="47"/>
        <v>W67CE</v>
      </c>
      <c r="T423" s="580" t="str">
        <f t="shared" si="47"/>
        <v>W68EE</v>
      </c>
      <c r="U423" s="580" t="str">
        <f t="shared" si="47"/>
        <v>W6A0E</v>
      </c>
      <c r="V423" s="580" t="str">
        <f t="shared" si="47"/>
        <v>W6B2E</v>
      </c>
      <c r="W423" s="580" t="str">
        <f t="shared" si="47"/>
        <v>W6C4E</v>
      </c>
      <c r="X423" s="580" t="str">
        <f t="shared" si="47"/>
        <v>W6D6E</v>
      </c>
    </row>
    <row r="424" spans="7:24" ht="13.5" customHeight="1" thickBot="1" x14ac:dyDescent="0.3">
      <c r="G424" s="605"/>
      <c r="H424" s="587"/>
      <c r="I424" s="588" t="s">
        <v>742</v>
      </c>
      <c r="J424" s="490"/>
      <c r="K424" s="611">
        <v>271</v>
      </c>
      <c r="L424" s="617"/>
      <c r="M424" s="591" t="str">
        <f t="shared" si="46"/>
        <v>W610F</v>
      </c>
      <c r="N424" s="591" t="str">
        <f t="shared" si="47"/>
        <v>W622F</v>
      </c>
      <c r="O424" s="591" t="str">
        <f t="shared" si="47"/>
        <v>W634F</v>
      </c>
      <c r="P424" s="591" t="str">
        <f t="shared" si="47"/>
        <v>W646F</v>
      </c>
      <c r="Q424" s="591" t="str">
        <f t="shared" si="47"/>
        <v>W658F</v>
      </c>
      <c r="R424" s="591" t="str">
        <f t="shared" si="47"/>
        <v>W66AF</v>
      </c>
      <c r="S424" s="591" t="str">
        <f t="shared" si="47"/>
        <v>W67CF</v>
      </c>
      <c r="T424" s="591" t="str">
        <f t="shared" si="47"/>
        <v>W68EF</v>
      </c>
      <c r="U424" s="591" t="str">
        <f t="shared" si="47"/>
        <v>W6A0F</v>
      </c>
      <c r="V424" s="591" t="str">
        <f t="shared" si="47"/>
        <v>W6B2F</v>
      </c>
      <c r="W424" s="591" t="str">
        <f t="shared" si="47"/>
        <v>W6C4F</v>
      </c>
      <c r="X424" s="591" t="str">
        <f t="shared" si="47"/>
        <v>W6D6F</v>
      </c>
    </row>
    <row r="425" spans="7:24" ht="13.5" customHeight="1" thickTop="1" x14ac:dyDescent="0.25">
      <c r="G425" s="605"/>
      <c r="H425" s="575"/>
      <c r="I425" s="654" t="s">
        <v>742</v>
      </c>
      <c r="J425" s="464"/>
      <c r="K425" s="572">
        <v>272</v>
      </c>
      <c r="L425" s="613">
        <v>18</v>
      </c>
      <c r="M425" s="574" t="str">
        <f t="shared" si="46"/>
        <v>W6110</v>
      </c>
      <c r="N425" s="574" t="str">
        <f t="shared" si="47"/>
        <v>W6230</v>
      </c>
      <c r="O425" s="574" t="str">
        <f t="shared" si="47"/>
        <v>W6350</v>
      </c>
      <c r="P425" s="574" t="str">
        <f t="shared" si="47"/>
        <v>W6470</v>
      </c>
      <c r="Q425" s="574" t="str">
        <f t="shared" si="47"/>
        <v>W6590</v>
      </c>
      <c r="R425" s="574" t="str">
        <f t="shared" si="47"/>
        <v>W66B0</v>
      </c>
      <c r="S425" s="574" t="str">
        <f t="shared" si="47"/>
        <v>W67D0</v>
      </c>
      <c r="T425" s="574" t="str">
        <f t="shared" si="47"/>
        <v>W68F0</v>
      </c>
      <c r="U425" s="574" t="str">
        <f t="shared" si="47"/>
        <v>W6A10</v>
      </c>
      <c r="V425" s="574" t="str">
        <f t="shared" si="47"/>
        <v>W6B30</v>
      </c>
      <c r="W425" s="574" t="str">
        <f t="shared" si="47"/>
        <v>W6C50</v>
      </c>
      <c r="X425" s="574" t="str">
        <f t="shared" si="47"/>
        <v>W6D70</v>
      </c>
    </row>
    <row r="426" spans="7:24" ht="13.5" customHeight="1" x14ac:dyDescent="0.25">
      <c r="G426" s="605"/>
      <c r="H426" s="575"/>
      <c r="I426" s="582" t="s">
        <v>742</v>
      </c>
      <c r="J426" s="470"/>
      <c r="K426" s="578">
        <v>273</v>
      </c>
      <c r="L426" s="614"/>
      <c r="M426" s="580" t="str">
        <f t="shared" si="46"/>
        <v>W6111</v>
      </c>
      <c r="N426" s="580" t="str">
        <f t="shared" si="47"/>
        <v>W6231</v>
      </c>
      <c r="O426" s="580" t="str">
        <f t="shared" si="47"/>
        <v>W6351</v>
      </c>
      <c r="P426" s="580" t="str">
        <f t="shared" si="47"/>
        <v>W6471</v>
      </c>
      <c r="Q426" s="580" t="str">
        <f t="shared" si="47"/>
        <v>W6591</v>
      </c>
      <c r="R426" s="580" t="str">
        <f t="shared" si="47"/>
        <v>W66B1</v>
      </c>
      <c r="S426" s="580" t="str">
        <f t="shared" si="47"/>
        <v>W67D1</v>
      </c>
      <c r="T426" s="580" t="str">
        <f t="shared" si="47"/>
        <v>W68F1</v>
      </c>
      <c r="U426" s="580" t="str">
        <f t="shared" si="47"/>
        <v>W6A11</v>
      </c>
      <c r="V426" s="580" t="str">
        <f t="shared" si="47"/>
        <v>W6B31</v>
      </c>
      <c r="W426" s="580" t="str">
        <f t="shared" si="47"/>
        <v>W6C51</v>
      </c>
      <c r="X426" s="580" t="str">
        <f t="shared" si="47"/>
        <v>W6D71</v>
      </c>
    </row>
    <row r="427" spans="7:24" ht="13.5" customHeight="1" x14ac:dyDescent="0.25">
      <c r="G427" s="605"/>
      <c r="H427" s="575"/>
      <c r="I427" s="582" t="s">
        <v>742</v>
      </c>
      <c r="J427" s="470"/>
      <c r="K427" s="578">
        <v>274</v>
      </c>
      <c r="L427" s="614"/>
      <c r="M427" s="580" t="str">
        <f t="shared" si="46"/>
        <v>W6112</v>
      </c>
      <c r="N427" s="580" t="str">
        <f t="shared" ref="N427:X440" si="48">"W"&amp;DEC2HEX(HEX2DEC(SUBSTITUTE(N426,"W",""))+1)</f>
        <v>W6232</v>
      </c>
      <c r="O427" s="580" t="str">
        <f t="shared" si="48"/>
        <v>W6352</v>
      </c>
      <c r="P427" s="580" t="str">
        <f t="shared" si="48"/>
        <v>W6472</v>
      </c>
      <c r="Q427" s="580" t="str">
        <f t="shared" si="48"/>
        <v>W6592</v>
      </c>
      <c r="R427" s="580" t="str">
        <f t="shared" si="48"/>
        <v>W66B2</v>
      </c>
      <c r="S427" s="580" t="str">
        <f t="shared" si="48"/>
        <v>W67D2</v>
      </c>
      <c r="T427" s="580" t="str">
        <f t="shared" si="48"/>
        <v>W68F2</v>
      </c>
      <c r="U427" s="580" t="str">
        <f t="shared" si="48"/>
        <v>W6A12</v>
      </c>
      <c r="V427" s="580" t="str">
        <f t="shared" si="48"/>
        <v>W6B32</v>
      </c>
      <c r="W427" s="580" t="str">
        <f t="shared" si="48"/>
        <v>W6C52</v>
      </c>
      <c r="X427" s="580" t="str">
        <f t="shared" si="48"/>
        <v>W6D72</v>
      </c>
    </row>
    <row r="428" spans="7:24" ht="13.5" customHeight="1" x14ac:dyDescent="0.25">
      <c r="G428" s="605"/>
      <c r="H428" s="575"/>
      <c r="I428" s="582" t="s">
        <v>742</v>
      </c>
      <c r="J428" s="470"/>
      <c r="K428" s="578">
        <v>275</v>
      </c>
      <c r="L428" s="614"/>
      <c r="M428" s="580" t="str">
        <f t="shared" si="46"/>
        <v>W6113</v>
      </c>
      <c r="N428" s="580" t="str">
        <f t="shared" si="48"/>
        <v>W6233</v>
      </c>
      <c r="O428" s="580" t="str">
        <f t="shared" si="48"/>
        <v>W6353</v>
      </c>
      <c r="P428" s="580" t="str">
        <f t="shared" si="48"/>
        <v>W6473</v>
      </c>
      <c r="Q428" s="580" t="str">
        <f t="shared" si="48"/>
        <v>W6593</v>
      </c>
      <c r="R428" s="580" t="str">
        <f t="shared" si="48"/>
        <v>W66B3</v>
      </c>
      <c r="S428" s="580" t="str">
        <f t="shared" si="48"/>
        <v>W67D3</v>
      </c>
      <c r="T428" s="580" t="str">
        <f t="shared" si="48"/>
        <v>W68F3</v>
      </c>
      <c r="U428" s="580" t="str">
        <f t="shared" si="48"/>
        <v>W6A13</v>
      </c>
      <c r="V428" s="580" t="str">
        <f t="shared" si="48"/>
        <v>W6B33</v>
      </c>
      <c r="W428" s="580" t="str">
        <f t="shared" si="48"/>
        <v>W6C53</v>
      </c>
      <c r="X428" s="580" t="str">
        <f t="shared" si="48"/>
        <v>W6D73</v>
      </c>
    </row>
    <row r="429" spans="7:24" ht="13.5" customHeight="1" x14ac:dyDescent="0.25">
      <c r="G429" s="605"/>
      <c r="H429" s="575"/>
      <c r="I429" s="582" t="s">
        <v>742</v>
      </c>
      <c r="J429" s="470"/>
      <c r="K429" s="578">
        <v>276</v>
      </c>
      <c r="L429" s="614"/>
      <c r="M429" s="580" t="str">
        <f t="shared" si="46"/>
        <v>W6114</v>
      </c>
      <c r="N429" s="580" t="str">
        <f t="shared" si="48"/>
        <v>W6234</v>
      </c>
      <c r="O429" s="580" t="str">
        <f t="shared" si="48"/>
        <v>W6354</v>
      </c>
      <c r="P429" s="580" t="str">
        <f t="shared" si="48"/>
        <v>W6474</v>
      </c>
      <c r="Q429" s="580" t="str">
        <f t="shared" si="48"/>
        <v>W6594</v>
      </c>
      <c r="R429" s="580" t="str">
        <f t="shared" si="48"/>
        <v>W66B4</v>
      </c>
      <c r="S429" s="580" t="str">
        <f t="shared" si="48"/>
        <v>W67D4</v>
      </c>
      <c r="T429" s="580" t="str">
        <f t="shared" si="48"/>
        <v>W68F4</v>
      </c>
      <c r="U429" s="580" t="str">
        <f t="shared" si="48"/>
        <v>W6A14</v>
      </c>
      <c r="V429" s="580" t="str">
        <f t="shared" si="48"/>
        <v>W6B34</v>
      </c>
      <c r="W429" s="580" t="str">
        <f t="shared" si="48"/>
        <v>W6C54</v>
      </c>
      <c r="X429" s="580" t="str">
        <f t="shared" si="48"/>
        <v>W6D74</v>
      </c>
    </row>
    <row r="430" spans="7:24" ht="13.5" customHeight="1" x14ac:dyDescent="0.25">
      <c r="G430" s="605"/>
      <c r="H430" s="575"/>
      <c r="I430" s="582" t="s">
        <v>742</v>
      </c>
      <c r="J430" s="470"/>
      <c r="K430" s="578">
        <v>277</v>
      </c>
      <c r="L430" s="614"/>
      <c r="M430" s="580" t="str">
        <f t="shared" si="46"/>
        <v>W6115</v>
      </c>
      <c r="N430" s="580" t="str">
        <f t="shared" si="48"/>
        <v>W6235</v>
      </c>
      <c r="O430" s="580" t="str">
        <f t="shared" si="48"/>
        <v>W6355</v>
      </c>
      <c r="P430" s="580" t="str">
        <f t="shared" si="48"/>
        <v>W6475</v>
      </c>
      <c r="Q430" s="580" t="str">
        <f t="shared" si="48"/>
        <v>W6595</v>
      </c>
      <c r="R430" s="580" t="str">
        <f t="shared" si="48"/>
        <v>W66B5</v>
      </c>
      <c r="S430" s="580" t="str">
        <f t="shared" si="48"/>
        <v>W67D5</v>
      </c>
      <c r="T430" s="580" t="str">
        <f t="shared" si="48"/>
        <v>W68F5</v>
      </c>
      <c r="U430" s="580" t="str">
        <f t="shared" si="48"/>
        <v>W6A15</v>
      </c>
      <c r="V430" s="580" t="str">
        <f t="shared" si="48"/>
        <v>W6B35</v>
      </c>
      <c r="W430" s="580" t="str">
        <f t="shared" si="48"/>
        <v>W6C55</v>
      </c>
      <c r="X430" s="580" t="str">
        <f t="shared" si="48"/>
        <v>W6D75</v>
      </c>
    </row>
    <row r="431" spans="7:24" ht="13.5" customHeight="1" x14ac:dyDescent="0.25">
      <c r="G431" s="605"/>
      <c r="H431" s="575"/>
      <c r="I431" s="582" t="s">
        <v>742</v>
      </c>
      <c r="J431" s="470"/>
      <c r="K431" s="578">
        <v>278</v>
      </c>
      <c r="L431" s="614"/>
      <c r="M431" s="580" t="str">
        <f t="shared" si="46"/>
        <v>W6116</v>
      </c>
      <c r="N431" s="580" t="str">
        <f t="shared" si="48"/>
        <v>W6236</v>
      </c>
      <c r="O431" s="580" t="str">
        <f t="shared" si="48"/>
        <v>W6356</v>
      </c>
      <c r="P431" s="580" t="str">
        <f t="shared" si="48"/>
        <v>W6476</v>
      </c>
      <c r="Q431" s="580" t="str">
        <f t="shared" si="48"/>
        <v>W6596</v>
      </c>
      <c r="R431" s="580" t="str">
        <f t="shared" si="48"/>
        <v>W66B6</v>
      </c>
      <c r="S431" s="580" t="str">
        <f t="shared" si="48"/>
        <v>W67D6</v>
      </c>
      <c r="T431" s="580" t="str">
        <f t="shared" si="48"/>
        <v>W68F6</v>
      </c>
      <c r="U431" s="580" t="str">
        <f t="shared" si="48"/>
        <v>W6A16</v>
      </c>
      <c r="V431" s="580" t="str">
        <f t="shared" si="48"/>
        <v>W6B36</v>
      </c>
      <c r="W431" s="580" t="str">
        <f t="shared" si="48"/>
        <v>W6C56</v>
      </c>
      <c r="X431" s="580" t="str">
        <f t="shared" si="48"/>
        <v>W6D76</v>
      </c>
    </row>
    <row r="432" spans="7:24" ht="13.5" customHeight="1" x14ac:dyDescent="0.25">
      <c r="G432" s="605"/>
      <c r="H432" s="575"/>
      <c r="I432" s="582" t="s">
        <v>742</v>
      </c>
      <c r="J432" s="470"/>
      <c r="K432" s="578">
        <v>279</v>
      </c>
      <c r="L432" s="614"/>
      <c r="M432" s="580" t="str">
        <f t="shared" si="46"/>
        <v>W6117</v>
      </c>
      <c r="N432" s="580" t="str">
        <f t="shared" si="48"/>
        <v>W6237</v>
      </c>
      <c r="O432" s="580" t="str">
        <f t="shared" si="48"/>
        <v>W6357</v>
      </c>
      <c r="P432" s="580" t="str">
        <f t="shared" si="48"/>
        <v>W6477</v>
      </c>
      <c r="Q432" s="580" t="str">
        <f t="shared" si="48"/>
        <v>W6597</v>
      </c>
      <c r="R432" s="580" t="str">
        <f t="shared" si="48"/>
        <v>W66B7</v>
      </c>
      <c r="S432" s="580" t="str">
        <f t="shared" si="48"/>
        <v>W67D7</v>
      </c>
      <c r="T432" s="580" t="str">
        <f t="shared" si="48"/>
        <v>W68F7</v>
      </c>
      <c r="U432" s="580" t="str">
        <f t="shared" si="48"/>
        <v>W6A17</v>
      </c>
      <c r="V432" s="580" t="str">
        <f t="shared" si="48"/>
        <v>W6B37</v>
      </c>
      <c r="W432" s="580" t="str">
        <f t="shared" si="48"/>
        <v>W6C57</v>
      </c>
      <c r="X432" s="580" t="str">
        <f t="shared" si="48"/>
        <v>W6D77</v>
      </c>
    </row>
    <row r="433" spans="7:24" ht="13.5" customHeight="1" x14ac:dyDescent="0.25">
      <c r="G433" s="605"/>
      <c r="H433" s="575"/>
      <c r="I433" s="582" t="s">
        <v>742</v>
      </c>
      <c r="J433" s="470"/>
      <c r="K433" s="578">
        <v>280</v>
      </c>
      <c r="L433" s="614"/>
      <c r="M433" s="580" t="str">
        <f t="shared" si="46"/>
        <v>W6118</v>
      </c>
      <c r="N433" s="580" t="str">
        <f t="shared" si="48"/>
        <v>W6238</v>
      </c>
      <c r="O433" s="580" t="str">
        <f t="shared" si="48"/>
        <v>W6358</v>
      </c>
      <c r="P433" s="580" t="str">
        <f t="shared" si="48"/>
        <v>W6478</v>
      </c>
      <c r="Q433" s="580" t="str">
        <f t="shared" si="48"/>
        <v>W6598</v>
      </c>
      <c r="R433" s="580" t="str">
        <f t="shared" si="48"/>
        <v>W66B8</v>
      </c>
      <c r="S433" s="580" t="str">
        <f t="shared" si="48"/>
        <v>W67D8</v>
      </c>
      <c r="T433" s="580" t="str">
        <f t="shared" si="48"/>
        <v>W68F8</v>
      </c>
      <c r="U433" s="580" t="str">
        <f t="shared" si="48"/>
        <v>W6A18</v>
      </c>
      <c r="V433" s="580" t="str">
        <f t="shared" si="48"/>
        <v>W6B38</v>
      </c>
      <c r="W433" s="580" t="str">
        <f t="shared" si="48"/>
        <v>W6C58</v>
      </c>
      <c r="X433" s="580" t="str">
        <f t="shared" si="48"/>
        <v>W6D78</v>
      </c>
    </row>
    <row r="434" spans="7:24" ht="13.5" customHeight="1" x14ac:dyDescent="0.25">
      <c r="G434" s="605"/>
      <c r="H434" s="575"/>
      <c r="I434" s="582" t="s">
        <v>742</v>
      </c>
      <c r="J434" s="470"/>
      <c r="K434" s="578">
        <v>281</v>
      </c>
      <c r="L434" s="614"/>
      <c r="M434" s="580" t="str">
        <f t="shared" si="46"/>
        <v>W6119</v>
      </c>
      <c r="N434" s="580" t="str">
        <f t="shared" si="48"/>
        <v>W6239</v>
      </c>
      <c r="O434" s="580" t="str">
        <f t="shared" si="48"/>
        <v>W6359</v>
      </c>
      <c r="P434" s="580" t="str">
        <f t="shared" si="48"/>
        <v>W6479</v>
      </c>
      <c r="Q434" s="580" t="str">
        <f t="shared" si="48"/>
        <v>W6599</v>
      </c>
      <c r="R434" s="580" t="str">
        <f t="shared" si="48"/>
        <v>W66B9</v>
      </c>
      <c r="S434" s="580" t="str">
        <f t="shared" si="48"/>
        <v>W67D9</v>
      </c>
      <c r="T434" s="580" t="str">
        <f t="shared" si="48"/>
        <v>W68F9</v>
      </c>
      <c r="U434" s="580" t="str">
        <f t="shared" si="48"/>
        <v>W6A19</v>
      </c>
      <c r="V434" s="580" t="str">
        <f t="shared" si="48"/>
        <v>W6B39</v>
      </c>
      <c r="W434" s="580" t="str">
        <f t="shared" si="48"/>
        <v>W6C59</v>
      </c>
      <c r="X434" s="580" t="str">
        <f t="shared" si="48"/>
        <v>W6D79</v>
      </c>
    </row>
    <row r="435" spans="7:24" ht="13.5" customHeight="1" x14ac:dyDescent="0.25">
      <c r="G435" s="605"/>
      <c r="H435" s="575"/>
      <c r="I435" s="582" t="s">
        <v>742</v>
      </c>
      <c r="J435" s="411"/>
      <c r="K435" s="578">
        <v>282</v>
      </c>
      <c r="L435" s="614"/>
      <c r="M435" s="580" t="str">
        <f t="shared" si="46"/>
        <v>W611A</v>
      </c>
      <c r="N435" s="580" t="str">
        <f t="shared" si="48"/>
        <v>W623A</v>
      </c>
      <c r="O435" s="580" t="str">
        <f t="shared" si="48"/>
        <v>W635A</v>
      </c>
      <c r="P435" s="580" t="str">
        <f t="shared" si="48"/>
        <v>W647A</v>
      </c>
      <c r="Q435" s="580" t="str">
        <f t="shared" si="48"/>
        <v>W659A</v>
      </c>
      <c r="R435" s="580" t="str">
        <f t="shared" si="48"/>
        <v>W66BA</v>
      </c>
      <c r="S435" s="580" t="str">
        <f t="shared" si="48"/>
        <v>W67DA</v>
      </c>
      <c r="T435" s="580" t="str">
        <f t="shared" si="48"/>
        <v>W68FA</v>
      </c>
      <c r="U435" s="580" t="str">
        <f t="shared" si="48"/>
        <v>W6A1A</v>
      </c>
      <c r="V435" s="580" t="str">
        <f t="shared" si="48"/>
        <v>W6B3A</v>
      </c>
      <c r="W435" s="580" t="str">
        <f t="shared" si="48"/>
        <v>W6C5A</v>
      </c>
      <c r="X435" s="580" t="str">
        <f t="shared" si="48"/>
        <v>W6D7A</v>
      </c>
    </row>
    <row r="436" spans="7:24" ht="13.5" customHeight="1" x14ac:dyDescent="0.25">
      <c r="G436" s="605"/>
      <c r="H436" s="575"/>
      <c r="I436" s="582" t="s">
        <v>742</v>
      </c>
      <c r="J436" s="411"/>
      <c r="K436" s="578">
        <v>283</v>
      </c>
      <c r="L436" s="614"/>
      <c r="M436" s="580" t="str">
        <f t="shared" si="46"/>
        <v>W611B</v>
      </c>
      <c r="N436" s="580" t="str">
        <f t="shared" si="48"/>
        <v>W623B</v>
      </c>
      <c r="O436" s="580" t="str">
        <f t="shared" si="48"/>
        <v>W635B</v>
      </c>
      <c r="P436" s="580" t="str">
        <f t="shared" si="48"/>
        <v>W647B</v>
      </c>
      <c r="Q436" s="580" t="str">
        <f t="shared" si="48"/>
        <v>W659B</v>
      </c>
      <c r="R436" s="580" t="str">
        <f t="shared" si="48"/>
        <v>W66BB</v>
      </c>
      <c r="S436" s="580" t="str">
        <f t="shared" si="48"/>
        <v>W67DB</v>
      </c>
      <c r="T436" s="580" t="str">
        <f t="shared" si="48"/>
        <v>W68FB</v>
      </c>
      <c r="U436" s="580" t="str">
        <f t="shared" si="48"/>
        <v>W6A1B</v>
      </c>
      <c r="V436" s="580" t="str">
        <f t="shared" si="48"/>
        <v>W6B3B</v>
      </c>
      <c r="W436" s="580" t="str">
        <f t="shared" si="48"/>
        <v>W6C5B</v>
      </c>
      <c r="X436" s="580" t="str">
        <f t="shared" si="48"/>
        <v>W6D7B</v>
      </c>
    </row>
    <row r="437" spans="7:24" ht="13.5" customHeight="1" x14ac:dyDescent="0.25">
      <c r="G437" s="605"/>
      <c r="H437" s="575"/>
      <c r="I437" s="582" t="s">
        <v>742</v>
      </c>
      <c r="J437" s="470"/>
      <c r="K437" s="578">
        <v>284</v>
      </c>
      <c r="L437" s="614"/>
      <c r="M437" s="580" t="str">
        <f t="shared" si="46"/>
        <v>W611C</v>
      </c>
      <c r="N437" s="580" t="str">
        <f t="shared" si="48"/>
        <v>W623C</v>
      </c>
      <c r="O437" s="580" t="str">
        <f t="shared" si="48"/>
        <v>W635C</v>
      </c>
      <c r="P437" s="580" t="str">
        <f t="shared" si="48"/>
        <v>W647C</v>
      </c>
      <c r="Q437" s="580" t="str">
        <f t="shared" si="48"/>
        <v>W659C</v>
      </c>
      <c r="R437" s="580" t="str">
        <f t="shared" si="48"/>
        <v>W66BC</v>
      </c>
      <c r="S437" s="580" t="str">
        <f t="shared" si="48"/>
        <v>W67DC</v>
      </c>
      <c r="T437" s="580" t="str">
        <f t="shared" si="48"/>
        <v>W68FC</v>
      </c>
      <c r="U437" s="580" t="str">
        <f t="shared" si="48"/>
        <v>W6A1C</v>
      </c>
      <c r="V437" s="580" t="str">
        <f t="shared" si="48"/>
        <v>W6B3C</v>
      </c>
      <c r="W437" s="580" t="str">
        <f t="shared" si="48"/>
        <v>W6C5C</v>
      </c>
      <c r="X437" s="580" t="str">
        <f t="shared" si="48"/>
        <v>W6D7C</v>
      </c>
    </row>
    <row r="438" spans="7:24" ht="13.5" customHeight="1" x14ac:dyDescent="0.25">
      <c r="G438" s="605"/>
      <c r="H438" s="575"/>
      <c r="I438" s="582" t="s">
        <v>742</v>
      </c>
      <c r="J438" s="470"/>
      <c r="K438" s="578">
        <v>285</v>
      </c>
      <c r="L438" s="614"/>
      <c r="M438" s="580" t="str">
        <f t="shared" si="46"/>
        <v>W611D</v>
      </c>
      <c r="N438" s="580" t="str">
        <f t="shared" si="48"/>
        <v>W623D</v>
      </c>
      <c r="O438" s="580" t="str">
        <f t="shared" si="48"/>
        <v>W635D</v>
      </c>
      <c r="P438" s="580" t="str">
        <f t="shared" si="48"/>
        <v>W647D</v>
      </c>
      <c r="Q438" s="580" t="str">
        <f t="shared" si="48"/>
        <v>W659D</v>
      </c>
      <c r="R438" s="580" t="str">
        <f t="shared" si="48"/>
        <v>W66BD</v>
      </c>
      <c r="S438" s="580" t="str">
        <f t="shared" si="48"/>
        <v>W67DD</v>
      </c>
      <c r="T438" s="580" t="str">
        <f t="shared" si="48"/>
        <v>W68FD</v>
      </c>
      <c r="U438" s="580" t="str">
        <f t="shared" si="48"/>
        <v>W6A1D</v>
      </c>
      <c r="V438" s="580" t="str">
        <f t="shared" si="48"/>
        <v>W6B3D</v>
      </c>
      <c r="W438" s="580" t="str">
        <f t="shared" si="48"/>
        <v>W6C5D</v>
      </c>
      <c r="X438" s="580" t="str">
        <f t="shared" si="48"/>
        <v>W6D7D</v>
      </c>
    </row>
    <row r="439" spans="7:24" ht="13.5" customHeight="1" x14ac:dyDescent="0.25">
      <c r="G439" s="605"/>
      <c r="H439" s="575"/>
      <c r="I439" s="582" t="s">
        <v>742</v>
      </c>
      <c r="J439" s="470"/>
      <c r="K439" s="578">
        <v>286</v>
      </c>
      <c r="L439" s="614"/>
      <c r="M439" s="580" t="str">
        <f t="shared" si="46"/>
        <v>W611E</v>
      </c>
      <c r="N439" s="580" t="str">
        <f t="shared" si="48"/>
        <v>W623E</v>
      </c>
      <c r="O439" s="580" t="str">
        <f t="shared" si="48"/>
        <v>W635E</v>
      </c>
      <c r="P439" s="580" t="str">
        <f t="shared" si="48"/>
        <v>W647E</v>
      </c>
      <c r="Q439" s="580" t="str">
        <f t="shared" si="48"/>
        <v>W659E</v>
      </c>
      <c r="R439" s="580" t="str">
        <f t="shared" si="48"/>
        <v>W66BE</v>
      </c>
      <c r="S439" s="580" t="str">
        <f t="shared" si="48"/>
        <v>W67DE</v>
      </c>
      <c r="T439" s="580" t="str">
        <f t="shared" si="48"/>
        <v>W68FE</v>
      </c>
      <c r="U439" s="580" t="str">
        <f t="shared" si="48"/>
        <v>W6A1E</v>
      </c>
      <c r="V439" s="580" t="str">
        <f t="shared" si="48"/>
        <v>W6B3E</v>
      </c>
      <c r="W439" s="580" t="str">
        <f t="shared" si="48"/>
        <v>W6C5E</v>
      </c>
      <c r="X439" s="580" t="str">
        <f t="shared" si="48"/>
        <v>W6D7E</v>
      </c>
    </row>
    <row r="440" spans="7:24" ht="13.5" customHeight="1" thickBot="1" x14ac:dyDescent="0.3">
      <c r="G440" s="605"/>
      <c r="H440" s="587"/>
      <c r="I440" s="588" t="s">
        <v>742</v>
      </c>
      <c r="J440" s="414"/>
      <c r="K440" s="611">
        <v>287</v>
      </c>
      <c r="L440" s="617"/>
      <c r="M440" s="591" t="str">
        <f t="shared" si="46"/>
        <v>W611F</v>
      </c>
      <c r="N440" s="591" t="str">
        <f t="shared" si="48"/>
        <v>W623F</v>
      </c>
      <c r="O440" s="591" t="str">
        <f t="shared" si="48"/>
        <v>W635F</v>
      </c>
      <c r="P440" s="591" t="str">
        <f t="shared" si="48"/>
        <v>W647F</v>
      </c>
      <c r="Q440" s="591" t="str">
        <f t="shared" si="48"/>
        <v>W659F</v>
      </c>
      <c r="R440" s="591" t="str">
        <f t="shared" si="48"/>
        <v>W66BF</v>
      </c>
      <c r="S440" s="591" t="str">
        <f t="shared" si="48"/>
        <v>W67DF</v>
      </c>
      <c r="T440" s="591" t="str">
        <f t="shared" si="48"/>
        <v>W68FF</v>
      </c>
      <c r="U440" s="591" t="str">
        <f t="shared" si="48"/>
        <v>W6A1F</v>
      </c>
      <c r="V440" s="591" t="str">
        <f t="shared" si="48"/>
        <v>W6B3F</v>
      </c>
      <c r="W440" s="591" t="str">
        <f t="shared" si="48"/>
        <v>W6C5F</v>
      </c>
      <c r="X440" s="591" t="str">
        <f t="shared" si="48"/>
        <v>W6D7F</v>
      </c>
    </row>
    <row r="441" spans="7:24" ht="13.5" customHeight="1" thickTop="1" x14ac:dyDescent="0.25"/>
    <row r="451" spans="14:14" ht="13.5" customHeight="1" x14ac:dyDescent="0.25">
      <c r="N451" s="420">
        <f>COUNTA(M153:X440)</f>
        <v>3456</v>
      </c>
    </row>
  </sheetData>
  <mergeCells count="41">
    <mergeCell ref="L345:L360"/>
    <mergeCell ref="L361:L376"/>
    <mergeCell ref="L377:L392"/>
    <mergeCell ref="L393:L408"/>
    <mergeCell ref="L409:L424"/>
    <mergeCell ref="L425:L440"/>
    <mergeCell ref="L265:L280"/>
    <mergeCell ref="G281:G338"/>
    <mergeCell ref="H281:H344"/>
    <mergeCell ref="L281:L296"/>
    <mergeCell ref="L297:L312"/>
    <mergeCell ref="L313:L328"/>
    <mergeCell ref="L329:L344"/>
    <mergeCell ref="L185:L200"/>
    <mergeCell ref="G187:G188"/>
    <mergeCell ref="G201:G202"/>
    <mergeCell ref="L201:L216"/>
    <mergeCell ref="G203:G204"/>
    <mergeCell ref="G217:G274"/>
    <mergeCell ref="H217:H280"/>
    <mergeCell ref="L217:L232"/>
    <mergeCell ref="L233:L248"/>
    <mergeCell ref="L249:L264"/>
    <mergeCell ref="K92:K107"/>
    <mergeCell ref="K108:K123"/>
    <mergeCell ref="K124:K139"/>
    <mergeCell ref="H143:K151"/>
    <mergeCell ref="L153:L168"/>
    <mergeCell ref="G169:G170"/>
    <mergeCell ref="H169:H216"/>
    <mergeCell ref="L169:L184"/>
    <mergeCell ref="G171:G172"/>
    <mergeCell ref="G185:G186"/>
    <mergeCell ref="Q1:W1"/>
    <mergeCell ref="G2:J10"/>
    <mergeCell ref="K12:K27"/>
    <mergeCell ref="G28:G85"/>
    <mergeCell ref="K28:K43"/>
    <mergeCell ref="K44:K59"/>
    <mergeCell ref="K60:K75"/>
    <mergeCell ref="K76:K91"/>
  </mergeCells>
  <phoneticPr fontId="9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개요</vt:lpstr>
      <vt:lpstr>메시지 목록</vt:lpstr>
      <vt:lpstr>필드 정의</vt:lpstr>
      <vt:lpstr>예시 JSON</vt:lpstr>
      <vt:lpstr>SS-One BIT Communication</vt:lpstr>
      <vt:lpstr>SS-One Word Communication</vt:lpstr>
      <vt:lpstr>Port Bit</vt:lpstr>
      <vt:lpstr>Port Word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2026-07-11T11:56:20Z</dcterms:created>
  <dcterms:modified xsi:type="dcterms:W3CDTF">2026-07-19T02:13:49Z</dcterms:modified>
  <cp:category/>
</cp:coreProperties>
</file>