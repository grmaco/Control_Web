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개요" state="visible" r:id="rId4"/>
    <sheet sheetId="2" name="메시지 목록" state="visible" r:id="rId5"/>
    <sheet sheetId="3" name="필드 정의" state="visible" r:id="rId6"/>
    <sheet sheetId="4" name="예시 JSON" state="visible" r:id="rId7"/>
  </sheets>
  <calcPr calcId="171027" fullCalcOnLoad="1"/>
</workbook>
</file>

<file path=xl/sharedStrings.xml><?xml version="1.0" encoding="utf-8"?>
<sst xmlns="http://schemas.openxmlformats.org/spreadsheetml/2006/main" count="427" uniqueCount="195">
  <si>
    <t>V3 (Semi C/V) ↔ Web 관제 프로토콜 정의서</t>
  </si>
  <si>
    <t>문서 버전</t>
  </si>
  <si>
    <t>v1.0</t>
  </si>
  <si>
    <t>작성일</t>
  </si>
  <si>
    <t>2026-07-11</t>
  </si>
  <si>
    <t>대상 프로그램</t>
  </si>
  <si>
    <t>V3 (Semi C/V 제어 프로그램)</t>
  </si>
  <si>
    <t>통신 방식</t>
  </si>
  <si>
    <t>WebSocket · JSON</t>
  </si>
  <si>
    <t>엔드포인트</t>
  </si>
  <si>
    <t>ws://&lt;V3 PC IP&gt;:8765/ws/dashboard</t>
  </si>
  <si>
    <t>공통 Envelope (수신)</t>
  </si>
  <si>
    <t>{ "type": string, "siteId": string, "timestamp": ISO8601, "data": ... }</t>
  </si>
  <si>
    <t>송신 형식</t>
  </si>
  <si>
    <t>{ "type": "COMMAND", "data": { "cmd": string, ... } }</t>
  </si>
  <si>
    <t>하트비트</t>
  </si>
  <si>
    <t>HEARTBEAT 15초 무수신 시 Web이 강제 재연결 (재연결 백오프 1s→최대 30s)</t>
  </si>
  <si>
    <t>소스 기준</t>
  </si>
  <si>
    <t>src/constants/protocolCatalog.ts · src/types/semicnv.ts (코드가 원본, 이 문서는 사본)</t>
  </si>
  <si>
    <t>No.</t>
  </si>
  <si>
    <t>방향</t>
  </si>
  <si>
    <t>TYPE</t>
  </si>
  <si>
    <t>이름</t>
  </si>
  <si>
    <t>설명</t>
  </si>
  <si>
    <t>필드 수</t>
  </si>
  <si>
    <t>수신</t>
  </si>
  <si>
    <t>SITE_CONNECT</t>
  </si>
  <si>
    <t>현장 접속 통지</t>
  </si>
  <si>
    <t>V3가 연결 직후 1회 전송 — 현장 이름·프로그램 버전·설비 규모를 알린다.</t>
  </si>
  <si>
    <t>CONVEYOR_STATUS</t>
  </si>
  <si>
    <t>컨베이어 상태</t>
  </si>
  <si>
    <t>유닛별 실시간 상태 배열 — 가동/알람/자재(cstId)/회전각 등. 주기 전송.</t>
  </si>
  <si>
    <t>LINE_STATUS</t>
  </si>
  <si>
    <t>라인 상태</t>
  </si>
  <si>
    <t>라인 단위 요약 배열 — Safety/Key/Auto Condition·가동/알람 컨베이어 수.</t>
  </si>
  <si>
    <t>ALARM_EVENT</t>
  </si>
  <si>
    <t>알람 이벤트</t>
  </si>
  <si>
    <t>알람 발생(OCCUR)/해제(CLEAR) 즉시 통지 — 알람 리스트·이력에 반영.</t>
  </si>
  <si>
    <t>CST_TRACKING</t>
  </si>
  <si>
    <t>CST 위치 추적</t>
  </si>
  <si>
    <t>자재(CST)가 어느 유닛에 있는지 배열로 통지 — 타임차트 V3 핸드셰이크 기록의 근거.</t>
  </si>
  <si>
    <t>IO_STATUS</t>
  </si>
  <si>
    <t>IO 상태 상세</t>
  </si>
  <si>
    <t>Safety/Auto Condition 항목별 ON/OFF + 프로그램 상태 — 설비 상태 탭·조건 팝업에 표시.</t>
  </si>
  <si>
    <t>LOG_EVENT</t>
  </si>
  <si>
    <t>로그 스트리밍</t>
  </si>
  <si>
    <t>V3 로그 실시간 전송 — "V3 이력" 탭·이력 화면에 축적.</t>
  </si>
  <si>
    <t>HEARTBEAT</t>
  </si>
  <si>
    <t>생존 신호 — 15초 무수신 시 Web이 강제 재연결.</t>
  </si>
  <si>
    <t>송신</t>
  </si>
  <si>
    <t>COMMAND</t>
  </si>
  <si>
    <t>제어 명령</t>
  </si>
  <si>
    <t>Web → V3 제어 명령. 정의된 cmd: all_power_on · all_power_off · all_auto_run · all_auto_stop · alarm_reset (전체 대상). 개별 유닛 명령은 미정의 — 스펙 확정 시 확장 예정.</t>
  </si>
  <si>
    <t>메시지 TYPE</t>
  </si>
  <si>
    <t>필드</t>
  </si>
  <si>
    <t>타입</t>
  </si>
  <si>
    <t>필수</t>
  </si>
  <si>
    <t>siteName</t>
  </si>
  <si>
    <t>string</t>
  </si>
  <si>
    <t>현장(Site) 이름</t>
  </si>
  <si>
    <t>programVersion</t>
  </si>
  <si>
    <t>V3 프로그램 버전</t>
  </si>
  <si>
    <t>apiKey</t>
  </si>
  <si>
    <t>옵션</t>
  </si>
  <si>
    <t>인증 키 (옵션)</t>
  </si>
  <si>
    <t>lineCount</t>
  </si>
  <si>
    <t>number</t>
  </si>
  <si>
    <t>라인 수</t>
  </si>
  <si>
    <t>conveyorCount</t>
  </si>
  <si>
    <t>컨베이어 수</t>
  </si>
  <si>
    <t>id</t>
  </si>
  <si>
    <t>Conveyor.ID (semiCnvId 매핑)</t>
  </si>
  <si>
    <t>lineId</t>
  </si>
  <si>
    <t>소속 라인 ID</t>
  </si>
  <si>
    <t>name</t>
  </si>
  <si>
    <t>유닛 이름 (CV01 등)</t>
  </si>
  <si>
    <t>conveyorType</t>
  </si>
  <si>
    <t>'None'|'Normal'|'Turn'|'LFT'|'ZT'|'RX'|'Up_Down'</t>
  </si>
  <si>
    <t>유닛 타입</t>
  </si>
  <si>
    <t>controlMode</t>
  </si>
  <si>
    <t>'MasterMode'|'CIMMode'</t>
  </si>
  <si>
    <t>제어 모드</t>
  </si>
  <si>
    <t>runStatus</t>
  </si>
  <si>
    <t>'Run'|'Stop'</t>
  </si>
  <si>
    <t>구동 여부</t>
  </si>
  <si>
    <t>operationStatus</t>
  </si>
  <si>
    <t>'Manual'|'Auto'</t>
  </si>
  <si>
    <t>운전 모드</t>
  </si>
  <si>
    <t>autoStatus</t>
  </si>
  <si>
    <t>'None'|'Idle'|'Load'|'Busy'|'Unload'|'Compt'</t>
  </si>
  <si>
    <t>자동 시퀀스 상태</t>
  </si>
  <si>
    <t>autoStep</t>
  </si>
  <si>
    <t>자동 시퀀스 스텝</t>
  </si>
  <si>
    <t>power</t>
  </si>
  <si>
    <t>'On'|'Off'</t>
  </si>
  <si>
    <t>전원</t>
  </si>
  <si>
    <t>alarm</t>
  </si>
  <si>
    <t>boolean</t>
  </si>
  <si>
    <t>알람 발생 여부</t>
  </si>
  <si>
    <t>cstId</t>
  </si>
  <si>
    <t>string | null</t>
  </si>
  <si>
    <t>적재 중인 CST ID</t>
  </si>
  <si>
    <t>destination</t>
  </si>
  <si>
    <t>자재 목적지 Conveyor.ID</t>
  </si>
  <si>
    <t>currentDegree</t>
  </si>
  <si>
    <t>회전 유닛 현재 각도</t>
  </si>
  <si>
    <t>axis</t>
  </si>
  <si>
    <t>{ torque, homeDone }</t>
  </si>
  <si>
    <t>축 상태 (토크·HOME 완료)</t>
  </si>
  <si>
    <t>alarmCode</t>
  </si>
  <si>
    <t>알람 코드</t>
  </si>
  <si>
    <t>alarmMessage</t>
  </si>
  <si>
    <t>알람 메시지</t>
  </si>
  <si>
    <t>V3 라인 ID</t>
  </si>
  <si>
    <t>lineName</t>
  </si>
  <si>
    <t>라인 이름</t>
  </si>
  <si>
    <t>safetyStatus</t>
  </si>
  <si>
    <t>'OK'|'NG'</t>
  </si>
  <si>
    <t>안전 상태</t>
  </si>
  <si>
    <t>keyStatus</t>
  </si>
  <si>
    <t>키 스위치</t>
  </si>
  <si>
    <t>autoCondition</t>
  </si>
  <si>
    <t>'Possible'|'Impossible'</t>
  </si>
  <si>
    <t>Auto 전환 가능 여부</t>
  </si>
  <si>
    <t>totalConveyors</t>
  </si>
  <si>
    <t>전체 컨베이어 수</t>
  </si>
  <si>
    <t>runningConveyors</t>
  </si>
  <si>
    <t>가동 중 수</t>
  </si>
  <si>
    <t>alarmConveyors</t>
  </si>
  <si>
    <t>알람 발생 수</t>
  </si>
  <si>
    <t>eventType</t>
  </si>
  <si>
    <t>'OCCUR'|'CLEAR'</t>
  </si>
  <si>
    <t>발생/해제</t>
  </si>
  <si>
    <t>conveyorId</t>
  </si>
  <si>
    <t>대상 Conveyor.ID</t>
  </si>
  <si>
    <t>alarmLevel</t>
  </si>
  <si>
    <t>'Error'|'Warning'|'Info'</t>
  </si>
  <si>
    <t>레벨</t>
  </si>
  <si>
    <t>alarmStep</t>
  </si>
  <si>
    <t>발생 시퀀스 스텝</t>
  </si>
  <si>
    <t>message</t>
  </si>
  <si>
    <t>CST ID</t>
  </si>
  <si>
    <t>현재 위치 Conveyor.ID</t>
  </si>
  <si>
    <t>목적지 Conveyor.ID</t>
  </si>
  <si>
    <t>safetyOk</t>
  </si>
  <si>
    <t>Safety Condition 종합</t>
  </si>
  <si>
    <t>safetyConditions</t>
  </si>
  <si>
    <t>{ no, name, status }[]</t>
  </si>
  <si>
    <t>안전 조건 항목별 상태</t>
  </si>
  <si>
    <t>autoConditionOk</t>
  </si>
  <si>
    <t>Auto Condition 종합 — 설비 가동 버튼 활성 조건</t>
  </si>
  <si>
    <t>autoConditions</t>
  </si>
  <si>
    <t>Auto 조건 항목별 상태</t>
  </si>
  <si>
    <t>currentStatus</t>
  </si>
  <si>
    <t>현재 상태 문자열</t>
  </si>
  <si>
    <t>programStatus</t>
  </si>
  <si>
    <t>{ item, value }[]</t>
  </si>
  <si>
    <t>프로그램 상태 항목</t>
  </si>
  <si>
    <t>logTime</t>
  </si>
  <si>
    <t>string (ISO8601)</t>
  </si>
  <si>
    <t>로그 발생 시각</t>
  </si>
  <si>
    <t>logType</t>
  </si>
  <si>
    <t>Application / Conveyor n / Master 등</t>
  </si>
  <si>
    <t>logLevel</t>
  </si>
  <si>
    <t>'Normal'|'Warning'|'Error'</t>
  </si>
  <si>
    <t>title</t>
  </si>
  <si>
    <t>제목</t>
  </si>
  <si>
    <t>description</t>
  </si>
  <si>
    <t>내용</t>
  </si>
  <si>
    <t>status</t>
  </si>
  <si>
    <t>'ALIVE'</t>
  </si>
  <si>
    <t>고정값</t>
  </si>
  <si>
    <t>cmd</t>
  </si>
  <si>
    <t>명령 이름 (all_power_on / all_power_off / all_auto_run / all_auto_stop / alarm_reset)</t>
  </si>
  <si>
    <t>...extra</t>
  </si>
  <si>
    <t>Record&lt;string, unknown&gt;</t>
  </si>
  <si>
    <t>명령별 추가 파라미터 (확장용)</t>
  </si>
  <si>
    <t>SITE_CONNECT (수신)</t>
  </si>
  <si>
    <t xml:space="preserve">{
  "type": "SITE_CONNECT",
  "siteId": "site-A",
  "timestamp": "2026-07-11T09:00:00.000Z",
  "data": {
    "siteName": "음성공장",
    "programVersion": "3.1.0",
    "lineCount": 2,
    "conveyorCount": 24
  }
}</t>
  </si>
  <si>
    <t>CONVEYOR_STATUS (수신)</t>
  </si>
  <si>
    <t xml:space="preserve">{
  "type": "CONVEYOR_STATUS",
  "siteId": "site-A",
  "timestamp": "2026-07-11T09:00:01.000Z",
  "data": [
    {
      "id": 1,
      "lineId": 0,
      "name": "CV01",
      "conveyorType": "Normal",
      "controlMode": "MasterMode",
      "runStatus": "Run",
      "operationStatus": "Auto",
      "autoStatus": "Busy",
      "autoStep": 3,
      "power": "On",
      "alarm": false,
      "cstId": "CST-0077",
      "destination": 5
    }
  ]
}</t>
  </si>
  <si>
    <t>LINE_STATUS (수신)</t>
  </si>
  <si>
    <t xml:space="preserve">{
  "type": "LINE_STATUS",
  "siteId": "site-A",
  "timestamp": "2026-07-11T09:00:01.000Z",
  "data": [
    {
      "lineId": 0,
      "lineName": "LINE-1",
      "safetyStatus": "OK",
      "keyStatus": "Auto",
      "autoCondition": "Possible",
      "operationStatus": "Auto",
      "controlMode": "MasterMode",
      "totalConveyors": 12,
      "runningConveyors": 9,
      "alarmConveyors": 0
    }
  ]
}</t>
  </si>
  <si>
    <t>ALARM_EVENT (수신)</t>
  </si>
  <si>
    <t xml:space="preserve">{
  "type": "ALARM_EVENT",
  "siteId": "site-A",
  "timestamp": "2026-07-11T09:00:02.000Z",
  "data": {
    "eventType": "OCCUR",
    "conveyorId": 3,
    "lineId": 0,
    "alarmCode": "3001",
    "alarmLevel": "Error",
    "alarmStep": 4,
    "message": "CV03 MOTOR OVERLOAD"
  }
}</t>
  </si>
  <si>
    <t>CST_TRACKING (수신)</t>
  </si>
  <si>
    <t xml:space="preserve">{
  "type": "CST_TRACKING",
  "siteId": "site-A",
  "timestamp": "2026-07-11T09:00:03.000Z",
  "data": [
    {
      "cstId": "CST-0077",
      "conveyorId": 2,
      "lineId": 0,
      "destination": 5
    }
  ]
}</t>
  </si>
  <si>
    <t>IO_STATUS (수신)</t>
  </si>
  <si>
    <t xml:space="preserve">{
  "type": "IO_STATUS",
  "siteId": "site-A",
  "timestamp": "2026-07-11T09:00:04.000Z",
  "data": {
    "safetyOk": true,
    "safetyConditions": [
      {
        "no": 1,
        "name": "EMO",
        "status": true
      }
    ],
    "autoConditionOk": false,
    "autoConditions": [
      {
        "no": 1,
        "name": "Home Done",
        "status": false
      }
    ],
    "currentStatus": "Standby",
    "programStatus": [
      {
        "item": "Version",
        "value": "3.1.0"
      }
    ]
  }
}</t>
  </si>
  <si>
    <t>LOG_EVENT (수신)</t>
  </si>
  <si>
    <t xml:space="preserve">{
  "type": "LOG_EVENT",
  "siteId": "site-A",
  "timestamp": "2026-07-11T09:00:05.000Z",
  "data": {
    "logTime": "2026-07-11T09:00:05.000",
    "logType": "Application",
    "logLevel": "Normal",
    "title": "Auto Run",
    "description": "All conveyor auto run started"
  }
}</t>
  </si>
  <si>
    <t>HEARTBEAT (수신)</t>
  </si>
  <si>
    <t xml:space="preserve">{
  "type": "HEARTBEAT",
  "siteId": "site-A",
  "timestamp": "2026-07-11T09:00:06.000Z",
  "data": {
    "status": "ALIVE"
  }
}</t>
  </si>
  <si>
    <t>COMMAND (송신)</t>
  </si>
  <si>
    <t xml:space="preserve">{
  "type": "COMMAND",
  "data": {
    "cmd": "all_auto_run"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</si>
</sst>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6"/>
      <name val="맑은 고딕"/>
    </font>
    <font>
      <b/>
      <sz val="10"/>
      <name val="맑은 고딕"/>
    </font>
    <font>
      <sz val="10"/>
      <name val="맑은 고딕"/>
    </font>
    <font>
      <sz val="10"/>
      <name val="Consolas"/>
    </font>
    <font>
      <b/>
      <color rgb="FFFFFFFF"/>
      <sz val="10"/>
      <name val="맑은 고딕"/>
    </font>
    <font>
      <b/>
      <color rgb="FFC55A11"/>
      <sz val="10"/>
      <name val="맑은 고딕"/>
    </font>
    <font>
      <b/>
      <color rgb="FF1F4E79"/>
      <sz val="12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4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 showGridLines="0"/>
  </sheetViews>
  <sheetFormatPr defaultRowHeight="15" outlineLevelRow="0" outlineLevelCol="0" x14ac:dyDescent="55"/>
  <cols>
    <col min="2" max="2" width="22" customWidth="1"/>
    <col min="3" max="3" width="92" customWidth="1"/>
  </cols>
  <sheetData>
    <row r="2" spans="2:2" x14ac:dyDescent="0.25">
      <c r="B2" s="1" t="s">
        <v>0</v>
      </c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 t="s">
        <v>4</v>
      </c>
    </row>
    <row r="6" spans="2:3" x14ac:dyDescent="0.25">
      <c r="B6" s="2" t="s">
        <v>5</v>
      </c>
      <c r="C6" s="3" t="s">
        <v>6</v>
      </c>
    </row>
    <row r="7" spans="2:3" x14ac:dyDescent="0.25">
      <c r="B7" s="2" t="s">
        <v>7</v>
      </c>
      <c r="C7" s="3" t="s">
        <v>8</v>
      </c>
    </row>
    <row r="8" spans="2:3" x14ac:dyDescent="0.25">
      <c r="B8" s="2" t="s">
        <v>9</v>
      </c>
      <c r="C8" s="4" t="s">
        <v>10</v>
      </c>
    </row>
    <row r="9" spans="2:3" x14ac:dyDescent="0.25">
      <c r="B9" s="2" t="s">
        <v>11</v>
      </c>
      <c r="C9" s="4" t="s">
        <v>12</v>
      </c>
    </row>
    <row r="10" spans="2:3" x14ac:dyDescent="0.25">
      <c r="B10" s="2" t="s">
        <v>13</v>
      </c>
      <c r="C10" s="4" t="s">
        <v>14</v>
      </c>
    </row>
    <row r="11" spans="2:3" x14ac:dyDescent="0.25">
      <c r="B11" s="2" t="s">
        <v>15</v>
      </c>
      <c r="C11" s="3" t="s">
        <v>16</v>
      </c>
    </row>
    <row r="12" spans="2:3" x14ac:dyDescent="0.25">
      <c r="B12" s="2" t="s">
        <v>17</v>
      </c>
      <c r="C12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20" customWidth="1"/>
    <col min="4" max="4" width="16" customWidth="1"/>
    <col min="5" max="5" width="84" customWidth="1"/>
    <col min="6" max="6" width="8" customWidth="1"/>
  </cols>
  <sheetData>
    <row r="1" spans="1:6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</row>
    <row r="2" spans="1:6" x14ac:dyDescent="0.25">
      <c r="A2" s="6">
        <v>1</v>
      </c>
      <c r="B2" s="7" t="s">
        <v>25</v>
      </c>
      <c r="C2" s="8" t="s">
        <v>26</v>
      </c>
      <c r="D2" s="9" t="s">
        <v>27</v>
      </c>
      <c r="E2" s="10" t="s">
        <v>28</v>
      </c>
      <c r="F2" s="6">
        <f>COUNTIF('필드 정의'!A:A,C2)</f>
      </c>
    </row>
    <row r="3" spans="1:6" x14ac:dyDescent="0.25">
      <c r="A3" s="6">
        <v>2</v>
      </c>
      <c r="B3" s="7" t="s">
        <v>25</v>
      </c>
      <c r="C3" s="8" t="s">
        <v>29</v>
      </c>
      <c r="D3" s="9" t="s">
        <v>30</v>
      </c>
      <c r="E3" s="10" t="s">
        <v>31</v>
      </c>
      <c r="F3" s="6">
        <f>COUNTIF('필드 정의'!A:A,C3)</f>
      </c>
    </row>
    <row r="4" spans="1:6" x14ac:dyDescent="0.25">
      <c r="A4" s="6">
        <v>3</v>
      </c>
      <c r="B4" s="7" t="s">
        <v>25</v>
      </c>
      <c r="C4" s="8" t="s">
        <v>32</v>
      </c>
      <c r="D4" s="9" t="s">
        <v>33</v>
      </c>
      <c r="E4" s="10" t="s">
        <v>34</v>
      </c>
      <c r="F4" s="6">
        <f>COUNTIF('필드 정의'!A:A,C4)</f>
      </c>
    </row>
    <row r="5" spans="1:6" x14ac:dyDescent="0.25">
      <c r="A5" s="6">
        <v>4</v>
      </c>
      <c r="B5" s="7" t="s">
        <v>25</v>
      </c>
      <c r="C5" s="8" t="s">
        <v>35</v>
      </c>
      <c r="D5" s="9" t="s">
        <v>36</v>
      </c>
      <c r="E5" s="10" t="s">
        <v>37</v>
      </c>
      <c r="F5" s="6">
        <f>COUNTIF('필드 정의'!A:A,C5)</f>
      </c>
    </row>
    <row r="6" spans="1:6" x14ac:dyDescent="0.25">
      <c r="A6" s="6">
        <v>5</v>
      </c>
      <c r="B6" s="7" t="s">
        <v>25</v>
      </c>
      <c r="C6" s="8" t="s">
        <v>38</v>
      </c>
      <c r="D6" s="9" t="s">
        <v>39</v>
      </c>
      <c r="E6" s="10" t="s">
        <v>40</v>
      </c>
      <c r="F6" s="6">
        <f>COUNTIF('필드 정의'!A:A,C6)</f>
      </c>
    </row>
    <row r="7" spans="1:6" x14ac:dyDescent="0.25">
      <c r="A7" s="6">
        <v>6</v>
      </c>
      <c r="B7" s="7" t="s">
        <v>25</v>
      </c>
      <c r="C7" s="8" t="s">
        <v>41</v>
      </c>
      <c r="D7" s="9" t="s">
        <v>42</v>
      </c>
      <c r="E7" s="10" t="s">
        <v>43</v>
      </c>
      <c r="F7" s="6">
        <f>COUNTIF('필드 정의'!A:A,C7)</f>
      </c>
    </row>
    <row r="8" spans="1:6" x14ac:dyDescent="0.25">
      <c r="A8" s="6">
        <v>7</v>
      </c>
      <c r="B8" s="7" t="s">
        <v>25</v>
      </c>
      <c r="C8" s="8" t="s">
        <v>44</v>
      </c>
      <c r="D8" s="9" t="s">
        <v>45</v>
      </c>
      <c r="E8" s="10" t="s">
        <v>46</v>
      </c>
      <c r="F8" s="6">
        <f>COUNTIF('필드 정의'!A:A,C8)</f>
      </c>
    </row>
    <row r="9" spans="1:6" x14ac:dyDescent="0.25">
      <c r="A9" s="6">
        <v>8</v>
      </c>
      <c r="B9" s="7" t="s">
        <v>25</v>
      </c>
      <c r="C9" s="8" t="s">
        <v>47</v>
      </c>
      <c r="D9" s="9" t="s">
        <v>15</v>
      </c>
      <c r="E9" s="10" t="s">
        <v>48</v>
      </c>
      <c r="F9" s="6">
        <f>COUNTIF('필드 정의'!A:A,C9)</f>
      </c>
    </row>
    <row r="10" spans="1:6" x14ac:dyDescent="0.25">
      <c r="A10" s="6">
        <v>9</v>
      </c>
      <c r="B10" s="11" t="s">
        <v>49</v>
      </c>
      <c r="C10" s="8" t="s">
        <v>50</v>
      </c>
      <c r="D10" s="9" t="s">
        <v>51</v>
      </c>
      <c r="E10" s="10" t="s">
        <v>52</v>
      </c>
      <c r="F10" s="6">
        <f>COUNTIF('필드 정의'!A:A,C10)</f>
      </c>
    </row>
  </sheetData>
  <autoFilter ref="A1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20" customWidth="1"/>
    <col min="4" max="4" width="44" customWidth="1"/>
    <col min="5" max="5" width="8" customWidth="1"/>
    <col min="6" max="6" width="58" customWidth="1"/>
  </cols>
  <sheetData>
    <row r="1" spans="1:6" x14ac:dyDescent="0.25">
      <c r="A1" s="5" t="s">
        <v>53</v>
      </c>
      <c r="B1" s="5" t="s">
        <v>20</v>
      </c>
      <c r="C1" s="5" t="s">
        <v>54</v>
      </c>
      <c r="D1" s="5" t="s">
        <v>55</v>
      </c>
      <c r="E1" s="5" t="s">
        <v>56</v>
      </c>
      <c r="F1" s="5" t="s">
        <v>23</v>
      </c>
    </row>
    <row r="2" spans="1:6" x14ac:dyDescent="0.25">
      <c r="A2" s="12" t="s">
        <v>26</v>
      </c>
      <c r="B2" s="13" t="s">
        <v>25</v>
      </c>
      <c r="C2" s="12" t="s">
        <v>57</v>
      </c>
      <c r="D2" s="12" t="s">
        <v>58</v>
      </c>
      <c r="E2" s="14" t="s">
        <v>56</v>
      </c>
      <c r="F2" s="15" t="s">
        <v>59</v>
      </c>
    </row>
    <row r="3" spans="1:6" x14ac:dyDescent="0.25">
      <c r="A3" s="12" t="s">
        <v>26</v>
      </c>
      <c r="B3" s="13" t="s">
        <v>25</v>
      </c>
      <c r="C3" s="12" t="s">
        <v>60</v>
      </c>
      <c r="D3" s="12" t="s">
        <v>58</v>
      </c>
      <c r="E3" s="14" t="s">
        <v>56</v>
      </c>
      <c r="F3" s="15" t="s">
        <v>61</v>
      </c>
    </row>
    <row r="4" spans="1:6" x14ac:dyDescent="0.25">
      <c r="A4" s="12" t="s">
        <v>26</v>
      </c>
      <c r="B4" s="13" t="s">
        <v>25</v>
      </c>
      <c r="C4" s="12" t="s">
        <v>62</v>
      </c>
      <c r="D4" s="12" t="s">
        <v>58</v>
      </c>
      <c r="E4" s="13" t="s">
        <v>63</v>
      </c>
      <c r="F4" s="15" t="s">
        <v>64</v>
      </c>
    </row>
    <row r="5" spans="1:6" x14ac:dyDescent="0.25">
      <c r="A5" s="12" t="s">
        <v>26</v>
      </c>
      <c r="B5" s="13" t="s">
        <v>25</v>
      </c>
      <c r="C5" s="12" t="s">
        <v>65</v>
      </c>
      <c r="D5" s="12" t="s">
        <v>66</v>
      </c>
      <c r="E5" s="14" t="s">
        <v>56</v>
      </c>
      <c r="F5" s="15" t="s">
        <v>67</v>
      </c>
    </row>
    <row r="6" spans="1:6" x14ac:dyDescent="0.25">
      <c r="A6" s="12" t="s">
        <v>26</v>
      </c>
      <c r="B6" s="13" t="s">
        <v>25</v>
      </c>
      <c r="C6" s="12" t="s">
        <v>68</v>
      </c>
      <c r="D6" s="12" t="s">
        <v>66</v>
      </c>
      <c r="E6" s="14" t="s">
        <v>56</v>
      </c>
      <c r="F6" s="15" t="s">
        <v>69</v>
      </c>
    </row>
    <row r="7" spans="1:6" x14ac:dyDescent="0.25">
      <c r="A7" s="16" t="s">
        <v>29</v>
      </c>
      <c r="B7" s="6" t="s">
        <v>25</v>
      </c>
      <c r="C7" s="16" t="s">
        <v>70</v>
      </c>
      <c r="D7" s="16" t="s">
        <v>66</v>
      </c>
      <c r="E7" s="17" t="s">
        <v>56</v>
      </c>
      <c r="F7" s="10" t="s">
        <v>71</v>
      </c>
    </row>
    <row r="8" spans="1:6" x14ac:dyDescent="0.25">
      <c r="A8" s="16" t="s">
        <v>29</v>
      </c>
      <c r="B8" s="6" t="s">
        <v>25</v>
      </c>
      <c r="C8" s="16" t="s">
        <v>72</v>
      </c>
      <c r="D8" s="16" t="s">
        <v>66</v>
      </c>
      <c r="E8" s="17" t="s">
        <v>56</v>
      </c>
      <c r="F8" s="10" t="s">
        <v>73</v>
      </c>
    </row>
    <row r="9" spans="1:6" x14ac:dyDescent="0.25">
      <c r="A9" s="16" t="s">
        <v>29</v>
      </c>
      <c r="B9" s="6" t="s">
        <v>25</v>
      </c>
      <c r="C9" s="16" t="s">
        <v>74</v>
      </c>
      <c r="D9" s="16" t="s">
        <v>58</v>
      </c>
      <c r="E9" s="17" t="s">
        <v>56</v>
      </c>
      <c r="F9" s="10" t="s">
        <v>75</v>
      </c>
    </row>
    <row r="10" spans="1:6" x14ac:dyDescent="0.25">
      <c r="A10" s="16" t="s">
        <v>29</v>
      </c>
      <c r="B10" s="6" t="s">
        <v>25</v>
      </c>
      <c r="C10" s="16" t="s">
        <v>76</v>
      </c>
      <c r="D10" s="16" t="s">
        <v>77</v>
      </c>
      <c r="E10" s="17" t="s">
        <v>56</v>
      </c>
      <c r="F10" s="10" t="s">
        <v>78</v>
      </c>
    </row>
    <row r="11" spans="1:6" x14ac:dyDescent="0.25">
      <c r="A11" s="16" t="s">
        <v>29</v>
      </c>
      <c r="B11" s="6" t="s">
        <v>25</v>
      </c>
      <c r="C11" s="16" t="s">
        <v>79</v>
      </c>
      <c r="D11" s="16" t="s">
        <v>80</v>
      </c>
      <c r="E11" s="17" t="s">
        <v>56</v>
      </c>
      <c r="F11" s="10" t="s">
        <v>81</v>
      </c>
    </row>
    <row r="12" spans="1:6" x14ac:dyDescent="0.25">
      <c r="A12" s="16" t="s">
        <v>29</v>
      </c>
      <c r="B12" s="6" t="s">
        <v>25</v>
      </c>
      <c r="C12" s="16" t="s">
        <v>82</v>
      </c>
      <c r="D12" s="16" t="s">
        <v>83</v>
      </c>
      <c r="E12" s="17" t="s">
        <v>56</v>
      </c>
      <c r="F12" s="10" t="s">
        <v>84</v>
      </c>
    </row>
    <row r="13" spans="1:6" x14ac:dyDescent="0.25">
      <c r="A13" s="16" t="s">
        <v>29</v>
      </c>
      <c r="B13" s="6" t="s">
        <v>25</v>
      </c>
      <c r="C13" s="16" t="s">
        <v>85</v>
      </c>
      <c r="D13" s="16" t="s">
        <v>86</v>
      </c>
      <c r="E13" s="17" t="s">
        <v>56</v>
      </c>
      <c r="F13" s="10" t="s">
        <v>87</v>
      </c>
    </row>
    <row r="14" spans="1:6" x14ac:dyDescent="0.25">
      <c r="A14" s="16" t="s">
        <v>29</v>
      </c>
      <c r="B14" s="6" t="s">
        <v>25</v>
      </c>
      <c r="C14" s="16" t="s">
        <v>88</v>
      </c>
      <c r="D14" s="16" t="s">
        <v>89</v>
      </c>
      <c r="E14" s="17" t="s">
        <v>56</v>
      </c>
      <c r="F14" s="10" t="s">
        <v>90</v>
      </c>
    </row>
    <row r="15" spans="1:6" x14ac:dyDescent="0.25">
      <c r="A15" s="16" t="s">
        <v>29</v>
      </c>
      <c r="B15" s="6" t="s">
        <v>25</v>
      </c>
      <c r="C15" s="16" t="s">
        <v>91</v>
      </c>
      <c r="D15" s="16" t="s">
        <v>66</v>
      </c>
      <c r="E15" s="17" t="s">
        <v>56</v>
      </c>
      <c r="F15" s="10" t="s">
        <v>92</v>
      </c>
    </row>
    <row r="16" spans="1:6" x14ac:dyDescent="0.25">
      <c r="A16" s="16" t="s">
        <v>29</v>
      </c>
      <c r="B16" s="6" t="s">
        <v>25</v>
      </c>
      <c r="C16" s="16" t="s">
        <v>93</v>
      </c>
      <c r="D16" s="16" t="s">
        <v>94</v>
      </c>
      <c r="E16" s="17" t="s">
        <v>56</v>
      </c>
      <c r="F16" s="10" t="s">
        <v>95</v>
      </c>
    </row>
    <row r="17" spans="1:6" x14ac:dyDescent="0.25">
      <c r="A17" s="16" t="s">
        <v>29</v>
      </c>
      <c r="B17" s="6" t="s">
        <v>25</v>
      </c>
      <c r="C17" s="16" t="s">
        <v>96</v>
      </c>
      <c r="D17" s="16" t="s">
        <v>97</v>
      </c>
      <c r="E17" s="17" t="s">
        <v>56</v>
      </c>
      <c r="F17" s="10" t="s">
        <v>98</v>
      </c>
    </row>
    <row r="18" spans="1:6" x14ac:dyDescent="0.25">
      <c r="A18" s="16" t="s">
        <v>29</v>
      </c>
      <c r="B18" s="6" t="s">
        <v>25</v>
      </c>
      <c r="C18" s="16" t="s">
        <v>99</v>
      </c>
      <c r="D18" s="16" t="s">
        <v>100</v>
      </c>
      <c r="E18" s="17" t="s">
        <v>56</v>
      </c>
      <c r="F18" s="10" t="s">
        <v>101</v>
      </c>
    </row>
    <row r="19" spans="1:6" x14ac:dyDescent="0.25">
      <c r="A19" s="16" t="s">
        <v>29</v>
      </c>
      <c r="B19" s="6" t="s">
        <v>25</v>
      </c>
      <c r="C19" s="16" t="s">
        <v>102</v>
      </c>
      <c r="D19" s="16" t="s">
        <v>66</v>
      </c>
      <c r="E19" s="17" t="s">
        <v>56</v>
      </c>
      <c r="F19" s="10" t="s">
        <v>103</v>
      </c>
    </row>
    <row r="20" spans="1:6" x14ac:dyDescent="0.25">
      <c r="A20" s="16" t="s">
        <v>29</v>
      </c>
      <c r="B20" s="6" t="s">
        <v>25</v>
      </c>
      <c r="C20" s="16" t="s">
        <v>104</v>
      </c>
      <c r="D20" s="16" t="s">
        <v>58</v>
      </c>
      <c r="E20" s="6" t="s">
        <v>63</v>
      </c>
      <c r="F20" s="10" t="s">
        <v>105</v>
      </c>
    </row>
    <row r="21" spans="1:6" x14ac:dyDescent="0.25">
      <c r="A21" s="16" t="s">
        <v>29</v>
      </c>
      <c r="B21" s="6" t="s">
        <v>25</v>
      </c>
      <c r="C21" s="16" t="s">
        <v>106</v>
      </c>
      <c r="D21" s="16" t="s">
        <v>107</v>
      </c>
      <c r="E21" s="6" t="s">
        <v>63</v>
      </c>
      <c r="F21" s="10" t="s">
        <v>108</v>
      </c>
    </row>
    <row r="22" spans="1:6" x14ac:dyDescent="0.25">
      <c r="A22" s="16" t="s">
        <v>29</v>
      </c>
      <c r="B22" s="6" t="s">
        <v>25</v>
      </c>
      <c r="C22" s="16" t="s">
        <v>109</v>
      </c>
      <c r="D22" s="16" t="s">
        <v>66</v>
      </c>
      <c r="E22" s="6" t="s">
        <v>63</v>
      </c>
      <c r="F22" s="10" t="s">
        <v>110</v>
      </c>
    </row>
    <row r="23" spans="1:6" x14ac:dyDescent="0.25">
      <c r="A23" s="16" t="s">
        <v>29</v>
      </c>
      <c r="B23" s="6" t="s">
        <v>25</v>
      </c>
      <c r="C23" s="16" t="s">
        <v>111</v>
      </c>
      <c r="D23" s="16" t="s">
        <v>58</v>
      </c>
      <c r="E23" s="6" t="s">
        <v>63</v>
      </c>
      <c r="F23" s="10" t="s">
        <v>112</v>
      </c>
    </row>
    <row r="24" spans="1:6" x14ac:dyDescent="0.25">
      <c r="A24" s="12" t="s">
        <v>32</v>
      </c>
      <c r="B24" s="13" t="s">
        <v>25</v>
      </c>
      <c r="C24" s="12" t="s">
        <v>72</v>
      </c>
      <c r="D24" s="12" t="s">
        <v>66</v>
      </c>
      <c r="E24" s="14" t="s">
        <v>56</v>
      </c>
      <c r="F24" s="15" t="s">
        <v>113</v>
      </c>
    </row>
    <row r="25" spans="1:6" x14ac:dyDescent="0.25">
      <c r="A25" s="12" t="s">
        <v>32</v>
      </c>
      <c r="B25" s="13" t="s">
        <v>25</v>
      </c>
      <c r="C25" s="12" t="s">
        <v>114</v>
      </c>
      <c r="D25" s="12" t="s">
        <v>58</v>
      </c>
      <c r="E25" s="14" t="s">
        <v>56</v>
      </c>
      <c r="F25" s="15" t="s">
        <v>115</v>
      </c>
    </row>
    <row r="26" spans="1:6" x14ac:dyDescent="0.25">
      <c r="A26" s="12" t="s">
        <v>32</v>
      </c>
      <c r="B26" s="13" t="s">
        <v>25</v>
      </c>
      <c r="C26" s="12" t="s">
        <v>116</v>
      </c>
      <c r="D26" s="12" t="s">
        <v>117</v>
      </c>
      <c r="E26" s="14" t="s">
        <v>56</v>
      </c>
      <c r="F26" s="15" t="s">
        <v>118</v>
      </c>
    </row>
    <row r="27" spans="1:6" x14ac:dyDescent="0.25">
      <c r="A27" s="12" t="s">
        <v>32</v>
      </c>
      <c r="B27" s="13" t="s">
        <v>25</v>
      </c>
      <c r="C27" s="12" t="s">
        <v>119</v>
      </c>
      <c r="D27" s="12" t="s">
        <v>86</v>
      </c>
      <c r="E27" s="14" t="s">
        <v>56</v>
      </c>
      <c r="F27" s="15" t="s">
        <v>120</v>
      </c>
    </row>
    <row r="28" spans="1:6" x14ac:dyDescent="0.25">
      <c r="A28" s="12" t="s">
        <v>32</v>
      </c>
      <c r="B28" s="13" t="s">
        <v>25</v>
      </c>
      <c r="C28" s="12" t="s">
        <v>121</v>
      </c>
      <c r="D28" s="12" t="s">
        <v>122</v>
      </c>
      <c r="E28" s="14" t="s">
        <v>56</v>
      </c>
      <c r="F28" s="15" t="s">
        <v>123</v>
      </c>
    </row>
    <row r="29" spans="1:6" x14ac:dyDescent="0.25">
      <c r="A29" s="12" t="s">
        <v>32</v>
      </c>
      <c r="B29" s="13" t="s">
        <v>25</v>
      </c>
      <c r="C29" s="12" t="s">
        <v>85</v>
      </c>
      <c r="D29" s="12" t="s">
        <v>86</v>
      </c>
      <c r="E29" s="14" t="s">
        <v>56</v>
      </c>
      <c r="F29" s="15" t="s">
        <v>87</v>
      </c>
    </row>
    <row r="30" spans="1:6" x14ac:dyDescent="0.25">
      <c r="A30" s="12" t="s">
        <v>32</v>
      </c>
      <c r="B30" s="13" t="s">
        <v>25</v>
      </c>
      <c r="C30" s="12" t="s">
        <v>79</v>
      </c>
      <c r="D30" s="12" t="s">
        <v>80</v>
      </c>
      <c r="E30" s="14" t="s">
        <v>56</v>
      </c>
      <c r="F30" s="15" t="s">
        <v>81</v>
      </c>
    </row>
    <row r="31" spans="1:6" x14ac:dyDescent="0.25">
      <c r="A31" s="12" t="s">
        <v>32</v>
      </c>
      <c r="B31" s="13" t="s">
        <v>25</v>
      </c>
      <c r="C31" s="12" t="s">
        <v>124</v>
      </c>
      <c r="D31" s="12" t="s">
        <v>66</v>
      </c>
      <c r="E31" s="14" t="s">
        <v>56</v>
      </c>
      <c r="F31" s="15" t="s">
        <v>125</v>
      </c>
    </row>
    <row r="32" spans="1:6" x14ac:dyDescent="0.25">
      <c r="A32" s="12" t="s">
        <v>32</v>
      </c>
      <c r="B32" s="13" t="s">
        <v>25</v>
      </c>
      <c r="C32" s="12" t="s">
        <v>126</v>
      </c>
      <c r="D32" s="12" t="s">
        <v>66</v>
      </c>
      <c r="E32" s="14" t="s">
        <v>56</v>
      </c>
      <c r="F32" s="15" t="s">
        <v>127</v>
      </c>
    </row>
    <row r="33" spans="1:6" x14ac:dyDescent="0.25">
      <c r="A33" s="12" t="s">
        <v>32</v>
      </c>
      <c r="B33" s="13" t="s">
        <v>25</v>
      </c>
      <c r="C33" s="12" t="s">
        <v>128</v>
      </c>
      <c r="D33" s="12" t="s">
        <v>66</v>
      </c>
      <c r="E33" s="14" t="s">
        <v>56</v>
      </c>
      <c r="F33" s="15" t="s">
        <v>129</v>
      </c>
    </row>
    <row r="34" spans="1:6" x14ac:dyDescent="0.25">
      <c r="A34" s="16" t="s">
        <v>35</v>
      </c>
      <c r="B34" s="6" t="s">
        <v>25</v>
      </c>
      <c r="C34" s="16" t="s">
        <v>130</v>
      </c>
      <c r="D34" s="16" t="s">
        <v>131</v>
      </c>
      <c r="E34" s="17" t="s">
        <v>56</v>
      </c>
      <c r="F34" s="10" t="s">
        <v>132</v>
      </c>
    </row>
    <row r="35" spans="1:6" x14ac:dyDescent="0.25">
      <c r="A35" s="16" t="s">
        <v>35</v>
      </c>
      <c r="B35" s="6" t="s">
        <v>25</v>
      </c>
      <c r="C35" s="16" t="s">
        <v>133</v>
      </c>
      <c r="D35" s="16" t="s">
        <v>66</v>
      </c>
      <c r="E35" s="17" t="s">
        <v>56</v>
      </c>
      <c r="F35" s="10" t="s">
        <v>134</v>
      </c>
    </row>
    <row r="36" spans="1:6" x14ac:dyDescent="0.25">
      <c r="A36" s="16" t="s">
        <v>35</v>
      </c>
      <c r="B36" s="6" t="s">
        <v>25</v>
      </c>
      <c r="C36" s="16" t="s">
        <v>72</v>
      </c>
      <c r="D36" s="16" t="s">
        <v>66</v>
      </c>
      <c r="E36" s="17" t="s">
        <v>56</v>
      </c>
      <c r="F36" s="10" t="s">
        <v>73</v>
      </c>
    </row>
    <row r="37" spans="1:6" x14ac:dyDescent="0.25">
      <c r="A37" s="16" t="s">
        <v>35</v>
      </c>
      <c r="B37" s="6" t="s">
        <v>25</v>
      </c>
      <c r="C37" s="16" t="s">
        <v>109</v>
      </c>
      <c r="D37" s="16" t="s">
        <v>58</v>
      </c>
      <c r="E37" s="17" t="s">
        <v>56</v>
      </c>
      <c r="F37" s="10" t="s">
        <v>110</v>
      </c>
    </row>
    <row r="38" spans="1:6" x14ac:dyDescent="0.25">
      <c r="A38" s="16" t="s">
        <v>35</v>
      </c>
      <c r="B38" s="6" t="s">
        <v>25</v>
      </c>
      <c r="C38" s="16" t="s">
        <v>135</v>
      </c>
      <c r="D38" s="16" t="s">
        <v>136</v>
      </c>
      <c r="E38" s="17" t="s">
        <v>56</v>
      </c>
      <c r="F38" s="10" t="s">
        <v>137</v>
      </c>
    </row>
    <row r="39" spans="1:6" x14ac:dyDescent="0.25">
      <c r="A39" s="16" t="s">
        <v>35</v>
      </c>
      <c r="B39" s="6" t="s">
        <v>25</v>
      </c>
      <c r="C39" s="16" t="s">
        <v>138</v>
      </c>
      <c r="D39" s="16" t="s">
        <v>66</v>
      </c>
      <c r="E39" s="17" t="s">
        <v>56</v>
      </c>
      <c r="F39" s="10" t="s">
        <v>139</v>
      </c>
    </row>
    <row r="40" spans="1:6" x14ac:dyDescent="0.25">
      <c r="A40" s="16" t="s">
        <v>35</v>
      </c>
      <c r="B40" s="6" t="s">
        <v>25</v>
      </c>
      <c r="C40" s="16" t="s">
        <v>140</v>
      </c>
      <c r="D40" s="16" t="s">
        <v>58</v>
      </c>
      <c r="E40" s="17" t="s">
        <v>56</v>
      </c>
      <c r="F40" s="10" t="s">
        <v>112</v>
      </c>
    </row>
    <row r="41" spans="1:6" x14ac:dyDescent="0.25">
      <c r="A41" s="12" t="s">
        <v>38</v>
      </c>
      <c r="B41" s="13" t="s">
        <v>25</v>
      </c>
      <c r="C41" s="12" t="s">
        <v>99</v>
      </c>
      <c r="D41" s="12" t="s">
        <v>58</v>
      </c>
      <c r="E41" s="14" t="s">
        <v>56</v>
      </c>
      <c r="F41" s="15" t="s">
        <v>141</v>
      </c>
    </row>
    <row r="42" spans="1:6" x14ac:dyDescent="0.25">
      <c r="A42" s="12" t="s">
        <v>38</v>
      </c>
      <c r="B42" s="13" t="s">
        <v>25</v>
      </c>
      <c r="C42" s="12" t="s">
        <v>133</v>
      </c>
      <c r="D42" s="12" t="s">
        <v>66</v>
      </c>
      <c r="E42" s="14" t="s">
        <v>56</v>
      </c>
      <c r="F42" s="15" t="s">
        <v>142</v>
      </c>
    </row>
    <row r="43" spans="1:6" x14ac:dyDescent="0.25">
      <c r="A43" s="12" t="s">
        <v>38</v>
      </c>
      <c r="B43" s="13" t="s">
        <v>25</v>
      </c>
      <c r="C43" s="12" t="s">
        <v>72</v>
      </c>
      <c r="D43" s="12" t="s">
        <v>66</v>
      </c>
      <c r="E43" s="14" t="s">
        <v>56</v>
      </c>
      <c r="F43" s="15" t="s">
        <v>73</v>
      </c>
    </row>
    <row r="44" spans="1:6" x14ac:dyDescent="0.25">
      <c r="A44" s="12" t="s">
        <v>38</v>
      </c>
      <c r="B44" s="13" t="s">
        <v>25</v>
      </c>
      <c r="C44" s="12" t="s">
        <v>102</v>
      </c>
      <c r="D44" s="12" t="s">
        <v>66</v>
      </c>
      <c r="E44" s="14" t="s">
        <v>56</v>
      </c>
      <c r="F44" s="15" t="s">
        <v>143</v>
      </c>
    </row>
    <row r="45" spans="1:6" x14ac:dyDescent="0.25">
      <c r="A45" s="16" t="s">
        <v>41</v>
      </c>
      <c r="B45" s="6" t="s">
        <v>25</v>
      </c>
      <c r="C45" s="16" t="s">
        <v>144</v>
      </c>
      <c r="D45" s="16" t="s">
        <v>97</v>
      </c>
      <c r="E45" s="17" t="s">
        <v>56</v>
      </c>
      <c r="F45" s="10" t="s">
        <v>145</v>
      </c>
    </row>
    <row r="46" spans="1:6" x14ac:dyDescent="0.25">
      <c r="A46" s="16" t="s">
        <v>41</v>
      </c>
      <c r="B46" s="6" t="s">
        <v>25</v>
      </c>
      <c r="C46" s="16" t="s">
        <v>146</v>
      </c>
      <c r="D46" s="16" t="s">
        <v>147</v>
      </c>
      <c r="E46" s="17" t="s">
        <v>56</v>
      </c>
      <c r="F46" s="10" t="s">
        <v>148</v>
      </c>
    </row>
    <row r="47" spans="1:6" x14ac:dyDescent="0.25">
      <c r="A47" s="16" t="s">
        <v>41</v>
      </c>
      <c r="B47" s="6" t="s">
        <v>25</v>
      </c>
      <c r="C47" s="16" t="s">
        <v>149</v>
      </c>
      <c r="D47" s="16" t="s">
        <v>97</v>
      </c>
      <c r="E47" s="17" t="s">
        <v>56</v>
      </c>
      <c r="F47" s="10" t="s">
        <v>150</v>
      </c>
    </row>
    <row r="48" spans="1:6" x14ac:dyDescent="0.25">
      <c r="A48" s="16" t="s">
        <v>41</v>
      </c>
      <c r="B48" s="6" t="s">
        <v>25</v>
      </c>
      <c r="C48" s="16" t="s">
        <v>151</v>
      </c>
      <c r="D48" s="16" t="s">
        <v>147</v>
      </c>
      <c r="E48" s="17" t="s">
        <v>56</v>
      </c>
      <c r="F48" s="10" t="s">
        <v>152</v>
      </c>
    </row>
    <row r="49" spans="1:6" x14ac:dyDescent="0.25">
      <c r="A49" s="16" t="s">
        <v>41</v>
      </c>
      <c r="B49" s="6" t="s">
        <v>25</v>
      </c>
      <c r="C49" s="16" t="s">
        <v>153</v>
      </c>
      <c r="D49" s="16" t="s">
        <v>58</v>
      </c>
      <c r="E49" s="17" t="s">
        <v>56</v>
      </c>
      <c r="F49" s="10" t="s">
        <v>154</v>
      </c>
    </row>
    <row r="50" spans="1:6" x14ac:dyDescent="0.25">
      <c r="A50" s="16" t="s">
        <v>41</v>
      </c>
      <c r="B50" s="6" t="s">
        <v>25</v>
      </c>
      <c r="C50" s="16" t="s">
        <v>155</v>
      </c>
      <c r="D50" s="16" t="s">
        <v>156</v>
      </c>
      <c r="E50" s="17" t="s">
        <v>56</v>
      </c>
      <c r="F50" s="10" t="s">
        <v>157</v>
      </c>
    </row>
    <row r="51" spans="1:6" x14ac:dyDescent="0.25">
      <c r="A51" s="12" t="s">
        <v>44</v>
      </c>
      <c r="B51" s="13" t="s">
        <v>25</v>
      </c>
      <c r="C51" s="12" t="s">
        <v>158</v>
      </c>
      <c r="D51" s="12" t="s">
        <v>159</v>
      </c>
      <c r="E51" s="14" t="s">
        <v>56</v>
      </c>
      <c r="F51" s="15" t="s">
        <v>160</v>
      </c>
    </row>
    <row r="52" spans="1:6" x14ac:dyDescent="0.25">
      <c r="A52" s="12" t="s">
        <v>44</v>
      </c>
      <c r="B52" s="13" t="s">
        <v>25</v>
      </c>
      <c r="C52" s="12" t="s">
        <v>161</v>
      </c>
      <c r="D52" s="12" t="s">
        <v>58</v>
      </c>
      <c r="E52" s="14" t="s">
        <v>56</v>
      </c>
      <c r="F52" s="15" t="s">
        <v>162</v>
      </c>
    </row>
    <row r="53" spans="1:6" x14ac:dyDescent="0.25">
      <c r="A53" s="12" t="s">
        <v>44</v>
      </c>
      <c r="B53" s="13" t="s">
        <v>25</v>
      </c>
      <c r="C53" s="12" t="s">
        <v>163</v>
      </c>
      <c r="D53" s="12" t="s">
        <v>164</v>
      </c>
      <c r="E53" s="14" t="s">
        <v>56</v>
      </c>
      <c r="F53" s="15" t="s">
        <v>137</v>
      </c>
    </row>
    <row r="54" spans="1:6" x14ac:dyDescent="0.25">
      <c r="A54" s="12" t="s">
        <v>44</v>
      </c>
      <c r="B54" s="13" t="s">
        <v>25</v>
      </c>
      <c r="C54" s="12" t="s">
        <v>165</v>
      </c>
      <c r="D54" s="12" t="s">
        <v>58</v>
      </c>
      <c r="E54" s="14" t="s">
        <v>56</v>
      </c>
      <c r="F54" s="15" t="s">
        <v>166</v>
      </c>
    </row>
    <row r="55" spans="1:6" x14ac:dyDescent="0.25">
      <c r="A55" s="12" t="s">
        <v>44</v>
      </c>
      <c r="B55" s="13" t="s">
        <v>25</v>
      </c>
      <c r="C55" s="12" t="s">
        <v>167</v>
      </c>
      <c r="D55" s="12" t="s">
        <v>58</v>
      </c>
      <c r="E55" s="14" t="s">
        <v>56</v>
      </c>
      <c r="F55" s="15" t="s">
        <v>168</v>
      </c>
    </row>
    <row r="56" spans="1:6" x14ac:dyDescent="0.25">
      <c r="A56" s="16" t="s">
        <v>47</v>
      </c>
      <c r="B56" s="6" t="s">
        <v>25</v>
      </c>
      <c r="C56" s="16" t="s">
        <v>169</v>
      </c>
      <c r="D56" s="16" t="s">
        <v>170</v>
      </c>
      <c r="E56" s="17" t="s">
        <v>56</v>
      </c>
      <c r="F56" s="10" t="s">
        <v>171</v>
      </c>
    </row>
    <row r="57" spans="1:6" x14ac:dyDescent="0.25">
      <c r="A57" s="12" t="s">
        <v>50</v>
      </c>
      <c r="B57" s="13" t="s">
        <v>49</v>
      </c>
      <c r="C57" s="12" t="s">
        <v>172</v>
      </c>
      <c r="D57" s="12" t="s">
        <v>58</v>
      </c>
      <c r="E57" s="14" t="s">
        <v>56</v>
      </c>
      <c r="F57" s="15" t="s">
        <v>173</v>
      </c>
    </row>
    <row r="58" spans="1:6" x14ac:dyDescent="0.25">
      <c r="A58" s="12" t="s">
        <v>50</v>
      </c>
      <c r="B58" s="13" t="s">
        <v>49</v>
      </c>
      <c r="C58" s="12" t="s">
        <v>174</v>
      </c>
      <c r="D58" s="12" t="s">
        <v>175</v>
      </c>
      <c r="E58" s="13" t="s">
        <v>63</v>
      </c>
      <c r="F58" s="15" t="s">
        <v>176</v>
      </c>
    </row>
  </sheetData>
  <autoFilter ref="A1:F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7"/>
  <sheetViews>
    <sheetView workbookViewId="0" showGridLines="0"/>
  </sheetViews>
  <sheetFormatPr defaultRowHeight="15" outlineLevelRow="0" outlineLevelCol="0" x14ac:dyDescent="55"/>
  <cols>
    <col min="2" max="2" width="26" customWidth="1"/>
    <col min="3" max="3" width="100" customWidth="1"/>
  </cols>
  <sheetData>
    <row r="2" spans="2:2" x14ac:dyDescent="0.25">
      <c r="B2" s="18" t="s">
        <v>177</v>
      </c>
    </row>
    <row r="3" ht="165" customHeight="1" spans="3:3" x14ac:dyDescent="0.25">
      <c r="C3" s="19" t="s">
        <v>178</v>
      </c>
    </row>
    <row r="5" spans="2:2" x14ac:dyDescent="0.25">
      <c r="B5" s="18" t="s">
        <v>179</v>
      </c>
    </row>
    <row r="6" ht="330" customHeight="1" spans="3:3" x14ac:dyDescent="0.25">
      <c r="C6" s="19" t="s">
        <v>180</v>
      </c>
    </row>
    <row r="8" spans="2:2" x14ac:dyDescent="0.25">
      <c r="B8" s="18" t="s">
        <v>181</v>
      </c>
    </row>
    <row r="9" ht="285" customHeight="1" spans="3:3" x14ac:dyDescent="0.25">
      <c r="C9" s="19" t="s">
        <v>182</v>
      </c>
    </row>
    <row r="11" spans="2:2" x14ac:dyDescent="0.25">
      <c r="B11" s="18" t="s">
        <v>183</v>
      </c>
    </row>
    <row r="12" ht="210" customHeight="1" spans="3:3" x14ac:dyDescent="0.25">
      <c r="C12" s="19" t="s">
        <v>184</v>
      </c>
    </row>
    <row r="14" spans="2:2" x14ac:dyDescent="0.25">
      <c r="B14" s="18" t="s">
        <v>185</v>
      </c>
    </row>
    <row r="15" ht="195" customHeight="1" spans="3:3" x14ac:dyDescent="0.25">
      <c r="C15" s="19" t="s">
        <v>186</v>
      </c>
    </row>
    <row r="17" spans="2:2" x14ac:dyDescent="0.25">
      <c r="B17" s="18" t="s">
        <v>187</v>
      </c>
    </row>
    <row r="18" ht="450" customHeight="1" spans="3:3" x14ac:dyDescent="0.25">
      <c r="C18" s="19" t="s">
        <v>188</v>
      </c>
    </row>
    <row r="20" spans="2:2" x14ac:dyDescent="0.25">
      <c r="B20" s="18" t="s">
        <v>189</v>
      </c>
    </row>
    <row r="21" ht="180" customHeight="1" spans="3:3" x14ac:dyDescent="0.25">
      <c r="C21" s="19" t="s">
        <v>190</v>
      </c>
    </row>
    <row r="23" spans="2:2" x14ac:dyDescent="0.25">
      <c r="B23" s="18" t="s">
        <v>191</v>
      </c>
    </row>
    <row r="24" ht="120" customHeight="1" spans="3:3" x14ac:dyDescent="0.25">
      <c r="C24" s="19" t="s">
        <v>192</v>
      </c>
    </row>
    <row r="26" spans="2:2" x14ac:dyDescent="0.25">
      <c r="B26" s="18" t="s">
        <v>193</v>
      </c>
    </row>
    <row r="27" ht="90" customHeight="1" spans="3:3" x14ac:dyDescent="0.25">
      <c r="C27" s="19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개요</vt:lpstr>
      <vt:lpstr>메시지 목록</vt:lpstr>
      <vt:lpstr>필드 정의</vt:lpstr>
      <vt:lpstr>예시 JSON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2026-07-11T11:56:20Z</dcterms:created>
  <dcterms:modified xsi:type="dcterms:W3CDTF">2026-07-11T11:56:20Z</dcterms:modified>
</cp:coreProperties>
</file>